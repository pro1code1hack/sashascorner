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gredients" sheetId="2" state="visible" r:id="rId4"/>
    <sheet name="Recipes" sheetId="3" state="visible" r:id="rId5"/>
    <sheet name="Menu Items" sheetId="4" state="visible" r:id="rId6"/>
    <sheet name="Daily Sales" sheetId="5" state="visible" r:id="rId7"/>
    <sheet name="Cash Transactions" sheetId="6" state="visible" r:id="rId8"/>
    <sheet name="Expenses" sheetId="7" state="visible" r:id="rId9"/>
    <sheet name="Monthly P&amp;L" sheetId="8" state="visible" r:id="rId10"/>
    <sheet name="Yearly Summary" sheetId="9" state="visible" r:id="rId11"/>
    <sheet name="Dashboard" sheetId="10" state="visible" r:id="rId12"/>
    <sheet name="Sources &amp; Assumptions" sheetId="11" state="visible" r:id="rId13"/>
    <sheet name="Director Accoun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<sst xmlns="http://schemas.openxmlformats.org/spreadsheetml/2006/main" count="6349" uniqueCount="1154">
  <si>
    <t xml:space="preserve">Sasha's Corner — Finance Workbook (v4)</t>
  </si>
  <si>
    <t xml:space="preserve">Full recipe system. Change an ingredient price → every menu item cost and P&amp;L number recalculates.</t>
  </si>
  <si>
    <t xml:space="preserve">Colour code</t>
  </si>
  <si>
    <t xml:space="preserve">Blue text</t>
  </si>
  <si>
    <t xml:space="preserve">Numbers YOU type in</t>
  </si>
  <si>
    <t xml:space="preserve">Black text</t>
  </si>
  <si>
    <t xml:space="preserve">Formulas — calculate automatically</t>
  </si>
  <si>
    <t xml:space="preserve">Yellow fill</t>
  </si>
  <si>
    <t xml:space="preserve">Key inputs you'll change often</t>
  </si>
  <si>
    <t xml:space="preserve">Orange fill</t>
  </si>
  <si>
    <t xml:space="preserve">Industry estimate — verify against your invoices</t>
  </si>
  <si>
    <t xml:space="preserve">Red fill</t>
  </si>
  <si>
    <t xml:space="preserve">Needs your clarification</t>
  </si>
  <si>
    <t xml:space="preserve">How data flows</t>
  </si>
  <si>
    <t xml:space="preserve">Ingredients tab</t>
  </si>
  <si>
    <t xml:space="preserve">Raw material cost per unit. Single source of truth for all prices.</t>
  </si>
  <si>
    <t xml:space="preserve">Recipes tab</t>
  </si>
  <si>
    <t xml:space="preserve">Every item × size pairing with its ingredient list. Cost = SUM(qty × cost-per-unit) via lookup.</t>
  </si>
  <si>
    <t xml:space="preserve">Menu Items tab</t>
  </si>
  <si>
    <t xml:space="preserve">Summary of all 175 items — pulls cost price from Recipes.</t>
  </si>
  <si>
    <t xml:space="preserve">Daily Sales</t>
  </si>
  <si>
    <t xml:space="preserve">Daily totals: Square card / Square cash / own cash. Own cash pulls from Cash Transactions.</t>
  </si>
  <si>
    <t xml:space="preserve">Cash Transactions</t>
  </si>
  <si>
    <t xml:space="preserve">Log each non-Square cash sale by item. Dropdowns from your menu.</t>
  </si>
  <si>
    <t xml:space="preserve">Expenses</t>
  </si>
  <si>
    <t xml:space="preserve">Everything the business spends money on.</t>
  </si>
  <si>
    <t xml:space="preserve">Monthly P&amp;L</t>
  </si>
  <si>
    <t xml:space="preserve">12-month matrix showing revenue, COGS, opex, profit per month + annual total.</t>
  </si>
  <si>
    <t xml:space="preserve">Yearly Summary</t>
  </si>
  <si>
    <t xml:space="preserve">YTD totals, trends, best/worst months, card-vs-cash split.</t>
  </si>
  <si>
    <t xml:space="preserve">Dashboard</t>
  </si>
  <si>
    <t xml:space="preserve">At-a-glance view: this month, YTD, progress to target.</t>
  </si>
  <si>
    <t xml:space="preserve">The most important thing to understand</t>
  </si>
  <si>
    <t xml:space="preserve">Base prices assume whole milk.</t>
  </si>
  <si>
    <t xml:space="preserve">If a customer swaps to oat/almond/coconut/soy they pay the +£0.50 upcharge (tracked via Square as 'Oat milk' or 'Coconut milk' add-on). Your extra cost is ~£0.25 per swap. Net extra profit ≈ £0.25 per alt-milk drink.</t>
  </si>
  <si>
    <t xml:space="preserve">Priority actions</t>
  </si>
  <si>
    <t xml:space="preserve">A</t>
  </si>
  <si>
    <t xml:space="preserve">Verify Ingredients — orange costs are estimates. Replace with invoice prices. Everything else recalculates.</t>
  </si>
  <si>
    <t xml:space="preserve">B</t>
  </si>
  <si>
    <t xml:space="preserve">Answer the 12 open questions in Sources &amp; Assumptions (the red-flagged items).</t>
  </si>
  <si>
    <t xml:space="preserve">C</t>
  </si>
  <si>
    <t xml:space="preserve">Start logging Daily Sales + Cash Transactions + Expenses from tomorrow.</t>
  </si>
  <si>
    <t xml:space="preserve">D</t>
  </si>
  <si>
    <t xml:space="preserve">End of each month: glance at Monthly P&amp;L row for that month. Any margin under 60% → investigate.</t>
  </si>
  <si>
    <t xml:space="preserve">E</t>
  </si>
  <si>
    <t xml:space="preserve">When you have time, fix the item-name typos in Square (they're documented in Sources &amp; Assumptions).</t>
  </si>
  <si>
    <t xml:space="preserve">Data status (last updated 28 Apr 2026)</t>
  </si>
  <si>
    <t xml:space="preserve">Sep 2025 → Apr 2026 imported. Card sales for Sep-Mar are from Mettle Square deposits (date = deposit date, ~1 day after actual sale). April uses actual Square Dashboard data.</t>
  </si>
  <si>
    <t xml:space="preserve">Just Eat</t>
  </si>
  <si>
    <t xml:space="preserve">Delivery sales (£114.92 over 7 events) recorded in 'Square — cash' column with notes.</t>
  </si>
  <si>
    <t xml:space="preserve">All Mettle bank outflows imported and categorised. Personal-looking spend tagged 'Director drawings' in notes. Capital expenditure (setup/equipment) tagged similarly in 'Other' category.</t>
  </si>
  <si>
    <t xml:space="preserve">Director Account</t>
  </si>
  <si>
    <t xml:space="preserve">New tab tracking your £6,850 capital injections IN vs your drawings OUT. Not part of operating P&amp;L.</t>
  </si>
  <si>
    <t xml:space="preserve">Ingredients — Master Price List</t>
  </si>
  <si>
    <t xml:space="preserve">Every raw material. Orange = estimate — REPLACE with YOUR invoice prices. All recipes and margins recalculate automatically.</t>
  </si>
  <si>
    <t xml:space="preserve">Ingredient</t>
  </si>
  <si>
    <t xml:space="preserve">Category</t>
  </si>
  <si>
    <t xml:space="preserve">Pack size</t>
  </si>
  <si>
    <t xml:space="preserve">Pack unit</t>
  </si>
  <si>
    <t xml:space="preserve">Pack cost (£)</t>
  </si>
  <si>
    <t xml:space="preserve">Cost per unit</t>
  </si>
  <si>
    <t xml:space="preserve">Unit</t>
  </si>
  <si>
    <t xml:space="preserve">Supplier / notes</t>
  </si>
  <si>
    <t xml:space="preserve">Whole milk</t>
  </si>
  <si>
    <t xml:space="preserve">Dairy</t>
  </si>
  <si>
    <t xml:space="preserve">L</t>
  </si>
  <si>
    <t xml:space="preserve">Real invoice — 3.4L = £2.37</t>
  </si>
  <si>
    <t xml:space="preserve">Semi-skimmed milk</t>
  </si>
  <si>
    <t xml:space="preserve">Same as whole — assumed</t>
  </si>
  <si>
    <t xml:space="preserve">Oat milk (barista)</t>
  </si>
  <si>
    <t xml:space="preserve">Dairy alt</t>
  </si>
  <si>
    <t xml:space="preserve">Real invoice — alt-milk £2.50/L</t>
  </si>
  <si>
    <t xml:space="preserve">Almond milk (barista)</t>
  </si>
  <si>
    <t xml:space="preserve">Soy milk (barista)</t>
  </si>
  <si>
    <t xml:space="preserve">Coconut milk (barista)</t>
  </si>
  <si>
    <t xml:space="preserve">Whipping cream</t>
  </si>
  <si>
    <t xml:space="preserve">ESTIMATE</t>
  </si>
  <si>
    <t xml:space="preserve">Coffee beans (house blend)</t>
  </si>
  <si>
    <t xml:space="preserve">Coffee</t>
  </si>
  <si>
    <t xml:space="preserve">kg</t>
  </si>
  <si>
    <t xml:space="preserve">Real invoice — £95 per 5kg</t>
  </si>
  <si>
    <t xml:space="preserve">Coffee beans (decaf)</t>
  </si>
  <si>
    <t xml:space="preserve">Vanilla syrup (Monin)</t>
  </si>
  <si>
    <t xml:space="preserve">Syrup</t>
  </si>
  <si>
    <t xml:space="preserve">ml</t>
  </si>
  <si>
    <t xml:space="preserve">Real invoice — Monin £9/L</t>
  </si>
  <si>
    <t xml:space="preserve">Caramel syrup (Monin)</t>
  </si>
  <si>
    <t xml:space="preserve">Salted caramel syrup (Monin)</t>
  </si>
  <si>
    <t xml:space="preserve">Rose syrup (Monin)</t>
  </si>
  <si>
    <t xml:space="preserve">Raspberry syrup (Monin)</t>
  </si>
  <si>
    <t xml:space="preserve">Toffee nut syrup (Monin)</t>
  </si>
  <si>
    <t xml:space="preserve">Toffee syrup (Monin)</t>
  </si>
  <si>
    <t xml:space="preserve">Strawberry syrup (Monin)</t>
  </si>
  <si>
    <t xml:space="preserve">Mint syrup (Monin)</t>
  </si>
  <si>
    <t xml:space="preserve">Orange syrup (Monin)</t>
  </si>
  <si>
    <t xml:space="preserve">Lavender syrup (Monin)</t>
  </si>
  <si>
    <t xml:space="preserve">Pistachio syrup (Monin)</t>
  </si>
  <si>
    <t xml:space="preserve">Cinnamon bun syrup (Monin)</t>
  </si>
  <si>
    <t xml:space="preserve">Pumpkin spice syrup (Monin)</t>
  </si>
  <si>
    <t xml:space="preserve">Butterfly syrup (Monin)</t>
  </si>
  <si>
    <t xml:space="preserve">Peach syrup (Monin)</t>
  </si>
  <si>
    <t xml:space="preserve">Mango syrup/puree (Monin)</t>
  </si>
  <si>
    <t xml:space="preserve">Banana syrup (Monin)</t>
  </si>
  <si>
    <t xml:space="preserve">Coconut syrup (Monin)</t>
  </si>
  <si>
    <t xml:space="preserve">Citrus / lime syrup (Monin)</t>
  </si>
  <si>
    <t xml:space="preserve">Lemon syrup (Monin)</t>
  </si>
  <si>
    <t xml:space="preserve">Apple syrup (Monin)</t>
  </si>
  <si>
    <t xml:space="preserve">Honey</t>
  </si>
  <si>
    <t xml:space="preserve">ESTIMATE — £8/kg converted to ml (honey density ~1.4 g/ml)</t>
  </si>
  <si>
    <t xml:space="preserve">Chai concentrate</t>
  </si>
  <si>
    <t xml:space="preserve">Tea bag (standard)</t>
  </si>
  <si>
    <t xml:space="preserve">Tea</t>
  </si>
  <si>
    <t xml:space="preserve">unit</t>
  </si>
  <si>
    <t xml:space="preserve">Real invoice — breakfast/decaf/earl grey ~£19/320 bags</t>
  </si>
  <si>
    <t xml:space="preserve">Loose-leaf tea (black)</t>
  </si>
  <si>
    <t xml:space="preserve">Blue matcha (ready-mix)</t>
  </si>
  <si>
    <t xml:space="preserve">Hot chocolate powder</t>
  </si>
  <si>
    <t xml:space="preserve">Chocolate</t>
  </si>
  <si>
    <t xml:space="preserve">Real invoice — £7/kg</t>
  </si>
  <si>
    <t xml:space="preserve">White hot chocolate powder</t>
  </si>
  <si>
    <t xml:space="preserve">Real invoice — £6/kg (used as sauce-equivalent in ml)</t>
  </si>
  <si>
    <t xml:space="preserve">Dark chocolate sauce</t>
  </si>
  <si>
    <t xml:space="preserve">Green matcha powder</t>
  </si>
  <si>
    <t xml:space="preserve">Specialty</t>
  </si>
  <si>
    <t xml:space="preserve">Real invoice — £10 per 50g = £200/kg (user uses #10 'cheaper' matcha for all drinks)</t>
  </si>
  <si>
    <t xml:space="preserve">Tapioca pearls</t>
  </si>
  <si>
    <t xml:space="preserve">Vanilla ice cream</t>
  </si>
  <si>
    <t xml:space="preserve">NOT USED in recipes (May 2026). L</t>
  </si>
  <si>
    <t xml:space="preserve">Tonic water</t>
  </si>
  <si>
    <t xml:space="preserve">Real invoice — 200ml × 24 = £19.19, so ~£4/L (Brakes)</t>
  </si>
  <si>
    <t xml:space="preserve">Coconut water</t>
  </si>
  <si>
    <t xml:space="preserve">4oz / small cup</t>
  </si>
  <si>
    <t xml:space="preserve">Packaging</t>
  </si>
  <si>
    <t xml:space="preserve">Babyccino cup</t>
  </si>
  <si>
    <t xml:space="preserve">8oz paper cup</t>
  </si>
  <si>
    <t xml:space="preserve">Real invoice — S takeaway cup £42.54/500</t>
  </si>
  <si>
    <t xml:space="preserve">8oz cup lid</t>
  </si>
  <si>
    <t xml:space="preserve">Real invoice — S lid £25.74/1000</t>
  </si>
  <si>
    <t xml:space="preserve">12oz paper cup</t>
  </si>
  <si>
    <t xml:space="preserve">Real invoice — M takeaway cup £47.94/500</t>
  </si>
  <si>
    <t xml:space="preserve">12oz cup lid</t>
  </si>
  <si>
    <t xml:space="preserve">Assumed same as S lid (notebook didn't list M lid)</t>
  </si>
  <si>
    <t xml:space="preserve">16oz paper cup</t>
  </si>
  <si>
    <t xml:space="preserve">Real invoice — XL takeaway cup £41.34/400</t>
  </si>
  <si>
    <t xml:space="preserve">16oz cup lid</t>
  </si>
  <si>
    <t xml:space="preserve">Real invoice — XL lid £28.74/1000</t>
  </si>
  <si>
    <t xml:space="preserve">Takeaway bag</t>
  </si>
  <si>
    <t xml:space="preserve">Sugar sachet</t>
  </si>
  <si>
    <t xml:space="preserve">Sundries</t>
  </si>
  <si>
    <t xml:space="preserve">Napkin</t>
  </si>
  <si>
    <t xml:space="preserve">Wooden stirrer</t>
  </si>
  <si>
    <t xml:space="preserve">Marshmallow</t>
  </si>
  <si>
    <t xml:space="preserve">Real invoice — £8/kg (recipes adjusted to grams)</t>
  </si>
  <si>
    <t xml:space="preserve">Bubble tea straw (wide)</t>
  </si>
  <si>
    <t xml:space="preserve">Raspberry brownie cheesecake</t>
  </si>
  <si>
    <t xml:space="preserve">Cake (CakeSmiths)</t>
  </si>
  <si>
    <t xml:space="preserve">CakeSmiths ESTIMATE</t>
  </si>
  <si>
    <t xml:space="preserve">Raspberry matcha cheesecake</t>
  </si>
  <si>
    <t xml:space="preserve">CakeSmiths</t>
  </si>
  <si>
    <t xml:space="preserve">Salted caramel brownie</t>
  </si>
  <si>
    <t xml:space="preserve">Sticky toffee Biscoff</t>
  </si>
  <si>
    <t xml:space="preserve">Salted caramel bar</t>
  </si>
  <si>
    <t xml:space="preserve">Real invoice — £13.50/18</t>
  </si>
  <si>
    <t xml:space="preserve">Brownie bar</t>
  </si>
  <si>
    <t xml:space="preserve">Cake</t>
  </si>
  <si>
    <t xml:space="preserve">Real invoice — £19.58/18</t>
  </si>
  <si>
    <t xml:space="preserve">Lemon drizzle bar</t>
  </si>
  <si>
    <t xml:space="preserve">Real invoice — £16.41/18</t>
  </si>
  <si>
    <t xml:space="preserve">Banana pecan muffin</t>
  </si>
  <si>
    <t xml:space="preserve">Blueberry muffin</t>
  </si>
  <si>
    <t xml:space="preserve">Real invoice — £21.15/12</t>
  </si>
  <si>
    <t xml:space="preserve">Raspberry almond muffin</t>
  </si>
  <si>
    <t xml:space="preserve">Billionaire's shortbread</t>
  </si>
  <si>
    <t xml:space="preserve">Real invoice — £16.95/14</t>
  </si>
  <si>
    <t xml:space="preserve">Lemon &amp; pistachio cake</t>
  </si>
  <si>
    <t xml:space="preserve">Real invoice — £18.50/14</t>
  </si>
  <si>
    <t xml:space="preserve">Mini cookie</t>
  </si>
  <si>
    <t xml:space="preserve">Cinnamon classic bun</t>
  </si>
  <si>
    <t xml:space="preserve">Real invoice — £13.95/8</t>
  </si>
  <si>
    <t xml:space="preserve">Kyiv cake (slice)</t>
  </si>
  <si>
    <t xml:space="preserve">Kyiv cake (whole)</t>
  </si>
  <si>
    <t xml:space="preserve">Plain croissant</t>
  </si>
  <si>
    <t xml:space="preserve">Food</t>
  </si>
  <si>
    <t xml:space="preserve">Salami (sliced)</t>
  </si>
  <si>
    <t xml:space="preserve">Ham (sliced)</t>
  </si>
  <si>
    <t xml:space="preserve">Smoked salmon</t>
  </si>
  <si>
    <t xml:space="preserve">Cream cheese</t>
  </si>
  <si>
    <t xml:space="preserve">Tinned tuna</t>
  </si>
  <si>
    <t xml:space="preserve">Bread (toastie)</t>
  </si>
  <si>
    <t xml:space="preserve">loaf</t>
  </si>
  <si>
    <t xml:space="preserve">~12 slices</t>
  </si>
  <si>
    <t xml:space="preserve">Panini bread</t>
  </si>
  <si>
    <t xml:space="preserve">Bread roll</t>
  </si>
  <si>
    <t xml:space="preserve">Cheese (toastie)</t>
  </si>
  <si>
    <t xml:space="preserve">Butter</t>
  </si>
  <si>
    <t xml:space="preserve">Pancake mix</t>
  </si>
  <si>
    <t xml:space="preserve">Strawberries (fresh)</t>
  </si>
  <si>
    <t xml:space="preserve">Jam sachet</t>
  </si>
  <si>
    <t xml:space="preserve">Still water (bottle)</t>
  </si>
  <si>
    <t xml:space="preserve">Bottled</t>
  </si>
  <si>
    <t xml:space="preserve">Real invoice — £7.70/24 (Brakes)</t>
  </si>
  <si>
    <t xml:space="preserve">Coca-Cola</t>
  </si>
  <si>
    <t xml:space="preserve">Real invoice — £14.69/24 (Brakes)</t>
  </si>
  <si>
    <t xml:space="preserve">Fanta</t>
  </si>
  <si>
    <t xml:space="preserve">Real invoice — £10.50/24 (Amazon)</t>
  </si>
  <si>
    <t xml:space="preserve">Tropicana OJ carton</t>
  </si>
  <si>
    <t xml:space="preserve">Apple juice carton</t>
  </si>
  <si>
    <t xml:space="preserve">Real invoice — £34.98/48 (Brakes)</t>
  </si>
  <si>
    <t xml:space="preserve">Orange juice carton</t>
  </si>
  <si>
    <t xml:space="preserve">Real invoice — £34.84/48 (Brakes)</t>
  </si>
  <si>
    <t xml:space="preserve">Capri-Sun pouch</t>
  </si>
  <si>
    <t xml:space="preserve">Real invoice — £5/15 (Amazon)</t>
  </si>
  <si>
    <t xml:space="preserve">Pom-Bear crisps</t>
  </si>
  <si>
    <t xml:space="preserve">Real invoice — £15.40/36 (Brakes)</t>
  </si>
  <si>
    <t xml:space="preserve">Pringles can</t>
  </si>
  <si>
    <t xml:space="preserve">Real invoice — £7.40/12 (Brakes)</t>
  </si>
  <si>
    <t xml:space="preserve">Chocolate wafer</t>
  </si>
  <si>
    <t xml:space="preserve">Real invoice — dark wafers £13.49/30 (Amazon)</t>
  </si>
  <si>
    <t xml:space="preserve">Tiramisu cake (slice)</t>
  </si>
  <si>
    <t xml:space="preserve">Real invoice — £19/14</t>
  </si>
  <si>
    <t xml:space="preserve">Morello cake (slice)</t>
  </si>
  <si>
    <t xml:space="preserve">Real invoice — £17.25/14</t>
  </si>
  <si>
    <t xml:space="preserve">Blood orange cake (slice)</t>
  </si>
  <si>
    <t xml:space="preserve">Real invoice — £27.95/18</t>
  </si>
  <si>
    <t xml:space="preserve">Lemon muffin</t>
  </si>
  <si>
    <t xml:space="preserve">Real invoice — £21/12</t>
  </si>
  <si>
    <t xml:space="preserve">Cajun chicken panini (premade)</t>
  </si>
  <si>
    <t xml:space="preserve">Real invoice — £48.45/24</t>
  </si>
  <si>
    <t xml:space="preserve">Margarita panini (premade)</t>
  </si>
  <si>
    <t xml:space="preserve">Ham &amp; cheese toastie (premade)</t>
  </si>
  <si>
    <t xml:space="preserve">Real invoice — £49.89/20 (use this if you buy in instead of making)</t>
  </si>
  <si>
    <t xml:space="preserve">Diet Coke</t>
  </si>
  <si>
    <t xml:space="preserve">Real invoice — £9.69/24 (Amazon)</t>
  </si>
  <si>
    <t xml:space="preserve">Black Cola</t>
  </si>
  <si>
    <t xml:space="preserve">Real invoice — £12.66/24 (Brakes)</t>
  </si>
  <si>
    <t xml:space="preserve">Sprite</t>
  </si>
  <si>
    <t xml:space="preserve">Real invoice — £11.33/24 (Amazon)</t>
  </si>
  <si>
    <t xml:space="preserve">Irn-Bru</t>
  </si>
  <si>
    <t xml:space="preserve">Sugar-free Irn-Bru</t>
  </si>
  <si>
    <t xml:space="preserve">Real invoice — £10.50/24 (Brakes)</t>
  </si>
  <si>
    <t xml:space="preserve">Sparkling water</t>
  </si>
  <si>
    <t xml:space="preserve">Real invoice — £8.06/24 (Brakes)</t>
  </si>
  <si>
    <t xml:space="preserve">Fruit Shoot</t>
  </si>
  <si>
    <t xml:space="preserve">Real invoice — £6.75/24 (Amazon)</t>
  </si>
  <si>
    <t xml:space="preserve">Blue chocolate wafer</t>
  </si>
  <si>
    <t xml:space="preserve">Real invoice — £14.97/30 (Amazon)</t>
  </si>
  <si>
    <t xml:space="preserve">Decaf coffee pod</t>
  </si>
  <si>
    <t xml:space="preserve">Real invoice — 18 pods = £7.50 (£0.42/pod). Use 1 pod for S, 2 for M, 3 for L.</t>
  </si>
  <si>
    <t xml:space="preserve">Frappe powder</t>
  </si>
  <si>
    <t xml:space="preserve">For milkshakes (60g per drink)</t>
  </si>
  <si>
    <t xml:space="preserve">Orange juice</t>
  </si>
  <si>
    <t xml:space="preserve">Estimate — verify supplier price</t>
  </si>
  <si>
    <t xml:space="preserve">Recipes — Ingredient Details per Item/Size</t>
  </si>
  <si>
    <t xml:space="preserve">Every item × size with its ingredients. Cost calculates from Ingredients prices via lookup. Add ingredient rows using the blank rows at the end — pick ingredient from dropdown.</t>
  </si>
  <si>
    <t xml:space="preserve">RECIPE SUMMARY</t>
  </si>
  <si>
    <t xml:space="preserve">Recipe #</t>
  </si>
  <si>
    <t xml:space="preserve">Item name</t>
  </si>
  <si>
    <t xml:space="preserve">Size</t>
  </si>
  <si>
    <t xml:space="preserve">Sell price (£)</t>
  </si>
  <si>
    <t xml:space="preserve">Cost price (£)</t>
  </si>
  <si>
    <t xml:space="preserve">Gross profit (£)</t>
  </si>
  <si>
    <t xml:space="preserve">Margin %</t>
  </si>
  <si>
    <t xml:space="preserve"># ingredients</t>
  </si>
  <si>
    <t xml:space="preserve">Notes</t>
  </si>
  <si>
    <t xml:space="preserve">Markup %</t>
  </si>
  <si>
    <t xml:space="preserve">Banana Milkshake</t>
  </si>
  <si>
    <t xml:space="preserve">M</t>
  </si>
  <si>
    <t xml:space="preserve">Milkshake</t>
  </si>
  <si>
    <t xml:space="preserve">S</t>
  </si>
  <si>
    <t xml:space="preserve">Banana and Pecan Muffin</t>
  </si>
  <si>
    <t xml:space="preserve">Wholesale cake (CakeSmiths or similar)</t>
  </si>
  <si>
    <t xml:space="preserve">Berry Breeze Lemonade</t>
  </si>
  <si>
    <t xml:space="preserve">Fruit lemonade (approx)</t>
  </si>
  <si>
    <t xml:space="preserve">Berry Tea</t>
  </si>
  <si>
    <t xml:space="preserve">One</t>
  </si>
  <si>
    <t xml:space="preserve">Teas</t>
  </si>
  <si>
    <t xml:space="preserve">Hot tea</t>
  </si>
  <si>
    <t xml:space="preserve">Black Americano</t>
  </si>
  <si>
    <t xml:space="preserve">Americano</t>
  </si>
  <si>
    <t xml:space="preserve">XL</t>
  </si>
  <si>
    <t xml:space="preserve">Black Honey</t>
  </si>
  <si>
    <t xml:space="preserve">Unclear — treated as tea-based drink</t>
  </si>
  <si>
    <t xml:space="preserve">Blue Honey Matcha</t>
  </si>
  <si>
    <t xml:space="preserve">Spring saesonal drinks</t>
  </si>
  <si>
    <t xml:space="preserve">Hot matcha (blue = butterfly pea)</t>
  </si>
  <si>
    <t xml:space="preserve">Blue Lavender Matcha</t>
  </si>
  <si>
    <t xml:space="preserve">Blue Vanilla Matcha</t>
  </si>
  <si>
    <t xml:space="preserve">Butterfly (lavender) Latte</t>
  </si>
  <si>
    <t xml:space="preserve">Flavoured latte (Lavender syrup (Monin))</t>
  </si>
  <si>
    <t xml:space="preserve">Butterfly Hot Chocolate</t>
  </si>
  <si>
    <t xml:space="preserve">Hot chocolate</t>
  </si>
  <si>
    <t xml:space="preserve">Cappuccino</t>
  </si>
  <si>
    <t xml:space="preserve">Chai Latte</t>
  </si>
  <si>
    <t xml:space="preserve">Chai latte</t>
  </si>
  <si>
    <t xml:space="preserve">Chocolate Coffee Milkshake</t>
  </si>
  <si>
    <t xml:space="preserve">Chocolate Milkshake</t>
  </si>
  <si>
    <t xml:space="preserve">Cinnamon classic</t>
  </si>
  <si>
    <t xml:space="preserve">Cinnamon Bun Hot Chocolate</t>
  </si>
  <si>
    <t xml:space="preserve">Cinnamon Bun Latte</t>
  </si>
  <si>
    <t xml:space="preserve">Flavoured latte (Cinnamon bun syrup (Monin))</t>
  </si>
  <si>
    <t xml:space="preserve">Coffee Milkshake</t>
  </si>
  <si>
    <t xml:space="preserve">Cortado</t>
  </si>
  <si>
    <t xml:space="preserve">Decaf Tea</t>
  </si>
  <si>
    <t xml:space="preserve">Double Espresso</t>
  </si>
  <si>
    <t xml:space="preserve">Double espresso</t>
  </si>
  <si>
    <t xml:space="preserve">Double Espresso Con Pana</t>
  </si>
  <si>
    <t xml:space="preserve">Double espresso + whipped cream</t>
  </si>
  <si>
    <t xml:space="preserve">Double Macchiato</t>
  </si>
  <si>
    <t xml:space="preserve">Double macchiato</t>
  </si>
  <si>
    <t xml:space="preserve">Earl Grey</t>
  </si>
  <si>
    <t xml:space="preserve">Emerald Zest</t>
  </si>
  <si>
    <t xml:space="preserve">Composition unclear — VERIFY recipe</t>
  </si>
  <si>
    <t xml:space="preserve">English Breakfast</t>
  </si>
  <si>
    <t xml:space="preserve">Espresso Tonic</t>
  </si>
  <si>
    <t xml:space="preserve">Espresso + tonic</t>
  </si>
  <si>
    <t xml:space="preserve">Flat White</t>
  </si>
  <si>
    <t xml:space="preserve">Flat white</t>
  </si>
  <si>
    <t xml:space="preserve">Forest Fruits Tea</t>
  </si>
  <si>
    <t xml:space="preserve">Ginger and Lemongrass Tea</t>
  </si>
  <si>
    <t xml:space="preserve">Green</t>
  </si>
  <si>
    <t xml:space="preserve">Green Apple Bubble Tea</t>
  </si>
  <si>
    <t xml:space="preserve">Bubble tea</t>
  </si>
  <si>
    <t xml:space="preserve">Honey Bubble Tea</t>
  </si>
  <si>
    <t xml:space="preserve">Honey Vanilla Latte</t>
  </si>
  <si>
    <t xml:space="preserve">Flavoured latte (Vanilla syrup (Monin))</t>
  </si>
  <si>
    <t xml:space="preserve">Hot Chocolate</t>
  </si>
  <si>
    <t xml:space="preserve">Hot Lavender Matcha</t>
  </si>
  <si>
    <t xml:space="preserve">Hot matcha</t>
  </si>
  <si>
    <t xml:space="preserve">Hot Matcha</t>
  </si>
  <si>
    <t xml:space="preserve">Hot Rose Matcha</t>
  </si>
  <si>
    <t xml:space="preserve">Hot Strawberry Matcha</t>
  </si>
  <si>
    <t xml:space="preserve">Hot Vanilla Matcha</t>
  </si>
  <si>
    <t xml:space="preserve">Hot White Choc Matcha</t>
  </si>
  <si>
    <t xml:space="preserve">Iced Butterfly Latte</t>
  </si>
  <si>
    <t xml:space="preserve">Iced latte</t>
  </si>
  <si>
    <t xml:space="preserve">Iced Cinnamon Bun Latte</t>
  </si>
  <si>
    <t xml:space="preserve">Iced Citrus Blue Matcha</t>
  </si>
  <si>
    <t xml:space="preserve">Iced matcha (blue = butterfly pea)</t>
  </si>
  <si>
    <t xml:space="preserve">Iced Coconut Water Blue Matcha</t>
  </si>
  <si>
    <t xml:space="preserve">Iced Coconut Water Latte</t>
  </si>
  <si>
    <t xml:space="preserve">Iced Honey Blue Matcha</t>
  </si>
  <si>
    <t xml:space="preserve">Iced Honey Vanilla Latte</t>
  </si>
  <si>
    <t xml:space="preserve">Iced Lavender Blue Matcha</t>
  </si>
  <si>
    <t xml:space="preserve">Iced Lavender Latte</t>
  </si>
  <si>
    <t xml:space="preserve">Iced Mango Matcha</t>
  </si>
  <si>
    <t xml:space="preserve">Iced matcha</t>
  </si>
  <si>
    <t xml:space="preserve">Iced Mint Latte</t>
  </si>
  <si>
    <t xml:space="preserve">Iced Orange Latte</t>
  </si>
  <si>
    <t xml:space="preserve">Iced Pistachio Latte</t>
  </si>
  <si>
    <t xml:space="preserve">Iced Pumpkin Spice Latte</t>
  </si>
  <si>
    <t xml:space="preserve">Iced Raspberry Mocha</t>
  </si>
  <si>
    <t xml:space="preserve">Iced mocha</t>
  </si>
  <si>
    <t xml:space="preserve">Iced Rose Latte</t>
  </si>
  <si>
    <t xml:space="preserve">Iced Rose Mocha</t>
  </si>
  <si>
    <t xml:space="preserve">Iced Rose Tea</t>
  </si>
  <si>
    <t xml:space="preserve">Iced tea</t>
  </si>
  <si>
    <t xml:space="preserve">Iced Rose White Mocha</t>
  </si>
  <si>
    <t xml:space="preserve">Iced Salted Caramel Latte</t>
  </si>
  <si>
    <t xml:space="preserve">Iced Strawberry Matcha</t>
  </si>
  <si>
    <t xml:space="preserve">Iced Toffee Latte</t>
  </si>
  <si>
    <t xml:space="preserve">Iced Vanilla Blue Matcha</t>
  </si>
  <si>
    <t xml:space="preserve">Iced White Raspberry Mocha</t>
  </si>
  <si>
    <t xml:space="preserve">Iced Banana Matcha</t>
  </si>
  <si>
    <t xml:space="preserve">Iced Black Americano</t>
  </si>
  <si>
    <t xml:space="preserve">Iced americano</t>
  </si>
  <si>
    <t xml:space="preserve">Iced Cappuccino</t>
  </si>
  <si>
    <t xml:space="preserve">Iced cappuccino</t>
  </si>
  <si>
    <t xml:space="preserve">Iced Chai Latte</t>
  </si>
  <si>
    <t xml:space="preserve">Iced chai</t>
  </si>
  <si>
    <t xml:space="preserve">Iced Coconut Matcha</t>
  </si>
  <si>
    <t xml:space="preserve">Iced Flat White</t>
  </si>
  <si>
    <t xml:space="preserve">Iced flat white</t>
  </si>
  <si>
    <t xml:space="preserve">Iced Latte</t>
  </si>
  <si>
    <t xml:space="preserve">Iced Lemon &amp; Honey Tea</t>
  </si>
  <si>
    <t xml:space="preserve">Iced Mocha</t>
  </si>
  <si>
    <t xml:space="preserve">Iced Peach Matcha</t>
  </si>
  <si>
    <t xml:space="preserve">Iced White Americano</t>
  </si>
  <si>
    <t xml:space="preserve">Iced White Mocha</t>
  </si>
  <si>
    <t xml:space="preserve">Jasmine and Mint Green Tea</t>
  </si>
  <si>
    <t xml:space="preserve">Juice (generic)</t>
  </si>
  <si>
    <t xml:space="preserve">Bottled / pre-packed item</t>
  </si>
  <si>
    <t xml:space="preserve">Kiwi Bubble Tea</t>
  </si>
  <si>
    <t xml:space="preserve">Latte</t>
  </si>
  <si>
    <t xml:space="preserve">Plain latte</t>
  </si>
  <si>
    <t xml:space="preserve">Lavender Hot Chocolate</t>
  </si>
  <si>
    <t xml:space="preserve">Lemon and Pistachio</t>
  </si>
  <si>
    <t xml:space="preserve">Mint</t>
  </si>
  <si>
    <t xml:space="preserve">Mint Hot Chocolate</t>
  </si>
  <si>
    <t xml:space="preserve">Mint Latte</t>
  </si>
  <si>
    <t xml:space="preserve">Flavoured latte (Mint syrup (Monin))</t>
  </si>
  <si>
    <t xml:space="preserve">Mocha</t>
  </si>
  <si>
    <t xml:space="preserve">Mocha Cortado</t>
  </si>
  <si>
    <t xml:space="preserve">Mocha cortado</t>
  </si>
  <si>
    <t xml:space="preserve">Orange Hot Chocolate</t>
  </si>
  <si>
    <t xml:space="preserve">Orange Latte</t>
  </si>
  <si>
    <t xml:space="preserve">Flavoured latte (Orange syrup (Monin))</t>
  </si>
  <si>
    <t xml:space="preserve">Orange Americano</t>
  </si>
  <si>
    <t xml:space="preserve">Passion Fruit</t>
  </si>
  <si>
    <t xml:space="preserve">Fruit drink (approx)</t>
  </si>
  <si>
    <t xml:space="preserve">Passion Fruit Bubble Tea</t>
  </si>
  <si>
    <t xml:space="preserve">Peach Iced Tea</t>
  </si>
  <si>
    <t xml:space="preserve">Pineapple &amp; Passion Fruit</t>
  </si>
  <si>
    <t xml:space="preserve">Pistachio Hot Chocolate</t>
  </si>
  <si>
    <t xml:space="preserve">Pistachio Latte</t>
  </si>
  <si>
    <t xml:space="preserve">Flavoured latte (Pistachio syrup (Monin))</t>
  </si>
  <si>
    <t xml:space="preserve">Pumpkin Spice Hot Chocolate</t>
  </si>
  <si>
    <t xml:space="preserve">Pumpkin Spice Latte</t>
  </si>
  <si>
    <t xml:space="preserve">Flavoured latte (Pumpkin spice syrup (Monin))</t>
  </si>
  <si>
    <t xml:space="preserve">Raff Coffee</t>
  </si>
  <si>
    <t xml:space="preserve">Raff coffee (Russian style)</t>
  </si>
  <si>
    <t xml:space="preserve">Raspberry Hot Chocolate</t>
  </si>
  <si>
    <t xml:space="preserve">Rose Hot Chocolate</t>
  </si>
  <si>
    <t xml:space="preserve">Rose Latte</t>
  </si>
  <si>
    <t xml:space="preserve">Flavoured latte (Rose syrup (Monin))</t>
  </si>
  <si>
    <t xml:space="preserve">Rose White Mocha</t>
  </si>
  <si>
    <t xml:space="preserve">Salted Caramel Brownie</t>
  </si>
  <si>
    <t xml:space="preserve">Salted Caramel Coffee Milkshake</t>
  </si>
  <si>
    <t xml:space="preserve">Salted Caramel Hot Chocolate</t>
  </si>
  <si>
    <t xml:space="preserve">Salted Caramel Latte</t>
  </si>
  <si>
    <t xml:space="preserve">Flavoured latte (Salted caramel syrup (Monin))</t>
  </si>
  <si>
    <t xml:space="preserve">Salted Caramel Milkshake</t>
  </si>
  <si>
    <t xml:space="preserve">Single Espresso</t>
  </si>
  <si>
    <t xml:space="preserve">Single espresso</t>
  </si>
  <si>
    <t xml:space="preserve">Single Espresso Con Pana</t>
  </si>
  <si>
    <t xml:space="preserve">Single espresso + whipped cream</t>
  </si>
  <si>
    <t xml:space="preserve">Single Macchiato</t>
  </si>
  <si>
    <t xml:space="preserve">Single macchiato</t>
  </si>
  <si>
    <t xml:space="preserve">Spiced Apple Chai</t>
  </si>
  <si>
    <t xml:space="preserve">Hot chai + apple</t>
  </si>
  <si>
    <t xml:space="preserve">Sticky Toffee Biscoff</t>
  </si>
  <si>
    <t xml:space="preserve">Strawberry</t>
  </si>
  <si>
    <t xml:space="preserve">Listed with milkshake pricing — treated as milkshake</t>
  </si>
  <si>
    <t xml:space="preserve">Strawberry Black</t>
  </si>
  <si>
    <t xml:space="preserve">Unclear — treated as strawberry black tea</t>
  </si>
  <si>
    <t xml:space="preserve">Strawberry Bubble Tea</t>
  </si>
  <si>
    <t xml:space="preserve">Toffee Hot Chocolate</t>
  </si>
  <si>
    <t xml:space="preserve">Toffee Nut Latte</t>
  </si>
  <si>
    <t xml:space="preserve">Flavoured latte (Toffee nut syrup (Monin))</t>
  </si>
  <si>
    <t xml:space="preserve">Tropical Mint Bliss</t>
  </si>
  <si>
    <t xml:space="preserve">Water</t>
  </si>
  <si>
    <t xml:space="preserve">White Americano</t>
  </si>
  <si>
    <t xml:space="preserve">White Hot Chocolate</t>
  </si>
  <si>
    <t xml:space="preserve">White Mocha</t>
  </si>
  <si>
    <t xml:space="preserve">Afternoon Deal</t>
  </si>
  <si>
    <t xml:space="preserve">Meal deal — rough components, VERIFY</t>
  </si>
  <si>
    <t xml:space="preserve">Apple Juice</t>
  </si>
  <si>
    <t xml:space="preserve">Babyccino</t>
  </si>
  <si>
    <t xml:space="preserve">Kids' milk foam</t>
  </si>
  <si>
    <t xml:space="preserve">BKK Kyiv cake</t>
  </si>
  <si>
    <t xml:space="preserve">Blueberry Muffin</t>
  </si>
  <si>
    <t xml:space="preserve">Brownie Bar</t>
  </si>
  <si>
    <t xml:space="preserve">Capri-Sun</t>
  </si>
  <si>
    <t xml:space="preserve">Caramel syrup (add-on)</t>
  </si>
  <si>
    <t xml:space="preserve">1 syrup pump add-on</t>
  </si>
  <si>
    <t xml:space="preserve">'card' (£3.00)</t>
  </si>
  <si>
    <t xml:space="preserve">Unknown — please clarify what this item is</t>
  </si>
  <si>
    <t xml:space="preserve">Coconut milk (+upcharge)</t>
  </si>
  <si>
    <t xml:space="preserve">Upcharge: extra cost of alt-milk vs whole milk (used as modifier, not standalone drink)</t>
  </si>
  <si>
    <t xml:space="preserve">Croissant with Jam</t>
  </si>
  <si>
    <t xml:space="preserve">Plain croissant + jam</t>
  </si>
  <si>
    <t xml:space="preserve">Dark Blue Wafer</t>
  </si>
  <si>
    <t xml:space="preserve">Extra shot</t>
  </si>
  <si>
    <t xml:space="preserve">Add-on: 1 espresso shot</t>
  </si>
  <si>
    <t xml:space="preserve">Ham and Cheese Panini</t>
  </si>
  <si>
    <t xml:space="preserve">Grilled panini</t>
  </si>
  <si>
    <t xml:space="preserve">Ham and Cheese Toastie</t>
  </si>
  <si>
    <t xml:space="preserve">Grilled toastie</t>
  </si>
  <si>
    <t xml:space="preserve">Ham Croissant</t>
  </si>
  <si>
    <t xml:space="preserve">Filled croissant</t>
  </si>
  <si>
    <t xml:space="preserve">Homemade Panini</t>
  </si>
  <si>
    <t xml:space="preserve">Filling unclear — VERIFY</t>
  </si>
  <si>
    <t xml:space="preserve">Homemade Roll</t>
  </si>
  <si>
    <t xml:space="preserve">Hot banana matcha</t>
  </si>
  <si>
    <t xml:space="preserve">Hot blue matcha</t>
  </si>
  <si>
    <t xml:space="preserve">Iced matcha (plain)</t>
  </si>
  <si>
    <t xml:space="preserve">Lemon Drizzle Bar</t>
  </si>
  <si>
    <t xml:space="preserve">Lunch Deal</t>
  </si>
  <si>
    <t xml:space="preserve">Add-on</t>
  </si>
  <si>
    <t xml:space="preserve">Mini Cookie</t>
  </si>
  <si>
    <t xml:space="preserve">Oat milk (+upcharge)</t>
  </si>
  <si>
    <t xml:space="preserve">Orange Juice</t>
  </si>
  <si>
    <t xml:space="preserve">Pringles</t>
  </si>
  <si>
    <t xml:space="preserve">Raspberry and Almond Muffin</t>
  </si>
  <si>
    <t xml:space="preserve">Raspberry Brownie Cheesecake</t>
  </si>
  <si>
    <t xml:space="preserve">Raspberry and matcha cheesecake</t>
  </si>
  <si>
    <t xml:space="preserve">Salami Croissant</t>
  </si>
  <si>
    <t xml:space="preserve">Salami Roll</t>
  </si>
  <si>
    <t xml:space="preserve">Filled roll</t>
  </si>
  <si>
    <t xml:space="preserve">Salmon Croissant</t>
  </si>
  <si>
    <t xml:space="preserve">Salted Caramel Bar</t>
  </si>
  <si>
    <t xml:space="preserve">Still Water</t>
  </si>
  <si>
    <t xml:space="preserve">Strawberry bliss</t>
  </si>
  <si>
    <t xml:space="preserve">Likely typo for 'bliss' — treated as milkshake</t>
  </si>
  <si>
    <t xml:space="preserve">Strawberry Pancake</t>
  </si>
  <si>
    <t xml:space="preserve">Pancake</t>
  </si>
  <si>
    <t xml:space="preserve">Strawberry syrup (add-on)</t>
  </si>
  <si>
    <t xml:space="preserve">Syrup Gift Set</t>
  </si>
  <si>
    <t xml:space="preserve">Retail gift set — VERIFY contents; cost estimate placeholder</t>
  </si>
  <si>
    <t xml:space="preserve">Tropicana</t>
  </si>
  <si>
    <t xml:space="preserve">Tuna Toastie</t>
  </si>
  <si>
    <t xml:space="preserve">Vanilla syrup (add-on)</t>
  </si>
  <si>
    <t xml:space="preserve">RECIPE INGREDIENT DETAILS</t>
  </si>
  <si>
    <t xml:space="preserve">Ingredient (pick from dropdown)</t>
  </si>
  <si>
    <t xml:space="preserve">Qty</t>
  </si>
  <si>
    <t xml:space="preserve">Ingredient unit (auto)</t>
  </si>
  <si>
    <t xml:space="preserve">Cost per unit (auto, £)</t>
  </si>
  <si>
    <t xml:space="preserve">Line cost (auto, £)</t>
  </si>
  <si>
    <t xml:space="preserve">Menu Items — 175 Items (pulls from Recipes)</t>
  </si>
  <si>
    <t xml:space="preserve">Summary view. Cost prices pulled from the Recipes tab — don't edit cost here, edit the recipe.</t>
  </si>
  <si>
    <t xml:space="preserve">#</t>
  </si>
  <si>
    <t xml:space="preserve">Square category</t>
  </si>
  <si>
    <t xml:space="preserve">Other</t>
  </si>
  <si>
    <t xml:space="preserve">Meal deal</t>
  </si>
  <si>
    <t xml:space="preserve">Bottled / pre-packed</t>
  </si>
  <si>
    <t xml:space="preserve">Cake / sweet</t>
  </si>
  <si>
    <t xml:space="preserve">DISCONTINUED (May 2026)</t>
  </si>
  <si>
    <t xml:space="preserve">Matcha</t>
  </si>
  <si>
    <t xml:space="preserve">Latte / flavoured latte</t>
  </si>
  <si>
    <t xml:space="preserve">Add-on / modifier</t>
  </si>
  <si>
    <t xml:space="preserve">Food — savoury</t>
  </si>
  <si>
    <t xml:space="preserve">Espresso-based</t>
  </si>
  <si>
    <t xml:space="preserve">Chai</t>
  </si>
  <si>
    <t xml:space="preserve">Iced drinks</t>
  </si>
  <si>
    <t xml:space="preserve">Fruit cold drink</t>
  </si>
  <si>
    <t xml:space="preserve">Daily Sales Log</t>
  </si>
  <si>
    <t xml:space="preserve">One row per trading day. 'Own cash' auto-fills from Cash Transactions tab if you log there. Otherwise type it in.</t>
  </si>
  <si>
    <t xml:space="preserve">Date</t>
  </si>
  <si>
    <t xml:space="preserve">Day</t>
  </si>
  <si>
    <t xml:space="preserve">Square — card (£)</t>
  </si>
  <si>
    <t xml:space="preserve">Square — cash (£)</t>
  </si>
  <si>
    <t xml:space="preserve">Own cash (auto from log, £)</t>
  </si>
  <si>
    <t xml:space="preserve">Own cash (override, £)</t>
  </si>
  <si>
    <t xml:space="preserve">Total revenue (£)</t>
  </si>
  <si>
    <t xml:space="preserve">Transactions (Square)</t>
  </si>
  <si>
    <t xml:space="preserve">Avg ticket (£)</t>
  </si>
  <si>
    <t xml:space="preserve">Just Eat: £29.62</t>
  </si>
  <si>
    <t xml:space="preserve">Just Eat: £15.68</t>
  </si>
  <si>
    <t xml:space="preserve">Just Eat: £17.73</t>
  </si>
  <si>
    <t xml:space="preserve">Just Eat: £6.08</t>
  </si>
  <si>
    <t xml:space="preserve">Just Eat: £14.04</t>
  </si>
  <si>
    <t xml:space="preserve">Just Eat: £15.64</t>
  </si>
  <si>
    <t xml:space="preserve">Just Eat: £16.13</t>
  </si>
  <si>
    <t xml:space="preserve">Cash Transactions Log</t>
  </si>
  <si>
    <t xml:space="preserve">Log cash sales that didn't go through Square. Item dropdown from your menu. Totals feed Daily Sales automatically.</t>
  </si>
  <si>
    <t xml:space="preserve">Item (dropdown)</t>
  </si>
  <si>
    <t xml:space="preserve">Unit price (£)</t>
  </si>
  <si>
    <t xml:space="preserve">Total (£)</t>
  </si>
  <si>
    <t xml:space="preserve">'card' (£3.00) (M)</t>
  </si>
  <si>
    <t xml:space="preserve">Afternoon Deal (M)</t>
  </si>
  <si>
    <t xml:space="preserve">Apple Juice (M)</t>
  </si>
  <si>
    <t xml:space="preserve">BKK Kyiv cake (M)</t>
  </si>
  <si>
    <t xml:space="preserve">Babyccino (M)</t>
  </si>
  <si>
    <t xml:space="preserve">Banana Milkshake (M)</t>
  </si>
  <si>
    <t xml:space="preserve">Banana Milkshake (S)</t>
  </si>
  <si>
    <t xml:space="preserve">Banana and Pecan Muffin (M)</t>
  </si>
  <si>
    <t xml:space="preserve">Berry Breeze Lemonade (M)</t>
  </si>
  <si>
    <t xml:space="preserve">Berry Breeze Lemonade (S)</t>
  </si>
  <si>
    <t xml:space="preserve">Berry Tea (One)</t>
  </si>
  <si>
    <t xml:space="preserve">Billionaire's shortbread (M)</t>
  </si>
  <si>
    <t xml:space="preserve">Black Americano (M)</t>
  </si>
  <si>
    <t xml:space="preserve">Black Americano (S)</t>
  </si>
  <si>
    <t xml:space="preserve">Black Americano (XL)</t>
  </si>
  <si>
    <t xml:space="preserve">Black Honey (M)</t>
  </si>
  <si>
    <t xml:space="preserve">Black Honey (S)</t>
  </si>
  <si>
    <t xml:space="preserve">Blue Honey Matcha (M)</t>
  </si>
  <si>
    <t xml:space="preserve">Blue Honey Matcha (S)</t>
  </si>
  <si>
    <t xml:space="preserve">Blue Honey Matcha (XL)</t>
  </si>
  <si>
    <t xml:space="preserve">Blue Lavender Matcha (M)</t>
  </si>
  <si>
    <t xml:space="preserve">Blue Lavender Matcha (S)</t>
  </si>
  <si>
    <t xml:space="preserve">Blue Lavender Matcha (XL)</t>
  </si>
  <si>
    <t xml:space="preserve">Blue Vanilla Matcha (M)</t>
  </si>
  <si>
    <t xml:space="preserve">Blue Vanilla Matcha (S)</t>
  </si>
  <si>
    <t xml:space="preserve">Blue Vanilla Matcha (XL)</t>
  </si>
  <si>
    <t xml:space="preserve">Blueberry Muffin (M)</t>
  </si>
  <si>
    <t xml:space="preserve">Brownie Bar (M)</t>
  </si>
  <si>
    <t xml:space="preserve">Butterfly (lavender) Latte (M)</t>
  </si>
  <si>
    <t xml:space="preserve">Butterfly (lavender) Latte (S)</t>
  </si>
  <si>
    <t xml:space="preserve">Butterfly (lavender) Latte (XL)</t>
  </si>
  <si>
    <t xml:space="preserve">Butterfly Hot Chocolate (M)</t>
  </si>
  <si>
    <t xml:space="preserve">Butterfly Hot Chocolate (S)</t>
  </si>
  <si>
    <t xml:space="preserve">Butterfly Hot Chocolate (XL)</t>
  </si>
  <si>
    <t xml:space="preserve">Cappuccino (M)</t>
  </si>
  <si>
    <t xml:space="preserve">Cappuccino (S)</t>
  </si>
  <si>
    <t xml:space="preserve">Cappuccino (XL)</t>
  </si>
  <si>
    <t xml:space="preserve">Capri-Sun (M)</t>
  </si>
  <si>
    <t xml:space="preserve">Caramel syrup (add-on) (M)</t>
  </si>
  <si>
    <t xml:space="preserve">Chai Latte (M)</t>
  </si>
  <si>
    <t xml:space="preserve">Chai Latte (S)</t>
  </si>
  <si>
    <t xml:space="preserve">Chai Latte (XL)</t>
  </si>
  <si>
    <t xml:space="preserve">Chocolate Coffee Milkshake (M)</t>
  </si>
  <si>
    <t xml:space="preserve">Chocolate Coffee Milkshake (S)</t>
  </si>
  <si>
    <t xml:space="preserve">Chocolate Milkshake (M)</t>
  </si>
  <si>
    <t xml:space="preserve">Chocolate Milkshake (S)</t>
  </si>
  <si>
    <t xml:space="preserve">Cinnamon Bun Hot Chocolate (M)</t>
  </si>
  <si>
    <t xml:space="preserve">Cinnamon Bun Hot Chocolate (S)</t>
  </si>
  <si>
    <t xml:space="preserve">Cinnamon Bun Hot Chocolate (XL)</t>
  </si>
  <si>
    <t xml:space="preserve">Cinnamon Bun Latte (M)</t>
  </si>
  <si>
    <t xml:space="preserve">Cinnamon Bun Latte (S)</t>
  </si>
  <si>
    <t xml:space="preserve">Cinnamon Bun Latte (XL)</t>
  </si>
  <si>
    <t xml:space="preserve">Cinnamon classic (M)</t>
  </si>
  <si>
    <t xml:space="preserve">Coca-Cola (M)</t>
  </si>
  <si>
    <t xml:space="preserve">Coconut milk (+upcharge) (M)</t>
  </si>
  <si>
    <t xml:space="preserve">Coffee Milkshake (M)</t>
  </si>
  <si>
    <t xml:space="preserve">Coffee Milkshake (S)</t>
  </si>
  <si>
    <t xml:space="preserve">Cortado (One)</t>
  </si>
  <si>
    <t xml:space="preserve">Croissant with Jam (M)</t>
  </si>
  <si>
    <t xml:space="preserve">Dark Blue Wafer (M)</t>
  </si>
  <si>
    <t xml:space="preserve">Decaf Tea (One)</t>
  </si>
  <si>
    <t xml:space="preserve">Double Espresso (One)</t>
  </si>
  <si>
    <t xml:space="preserve">Double Espresso Con Pana (One)</t>
  </si>
  <si>
    <t xml:space="preserve">Double Macchiato (One)</t>
  </si>
  <si>
    <t xml:space="preserve">Earl Grey (One)</t>
  </si>
  <si>
    <t xml:space="preserve">Emerald Zest (M)</t>
  </si>
  <si>
    <t xml:space="preserve">Emerald Zest (S)</t>
  </si>
  <si>
    <t xml:space="preserve">English Breakfast (One)</t>
  </si>
  <si>
    <t xml:space="preserve">Espresso Tonic (M)</t>
  </si>
  <si>
    <t xml:space="preserve">Espresso Tonic (S)</t>
  </si>
  <si>
    <t xml:space="preserve">Extra shot (M)</t>
  </si>
  <si>
    <t xml:space="preserve">Fanta (M)</t>
  </si>
  <si>
    <t xml:space="preserve">Flat White (One)</t>
  </si>
  <si>
    <t xml:space="preserve">Forest Fruits Tea (One)</t>
  </si>
  <si>
    <t xml:space="preserve">Ginger and Lemongrass Tea (One)</t>
  </si>
  <si>
    <t xml:space="preserve">Green (One)</t>
  </si>
  <si>
    <t xml:space="preserve">Green Apple Bubble Tea (M)</t>
  </si>
  <si>
    <t xml:space="preserve">Green Apple Bubble Tea (S)</t>
  </si>
  <si>
    <t xml:space="preserve">Ham Croissant (M)</t>
  </si>
  <si>
    <t xml:space="preserve">Ham and Cheese Panini (M)</t>
  </si>
  <si>
    <t xml:space="preserve">Ham and Cheese Toastie (M)</t>
  </si>
  <si>
    <t xml:space="preserve">Homemade Panini (M)</t>
  </si>
  <si>
    <t xml:space="preserve">Homemade Roll (M)</t>
  </si>
  <si>
    <t xml:space="preserve">Honey Bubble Tea (M)</t>
  </si>
  <si>
    <t xml:space="preserve">Honey Bubble Tea (S)</t>
  </si>
  <si>
    <t xml:space="preserve">Honey Vanilla Latte (M)</t>
  </si>
  <si>
    <t xml:space="preserve">Honey Vanilla Latte (S)</t>
  </si>
  <si>
    <t xml:space="preserve">Honey Vanilla Latte (XL)</t>
  </si>
  <si>
    <t xml:space="preserve">Hot Chocolate (M)</t>
  </si>
  <si>
    <t xml:space="preserve">Hot Chocolate (S)</t>
  </si>
  <si>
    <t xml:space="preserve">Hot Chocolate (XL)</t>
  </si>
  <si>
    <t xml:space="preserve">Hot Lavender Matcha (M)</t>
  </si>
  <si>
    <t xml:space="preserve">Hot Lavender Matcha (S)</t>
  </si>
  <si>
    <t xml:space="preserve">Hot Lavender Matcha (XL)</t>
  </si>
  <si>
    <t xml:space="preserve">Hot Matcha (M)</t>
  </si>
  <si>
    <t xml:space="preserve">Hot Matcha (S)</t>
  </si>
  <si>
    <t xml:space="preserve">Hot Matcha (XL)</t>
  </si>
  <si>
    <t xml:space="preserve">Hot Rose Matcha (M)</t>
  </si>
  <si>
    <t xml:space="preserve">Hot Rose Matcha (S)</t>
  </si>
  <si>
    <t xml:space="preserve">Hot Rose Matcha (XL)</t>
  </si>
  <si>
    <t xml:space="preserve">Hot Strawberry Matcha (M)</t>
  </si>
  <si>
    <t xml:space="preserve">Hot Strawberry Matcha (S)</t>
  </si>
  <si>
    <t xml:space="preserve">Hot Strawberry Matcha (XL)</t>
  </si>
  <si>
    <t xml:space="preserve">Hot Vanilla Matcha (M)</t>
  </si>
  <si>
    <t xml:space="preserve">Hot Vanilla Matcha (S)</t>
  </si>
  <si>
    <t xml:space="preserve">Hot Vanilla Matcha (XL)</t>
  </si>
  <si>
    <t xml:space="preserve">Hot White Choc Matcha (M)</t>
  </si>
  <si>
    <t xml:space="preserve">Hot White Choc Matcha (S)</t>
  </si>
  <si>
    <t xml:space="preserve">Hot White Choc Matcha (XL)</t>
  </si>
  <si>
    <t xml:space="preserve">Hot banana matcha (M)</t>
  </si>
  <si>
    <t xml:space="preserve">Hot blue matcha (M)</t>
  </si>
  <si>
    <t xml:space="preserve">Iced Banana Matcha (M)</t>
  </si>
  <si>
    <t xml:space="preserve">Iced Banana Matcha (S)</t>
  </si>
  <si>
    <t xml:space="preserve">Iced Black Americano (M)</t>
  </si>
  <si>
    <t xml:space="preserve">Iced Black Americano (S)</t>
  </si>
  <si>
    <t xml:space="preserve">Iced Butterfly Latte (M)</t>
  </si>
  <si>
    <t xml:space="preserve">Iced Butterfly Latte (S)</t>
  </si>
  <si>
    <t xml:space="preserve">Iced Cappuccino (M)</t>
  </si>
  <si>
    <t xml:space="preserve">Iced Cappuccino (S)</t>
  </si>
  <si>
    <t xml:space="preserve">Iced Chai Latte (M)</t>
  </si>
  <si>
    <t xml:space="preserve">Iced Chai Latte (S)</t>
  </si>
  <si>
    <t xml:space="preserve">Iced Cinnamon Bun Latte (M)</t>
  </si>
  <si>
    <t xml:space="preserve">Iced Cinnamon Bun Latte (S)</t>
  </si>
  <si>
    <t xml:space="preserve">Iced Citrus Blue Matcha (M)</t>
  </si>
  <si>
    <t xml:space="preserve">Iced Citrus Blue Matcha (S)</t>
  </si>
  <si>
    <t xml:space="preserve">Iced Coconut Matcha (M)</t>
  </si>
  <si>
    <t xml:space="preserve">Iced Coconut Matcha (S)</t>
  </si>
  <si>
    <t xml:space="preserve">Iced Coconut Water Blue Matcha (M)</t>
  </si>
  <si>
    <t xml:space="preserve">Iced Coconut Water Blue Matcha (S)</t>
  </si>
  <si>
    <t xml:space="preserve">Iced Coconut Water Latte (M)</t>
  </si>
  <si>
    <t xml:space="preserve">Iced Coconut Water Latte (S)</t>
  </si>
  <si>
    <t xml:space="preserve">Iced Flat White (M)</t>
  </si>
  <si>
    <t xml:space="preserve">Iced Flat White (S)</t>
  </si>
  <si>
    <t xml:space="preserve">Iced Honey Blue Matcha (M)</t>
  </si>
  <si>
    <t xml:space="preserve">Iced Honey Blue Matcha (S)</t>
  </si>
  <si>
    <t xml:space="preserve">Iced Honey Vanilla Latte (M)</t>
  </si>
  <si>
    <t xml:space="preserve">Iced Honey Vanilla Latte (S)</t>
  </si>
  <si>
    <t xml:space="preserve">Iced Latte (M)</t>
  </si>
  <si>
    <t xml:space="preserve">Iced Latte (S)</t>
  </si>
  <si>
    <t xml:space="preserve">Iced Lavender Blue Matcha (M)</t>
  </si>
  <si>
    <t xml:space="preserve">Iced Lavender Blue Matcha (S)</t>
  </si>
  <si>
    <t xml:space="preserve">Iced Lavender Latte (M)</t>
  </si>
  <si>
    <t xml:space="preserve">Iced Lavender Latte (S)</t>
  </si>
  <si>
    <t xml:space="preserve">Iced Lemon &amp; Honey Tea (M)</t>
  </si>
  <si>
    <t xml:space="preserve">Iced Lemon &amp; Honey Tea (S)</t>
  </si>
  <si>
    <t xml:space="preserve">Iced Mango Matcha (M)</t>
  </si>
  <si>
    <t xml:space="preserve">Iced Mango Matcha (S)</t>
  </si>
  <si>
    <t xml:space="preserve">Iced Mint Latte (M)</t>
  </si>
  <si>
    <t xml:space="preserve">Iced Mint Latte (S)</t>
  </si>
  <si>
    <t xml:space="preserve">Iced Mocha (M)</t>
  </si>
  <si>
    <t xml:space="preserve">Iced Mocha (S)</t>
  </si>
  <si>
    <t xml:space="preserve">Iced Orange Latte (M)</t>
  </si>
  <si>
    <t xml:space="preserve">Iced Orange Latte (S)</t>
  </si>
  <si>
    <t xml:space="preserve">Iced Peach Matcha (M)</t>
  </si>
  <si>
    <t xml:space="preserve">Iced Peach Matcha (S)</t>
  </si>
  <si>
    <t xml:space="preserve">Iced Pistachio Latte (M)</t>
  </si>
  <si>
    <t xml:space="preserve">Iced Pistachio Latte (S)</t>
  </si>
  <si>
    <t xml:space="preserve">Iced Pumpkin Spice Latte (M)</t>
  </si>
  <si>
    <t xml:space="preserve">Iced Pumpkin Spice Latte (S)</t>
  </si>
  <si>
    <t xml:space="preserve">Iced Raspberry Mocha (M)</t>
  </si>
  <si>
    <t xml:space="preserve">Iced Raspberry Mocha (S)</t>
  </si>
  <si>
    <t xml:space="preserve">Iced Rose Latte (M)</t>
  </si>
  <si>
    <t xml:space="preserve">Iced Rose Latte (S)</t>
  </si>
  <si>
    <t xml:space="preserve">Iced Rose Mocha (M)</t>
  </si>
  <si>
    <t xml:space="preserve">Iced Rose Mocha (S)</t>
  </si>
  <si>
    <t xml:space="preserve">Iced Rose Tea (M)</t>
  </si>
  <si>
    <t xml:space="preserve">Iced Rose Tea (S)</t>
  </si>
  <si>
    <t xml:space="preserve">Iced Rose White Mocha (M)</t>
  </si>
  <si>
    <t xml:space="preserve">Iced Rose White Mocha (S)</t>
  </si>
  <si>
    <t xml:space="preserve">Iced Salted Caramel Latte (M)</t>
  </si>
  <si>
    <t xml:space="preserve">Iced Salted Caramel Latte (S)</t>
  </si>
  <si>
    <t xml:space="preserve">Iced Strawberry Matcha (M)</t>
  </si>
  <si>
    <t xml:space="preserve">Iced Strawberry Matcha (S)</t>
  </si>
  <si>
    <t xml:space="preserve">Iced Toffee Latte (M)</t>
  </si>
  <si>
    <t xml:space="preserve">Iced Toffee Latte (S)</t>
  </si>
  <si>
    <t xml:space="preserve">Iced Vanilla Blue Matcha (M)</t>
  </si>
  <si>
    <t xml:space="preserve">Iced Vanilla Blue Matcha (S)</t>
  </si>
  <si>
    <t xml:space="preserve">Iced White Americano (M)</t>
  </si>
  <si>
    <t xml:space="preserve">Iced White Americano (S)</t>
  </si>
  <si>
    <t xml:space="preserve">Iced White Mocha (M)</t>
  </si>
  <si>
    <t xml:space="preserve">Iced White Mocha (S)</t>
  </si>
  <si>
    <t xml:space="preserve">Iced White Raspberry Mocha (M)</t>
  </si>
  <si>
    <t xml:space="preserve">Iced White Raspberry Mocha (S)</t>
  </si>
  <si>
    <t xml:space="preserve">Iced matcha (plain) (M)</t>
  </si>
  <si>
    <t xml:space="preserve">Jasmine and Mint Green Tea (One)</t>
  </si>
  <si>
    <t xml:space="preserve">Juice (generic) (M)</t>
  </si>
  <si>
    <t xml:space="preserve">Kiwi Bubble Tea (M)</t>
  </si>
  <si>
    <t xml:space="preserve">Kiwi Bubble Tea (S)</t>
  </si>
  <si>
    <t xml:space="preserve">Kyiv cake (slice) (M)</t>
  </si>
  <si>
    <t xml:space="preserve">Kyiv cake (whole) (M)</t>
  </si>
  <si>
    <t xml:space="preserve">Latte (M)</t>
  </si>
  <si>
    <t xml:space="preserve">Latte (S)</t>
  </si>
  <si>
    <t xml:space="preserve">Latte (XL)</t>
  </si>
  <si>
    <t xml:space="preserve">Lavender Hot Chocolate (M)</t>
  </si>
  <si>
    <t xml:space="preserve">Lavender Hot Chocolate (S)</t>
  </si>
  <si>
    <t xml:space="preserve">Lavender Hot Chocolate (XL)</t>
  </si>
  <si>
    <t xml:space="preserve">Lemon Drizzle Bar (M)</t>
  </si>
  <si>
    <t xml:space="preserve">Lemon and Pistachio (M)</t>
  </si>
  <si>
    <t xml:space="preserve">Lunch Deal (M)</t>
  </si>
  <si>
    <t xml:space="preserve">Marshmallow (M)</t>
  </si>
  <si>
    <t xml:space="preserve">Mini Cookie (M)</t>
  </si>
  <si>
    <t xml:space="preserve">Mint (One)</t>
  </si>
  <si>
    <t xml:space="preserve">Mint Hot Chocolate (M)</t>
  </si>
  <si>
    <t xml:space="preserve">Mint Hot Chocolate (S)</t>
  </si>
  <si>
    <t xml:space="preserve">Mint Hot Chocolate (XL)</t>
  </si>
  <si>
    <t xml:space="preserve">Mint Latte (M)</t>
  </si>
  <si>
    <t xml:space="preserve">Mint Latte (S)</t>
  </si>
  <si>
    <t xml:space="preserve">Mint Latte (XL)</t>
  </si>
  <si>
    <t xml:space="preserve">Mocha (M)</t>
  </si>
  <si>
    <t xml:space="preserve">Mocha (S)</t>
  </si>
  <si>
    <t xml:space="preserve">Mocha (XL)</t>
  </si>
  <si>
    <t xml:space="preserve">Mocha Cortado (One)</t>
  </si>
  <si>
    <t xml:space="preserve">Oat milk (+upcharge) (M)</t>
  </si>
  <si>
    <t xml:space="preserve">Orange Americano (M)</t>
  </si>
  <si>
    <t xml:space="preserve">Orange Americano (S)</t>
  </si>
  <si>
    <t xml:space="preserve">Orange Americano (XL)</t>
  </si>
  <si>
    <t xml:space="preserve">Orange Hot Chocolate (M)</t>
  </si>
  <si>
    <t xml:space="preserve">Orange Hot Chocolate (S)</t>
  </si>
  <si>
    <t xml:space="preserve">Orange Hot Chocolate (XL)</t>
  </si>
  <si>
    <t xml:space="preserve">Orange Juice (M)</t>
  </si>
  <si>
    <t xml:space="preserve">Orange Latte (M)</t>
  </si>
  <si>
    <t xml:space="preserve">Orange Latte (S)</t>
  </si>
  <si>
    <t xml:space="preserve">Orange Latte (XL)</t>
  </si>
  <si>
    <t xml:space="preserve">Passion Fruit (M)</t>
  </si>
  <si>
    <t xml:space="preserve">Passion Fruit (S)</t>
  </si>
  <si>
    <t xml:space="preserve">Passion Fruit Bubble Tea (M)</t>
  </si>
  <si>
    <t xml:space="preserve">Passion Fruit Bubble Tea (S)</t>
  </si>
  <si>
    <t xml:space="preserve">Peach Iced Tea (M)</t>
  </si>
  <si>
    <t xml:space="preserve">Peach Iced Tea (S)</t>
  </si>
  <si>
    <t xml:space="preserve">Pineapple &amp; Passion Fruit (M)</t>
  </si>
  <si>
    <t xml:space="preserve">Pineapple &amp; Passion Fruit (S)</t>
  </si>
  <si>
    <t xml:space="preserve">Pistachio Hot Chocolate (M)</t>
  </si>
  <si>
    <t xml:space="preserve">Pistachio Hot Chocolate (S)</t>
  </si>
  <si>
    <t xml:space="preserve">Pistachio Hot Chocolate (XL)</t>
  </si>
  <si>
    <t xml:space="preserve">Pistachio Latte (M)</t>
  </si>
  <si>
    <t xml:space="preserve">Pistachio Latte (S)</t>
  </si>
  <si>
    <t xml:space="preserve">Pistachio Latte (XL)</t>
  </si>
  <si>
    <t xml:space="preserve">Pom-Bear crisps (M)</t>
  </si>
  <si>
    <t xml:space="preserve">Pringles (M)</t>
  </si>
  <si>
    <t xml:space="preserve">Pumpkin Spice Hot Chocolate (M)</t>
  </si>
  <si>
    <t xml:space="preserve">Pumpkin Spice Hot Chocolate (S)</t>
  </si>
  <si>
    <t xml:space="preserve">Pumpkin Spice Hot Chocolate (XL)</t>
  </si>
  <si>
    <t xml:space="preserve">Pumpkin Spice Latte (M)</t>
  </si>
  <si>
    <t xml:space="preserve">Pumpkin Spice Latte (S)</t>
  </si>
  <si>
    <t xml:space="preserve">Pumpkin Spice Latte (XL)</t>
  </si>
  <si>
    <t xml:space="preserve">Raff Coffee (M)</t>
  </si>
  <si>
    <t xml:space="preserve">Raff Coffee (S)</t>
  </si>
  <si>
    <t xml:space="preserve">Raff Coffee (XL)</t>
  </si>
  <si>
    <t xml:space="preserve">Raspberry Brownie Cheesecake (M)</t>
  </si>
  <si>
    <t xml:space="preserve">Raspberry Hot Chocolate (M)</t>
  </si>
  <si>
    <t xml:space="preserve">Raspberry Hot Chocolate (S)</t>
  </si>
  <si>
    <t xml:space="preserve">Raspberry Hot Chocolate (XL)</t>
  </si>
  <si>
    <t xml:space="preserve">Raspberry and Almond Muffin (M)</t>
  </si>
  <si>
    <t xml:space="preserve">Raspberry and matcha cheesecake (M)</t>
  </si>
  <si>
    <t xml:space="preserve">Rose Hot Chocolate (M)</t>
  </si>
  <si>
    <t xml:space="preserve">Rose Hot Chocolate (S)</t>
  </si>
  <si>
    <t xml:space="preserve">Rose Hot Chocolate (XL)</t>
  </si>
  <si>
    <t xml:space="preserve">Rose Latte (M)</t>
  </si>
  <si>
    <t xml:space="preserve">Rose Latte (S)</t>
  </si>
  <si>
    <t xml:space="preserve">Rose Latte (XL)</t>
  </si>
  <si>
    <t xml:space="preserve">Rose White Mocha (M)</t>
  </si>
  <si>
    <t xml:space="preserve">Rose White Mocha (S)</t>
  </si>
  <si>
    <t xml:space="preserve">Rose White Mocha (XL)</t>
  </si>
  <si>
    <t xml:space="preserve">Salami Croissant (M)</t>
  </si>
  <si>
    <t xml:space="preserve">Salami Roll (M)</t>
  </si>
  <si>
    <t xml:space="preserve">Salmon Croissant (M)</t>
  </si>
  <si>
    <t xml:space="preserve">Salted Caramel Bar (M)</t>
  </si>
  <si>
    <t xml:space="preserve">Salted Caramel Brownie (M)</t>
  </si>
  <si>
    <t xml:space="preserve">Salted Caramel Coffee Milkshake (M)</t>
  </si>
  <si>
    <t xml:space="preserve">Salted Caramel Coffee Milkshake (S)</t>
  </si>
  <si>
    <t xml:space="preserve">Salted Caramel Hot Chocolate (M)</t>
  </si>
  <si>
    <t xml:space="preserve">Salted Caramel Hot Chocolate (S)</t>
  </si>
  <si>
    <t xml:space="preserve">Salted Caramel Hot Chocolate (XL)</t>
  </si>
  <si>
    <t xml:space="preserve">Salted Caramel Latte (M)</t>
  </si>
  <si>
    <t xml:space="preserve">Salted Caramel Latte (S)</t>
  </si>
  <si>
    <t xml:space="preserve">Salted Caramel Latte (XL)</t>
  </si>
  <si>
    <t xml:space="preserve">Salted Caramel Milkshake (M)</t>
  </si>
  <si>
    <t xml:space="preserve">Salted Caramel Milkshake (S)</t>
  </si>
  <si>
    <t xml:space="preserve">Single Espresso (One)</t>
  </si>
  <si>
    <t xml:space="preserve">Single Espresso Con Pana (One)</t>
  </si>
  <si>
    <t xml:space="preserve">Single Macchiato (One)</t>
  </si>
  <si>
    <t xml:space="preserve">Spiced Apple Chai (One)</t>
  </si>
  <si>
    <t xml:space="preserve">Sticky Toffee Biscoff (M)</t>
  </si>
  <si>
    <t xml:space="preserve">Still Water (M)</t>
  </si>
  <si>
    <t xml:space="preserve">Strawberry (M)</t>
  </si>
  <si>
    <t xml:space="preserve">Strawberry (S)</t>
  </si>
  <si>
    <t xml:space="preserve">Strawberry Black (One)</t>
  </si>
  <si>
    <t xml:space="preserve">Strawberry Bubble Tea (M)</t>
  </si>
  <si>
    <t xml:space="preserve">Strawberry Bubble Tea (S)</t>
  </si>
  <si>
    <t xml:space="preserve">Strawberry Pancake (M)</t>
  </si>
  <si>
    <t xml:space="preserve">Strawberry bliss (M)</t>
  </si>
  <si>
    <t xml:space="preserve">Strawberry syrup (add-on) (M)</t>
  </si>
  <si>
    <t xml:space="preserve">Syrup Gift Set (M)</t>
  </si>
  <si>
    <t xml:space="preserve">Toffee Hot Chocolate (M)</t>
  </si>
  <si>
    <t xml:space="preserve">Toffee Hot Chocolate (S)</t>
  </si>
  <si>
    <t xml:space="preserve">Toffee Hot Chocolate (XL)</t>
  </si>
  <si>
    <t xml:space="preserve">Toffee Nut Latte (M)</t>
  </si>
  <si>
    <t xml:space="preserve">Toffee Nut Latte (S)</t>
  </si>
  <si>
    <t xml:space="preserve">Toffee Nut Latte (XL)</t>
  </si>
  <si>
    <t xml:space="preserve">Tropical Mint Bliss (M)</t>
  </si>
  <si>
    <t xml:space="preserve">Tropical Mint Bliss (S)</t>
  </si>
  <si>
    <t xml:space="preserve">Tropicana (M)</t>
  </si>
  <si>
    <t xml:space="preserve">Tuna Toastie (M)</t>
  </si>
  <si>
    <t xml:space="preserve">Vanilla syrup (add-on) (M)</t>
  </si>
  <si>
    <t xml:space="preserve">Water (M)</t>
  </si>
  <si>
    <t xml:space="preserve">White Americano (M)</t>
  </si>
  <si>
    <t xml:space="preserve">White Americano (S)</t>
  </si>
  <si>
    <t xml:space="preserve">White Americano (XL)</t>
  </si>
  <si>
    <t xml:space="preserve">White Hot Chocolate (M)</t>
  </si>
  <si>
    <t xml:space="preserve">White Hot Chocolate (S)</t>
  </si>
  <si>
    <t xml:space="preserve">White Hot Chocolate (XL)</t>
  </si>
  <si>
    <t xml:space="preserve">White Mocha (M)</t>
  </si>
  <si>
    <t xml:space="preserve">White Mocha (S)</t>
  </si>
  <si>
    <t xml:space="preserve">White Mocha (XL)</t>
  </si>
  <si>
    <t xml:space="preserve">Expenses Log</t>
  </si>
  <si>
    <t xml:space="preserve">All business outgoings. Use consistent category names — the P&amp;L groups by these.</t>
  </si>
  <si>
    <t xml:space="preserve">Vendor / description</t>
  </si>
  <si>
    <t xml:space="preserve">Amount (£)</t>
  </si>
  <si>
    <t xml:space="preserve">Payment method</t>
  </si>
  <si>
    <t xml:space="preserve">Receipt?</t>
  </si>
  <si>
    <t xml:space="preserve">Stock — coffee</t>
  </si>
  <si>
    <t xml:space="preserve">Nextdaycatering.co.uk Card purchase</t>
  </si>
  <si>
    <t xml:space="preserve">Card</t>
  </si>
  <si>
    <t xml:space="preserve">Capital expenditure — Catering equipment (capital expense, not regular)</t>
  </si>
  <si>
    <t xml:space="preserve">Stock — dairy</t>
  </si>
  <si>
    <t xml:space="preserve">Inv-2076 Call Out Dale Morrison Bank transfer</t>
  </si>
  <si>
    <t xml:space="preserve">Bank transfer</t>
  </si>
  <si>
    <t xml:space="preserve">Capital expenditure — Setup/maintenance work (capital expense)</t>
  </si>
  <si>
    <t xml:space="preserve">Stock — syrups</t>
  </si>
  <si>
    <t xml:space="preserve">Adexa Direct Card purchase</t>
  </si>
  <si>
    <t xml:space="preserve">Stock — cakes</t>
  </si>
  <si>
    <t xml:space="preserve">Royal Bk Of Scotland Dundee Gbr Withdrawal</t>
  </si>
  <si>
    <t xml:space="preserve">Cash withdrawal</t>
  </si>
  <si>
    <t xml:space="preserve">Director drawings — cash withdrawal</t>
  </si>
  <si>
    <t xml:space="preserve">Stock — food</t>
  </si>
  <si>
    <t xml:space="preserve">Utilities</t>
  </si>
  <si>
    <t xml:space="preserve">Efx076648 Everﬂow Limited Direct debit</t>
  </si>
  <si>
    <t xml:space="preserve">Direct debit</t>
  </si>
  <si>
    <t xml:space="preserve">Stock — packaging</t>
  </si>
  <si>
    <t xml:space="preserve">Rent</t>
  </si>
  <si>
    <t xml:space="preserve">23com Rent Nethergate Lettings Ltd Standing order</t>
  </si>
  <si>
    <t xml:space="preserve">Standing order</t>
  </si>
  <si>
    <t xml:space="preserve">Monthly rent</t>
  </si>
  <si>
    <t xml:space="preserve">Stock — other</t>
  </si>
  <si>
    <t xml:space="preserve">Drem01- 44638 Chas Stewart Plumbing Heat Bank transfer</t>
  </si>
  <si>
    <t xml:space="preserve">Bt Business Bill Card purchase</t>
  </si>
  <si>
    <t xml:space="preserve">Phone/internet (BT)</t>
  </si>
  <si>
    <t xml:space="preserve">2000322410001 Yu Energy Direct debit</t>
  </si>
  <si>
    <t xml:space="preserve">Electricity</t>
  </si>
  <si>
    <t xml:space="preserve">Wages</t>
  </si>
  <si>
    <t xml:space="preserve">2028660 Sysco Gb Direct debit</t>
  </si>
  <si>
    <t xml:space="preserve">Sysco — likely fresh food/dairy mix; could be split if needed</t>
  </si>
  <si>
    <t xml:space="preserve">Marketing</t>
  </si>
  <si>
    <t xml:space="preserve">Anduff Car Wash Limite Buckinghamshi Gbr Card purchase</t>
  </si>
  <si>
    <t xml:space="preserve">Director drawings — Car wash — personal</t>
  </si>
  <si>
    <t xml:space="preserve">Square fees</t>
  </si>
  <si>
    <t xml:space="preserve">Kyivsmak Card purchase</t>
  </si>
  <si>
    <t xml:space="preserve">Kyivsmak — Ukrainian food supplier</t>
  </si>
  <si>
    <t xml:space="preserve">Tesco Card purchase</t>
  </si>
  <si>
    <t xml:space="preserve">Supermarket purchase — likely stock for shop</t>
  </si>
  <si>
    <t xml:space="preserve">Forfar Road Service St Scotland Card purchase</t>
  </si>
  <si>
    <t xml:space="preserve">Director drawings — Travel — likely personal</t>
  </si>
  <si>
    <t xml:space="preserve">Morrisons Daily Card purchase</t>
  </si>
  <si>
    <t xml:space="preserve">Nya Scotia Forecourt S Dundee Card purchase</t>
  </si>
  <si>
    <t xml:space="preserve">Director drawings — Personal</t>
  </si>
  <si>
    <t xml:space="preserve">Lidl Card purchase</t>
  </si>
  <si>
    <t xml:space="preserve">Dundee Cc Parking Card purchase</t>
  </si>
  <si>
    <t xml:space="preserve">Director drawings — Parking — personal</t>
  </si>
  <si>
    <t xml:space="preserve">Tenpin Dundee Card purchase</t>
  </si>
  <si>
    <t xml:space="preserve">Director drawings — Personal expenditure on business card</t>
  </si>
  <si>
    <t xml:space="preserve">David Lloyds Leisure L Dundee Card purchase</t>
  </si>
  <si>
    <t xml:space="preserve">Mol Ndcc Card purchase</t>
  </si>
  <si>
    <t xml:space="preserve">Mol Ndcc — ASK USER what this is</t>
  </si>
  <si>
    <t xml:space="preserve">Nya Tenpin Card purchase</t>
  </si>
  <si>
    <t xml:space="preserve">B&amp;m Card purchase</t>
  </si>
  <si>
    <t xml:space="preserve">Sundries / equipment / homeware</t>
  </si>
  <si>
    <t xml:space="preserve">The West House Card purchase</t>
  </si>
  <si>
    <t xml:space="preserve">Director drawings — Restaurant — personal</t>
  </si>
  <si>
    <t xml:space="preserve">Seagate Convenience St Dundee Card purchase</t>
  </si>
  <si>
    <t xml:space="preserve">Local convenience store top-ups</t>
  </si>
  <si>
    <t xml:space="preserve">Pets At Home Card purchase</t>
  </si>
  <si>
    <t xml:space="preserve">Boots Card purchase</t>
  </si>
  <si>
    <t xml:space="preserve">Buchanan St Station Glasgow Card purchase</t>
  </si>
  <si>
    <t xml:space="preserve">2000322410001 Yu Energy Retail L Direct debit</t>
  </si>
  <si>
    <t xml:space="preserve">Drem01-44639 Chas Stewart Plumbing Heat Bank transfer</t>
  </si>
  <si>
    <t xml:space="preserve">Acc-num-11708428 Engie Power Limited Bank transfer</t>
  </si>
  <si>
    <t xml:space="preserve">Amazon Card purchase</t>
  </si>
  <si>
    <t xml:space="preserve">Amazon — purpose varies, verify if large amounts</t>
  </si>
  <si>
    <t xml:space="preserve">James Allan Braithwait Dundee Sw Card purchase</t>
  </si>
  <si>
    <t xml:space="preserve">Coffee beans (per user)</t>
  </si>
  <si>
    <t xml:space="preserve">7004982771 Water Plus Direct debit</t>
  </si>
  <si>
    <t xml:space="preserve">Notemachine Dd1 2eh Gbr Withdrawal</t>
  </si>
  <si>
    <t xml:space="preserve">Sasha's Corner Monolith Uk Ltd Bank transfer</t>
  </si>
  <si>
    <t xml:space="preserve">Sasha's Corner Monolith — verify supplier</t>
  </si>
  <si>
    <t xml:space="preserve">Xplore Dundee Card purchase</t>
  </si>
  <si>
    <t xml:space="preserve">Director drawings — Bus fare — likely personal use of business card</t>
  </si>
  <si>
    <t xml:space="preserve">Temu.com Card purchase</t>
  </si>
  <si>
    <t xml:space="preserve">Amazon Prime Card purchase</t>
  </si>
  <si>
    <t xml:space="preserve">Amazon Prime subscription</t>
  </si>
  <si>
    <t xml:space="preserve">Ncp.co.uk Card purchase</t>
  </si>
  <si>
    <t xml:space="preserve">Director drawings — Parking — likely personal</t>
  </si>
  <si>
    <t xml:space="preserve">23commercialstreet Nethergate Lettings Ltd Bank transfer</t>
  </si>
  <si>
    <t xml:space="preserve">Gp01388292-000001 Bt Group Direct debit</t>
  </si>
  <si>
    <t xml:space="preserve">Dcc Parking Card purchase</t>
  </si>
  <si>
    <t xml:space="preserve">Flixbus Uk Card purchase</t>
  </si>
  <si>
    <t xml:space="preserve">Sign Ivan Kotiuzhanskyi Bank transfer</t>
  </si>
  <si>
    <t xml:space="preserve">Capital expenditure — Likely signage / fit-out — verify</t>
  </si>
  <si>
    <t xml:space="preserve">50501208 Partners&amp; Limited Bank transfer</t>
  </si>
  <si>
    <t xml:space="preserve">Partners&amp; Limited — likely insurance, verify</t>
  </si>
  <si>
    <t xml:space="preserve">Monthly Profit &amp; Loss — Full Year View</t>
  </si>
  <si>
    <t xml:space="preserve">Every month side-by-side. Change the year in yellow to see a different year. Total column auto-sums.</t>
  </si>
  <si>
    <t xml:space="preserve">Year:</t>
  </si>
  <si>
    <t xml:space="preserve">Line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</si>
  <si>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</si>
  <si>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</si>
  <si>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</si>
  <si>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</si>
  <si>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</si>
  <si>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</si>
  <si>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</si>
  <si>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</si>
  <si>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</si>
  <si>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</si>
  <si>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</si>
  <si>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</si>
  <si>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</si>
  <si>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REVENUE</t>
  </si>
  <si>
    <t xml:space="preserve">Card sales</t>
  </si>
  <si>
    <t xml:space="preserve">Square cash sales</t>
  </si>
  <si>
    <t xml:space="preserve">Own cash sales</t>
  </si>
  <si>
    <t xml:space="preserve">TOTAL REVENUE</t>
  </si>
  <si>
    <t xml:space="preserve">COST OF GOODS SOLD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</si>
  <si>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</si>
  <si>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</si>
  <si>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</si>
  <si>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</si>
  <si>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TOTAL OPEX</t>
  </si>
  <si>
    <t xml:space="preserve">NET PROFIT (before tax)</t>
  </si>
  <si>
    <t xml:space="preserve">Net margin %</t>
  </si>
  <si>
    <t xml:space="preserve">Corporation Tax reserve (19%)</t>
  </si>
  <si>
    <t xml:space="preserve">NET PROFIT (after tax)</t>
  </si>
  <si>
    <t xml:space="preserve">Year-to-date totals, split between card/cash, best and worst months, and key ratios.</t>
  </si>
  <si>
    <t xml:space="preserve">YTD totals</t>
  </si>
  <si>
    <t xml:space="preserve">Total revenue</t>
  </si>
  <si>
    <t xml:space="preserve">  Card sales</t>
  </si>
  <si>
    <t xml:space="preserve">  Square cash</t>
  </si>
  <si>
    <t xml:space="preserve">  Own cash</t>
  </si>
  <si>
    <t xml:space="preserve">Total COGS</t>
  </si>
  <si>
    <t xml:space="preserve">Gross profit</t>
  </si>
  <si>
    <t xml:space="preserve">Total operating expenses</t>
  </si>
  <si>
    <t xml:space="preserve">Net profit (before tax)</t>
  </si>
  <si>
    <t xml:space="preserve">Net profit (after tax)</t>
  </si>
  <si>
    <t xml:space="preserve">Payment mix</t>
  </si>
  <si>
    <t xml:space="preserve">Card as % of revenue</t>
  </si>
  <si>
    <t xml:space="preserve">Total cash as % of revenue</t>
  </si>
  <si>
    <t xml:space="preserve">Own-cash as % of total cash</t>
  </si>
  <si>
    <t xml:space="preserve">Best &amp; worst months (revenue)</t>
  </si>
  <si>
    <t xml:space="preserve">Best month (£)</t>
  </si>
  <si>
    <t xml:space="preserve">Best month name</t>
  </si>
  <si>
    <t xml:space="preserve">Worst month (£, excluding zero months)</t>
  </si>
  <si>
    <t xml:space="preserve">Trading months so far</t>
  </si>
  <si>
    <t xml:space="preserve">Average monthly revenue (active months)</t>
  </si>
  <si>
    <t xml:space="preserve">Target progress</t>
  </si>
  <si>
    <t xml:space="preserve">Monthly revenue target (£)</t>
  </si>
  <si>
    <t xml:space="preserve">Average month vs target</t>
  </si>
  <si>
    <t xml:space="preserve">Annual target (12 × monthly)</t>
  </si>
  <si>
    <t xml:space="preserve">YTD vs annual target</t>
  </si>
  <si>
    <t xml:space="preserve">Sasha's Corner — Dashboard</t>
  </si>
  <si>
    <t xml:space="preserve">Top view: this month + year to date. All numbers auto-update.</t>
  </si>
  <si>
    <t xml:space="preserve">Show month:</t>
  </si>
  <si>
    <t xml:space="preserve">This month</t>
  </si>
  <si>
    <t xml:space="preserve">Year to date</t>
  </si>
  <si>
    <t xml:space="preserve">Revenue</t>
  </si>
  <si>
    <t xml:space="preserve">YTD revenue</t>
  </si>
  <si>
    <t xml:space="preserve">YTD card</t>
  </si>
  <si>
    <t xml:space="preserve">Total cash</t>
  </si>
  <si>
    <t xml:space="preserve">YTD cash (sq + own)</t>
  </si>
  <si>
    <t xml:space="preserve">YTD gross profit</t>
  </si>
  <si>
    <t xml:space="preserve">YTD net profit (before tax)</t>
  </si>
  <si>
    <t xml:space="preserve">YTD gross margin %</t>
  </si>
  <si>
    <t xml:space="preserve">YTD net margin %</t>
  </si>
  <si>
    <t xml:space="preserve">Progress to target</t>
  </si>
  <si>
    <t xml:space="preserve">Monthly target (£)</t>
  </si>
  <si>
    <t xml:space="preserve">This month actual</t>
  </si>
  <si>
    <t xml:space="preserve">% of target</t>
  </si>
  <si>
    <t xml:space="preserve">Sources, Assumptions &amp; Open Questions</t>
  </si>
  <si>
    <t xml:space="preserve">Where the recipe estimates come from, what's been fixed, and what still needs your input.</t>
  </si>
  <si>
    <t xml:space="preserve">Size conventions used</t>
  </si>
  <si>
    <t xml:space="preserve">S / Small</t>
  </si>
  <si>
    <t xml:space="preserve">Hot: 8oz cup, 1 espresso shot, 160ml milk. Iced: 12oz cup, lighter liquid.</t>
  </si>
  <si>
    <t xml:space="preserve">M / Medium / Regular</t>
  </si>
  <si>
    <t xml:space="preserve">Hot: 12oz cup, 2 shots, 240ml milk. Iced: 16oz cup.</t>
  </si>
  <si>
    <t xml:space="preserve">XL / Large</t>
  </si>
  <si>
    <t xml:space="preserve">Hot: 16oz cup, 2 shots, 320ml milk. Iced: 16oz cup with more liquid.</t>
  </si>
  <si>
    <t xml:space="preserve">One (single size)</t>
  </si>
  <si>
    <t xml:space="preserve">Espressos, macchiatos, teas, flat whites, cortados — default 8oz cup, 1-2 shots as per drink.</t>
  </si>
  <si>
    <t xml:space="preserve">Standard recipe components</t>
  </si>
  <si>
    <t xml:space="preserve">Espresso shot</t>
  </si>
  <si>
    <t xml:space="preserve">18g beans @ £22/kg</t>
  </si>
  <si>
    <t xml:space="preserve">£0.40</t>
  </si>
  <si>
    <t xml:space="preserve">Milk 160ml (S latte)</t>
  </si>
  <si>
    <t xml:space="preserve">160ml whole @ £1.20/L</t>
  </si>
  <si>
    <t xml:space="preserve">£0.19</t>
  </si>
  <si>
    <t xml:space="preserve">Milk 240ml (M latte)</t>
  </si>
  <si>
    <t xml:space="preserve">240ml whole @ £1.20/L</t>
  </si>
  <si>
    <t xml:space="preserve">£0.29</t>
  </si>
  <si>
    <t xml:space="preserve">Milk 320ml (XL latte)</t>
  </si>
  <si>
    <t xml:space="preserve">320ml whole @ £1.20/L</t>
  </si>
  <si>
    <t xml:space="preserve">£0.38</t>
  </si>
  <si>
    <t xml:space="preserve">Monin syrup (M drink, 20ml)</t>
  </si>
  <si>
    <t xml:space="preserve">20ml @ ~£0.008/ml</t>
  </si>
  <si>
    <t xml:space="preserve">£0.16</t>
  </si>
  <si>
    <t xml:space="preserve">Chocolate powder (M)</t>
  </si>
  <si>
    <t xml:space="preserve">15g @ £9/kg</t>
  </si>
  <si>
    <t xml:space="preserve">£0.14</t>
  </si>
  <si>
    <t xml:space="preserve">White chocolate sauce (M)</t>
  </si>
  <si>
    <t xml:space="preserve">30ml @ £10/L</t>
  </si>
  <si>
    <t xml:space="preserve">£0.30</t>
  </si>
  <si>
    <t xml:space="preserve">Matcha powder (M)</t>
  </si>
  <si>
    <t xml:space="preserve">2g @ £80/kg</t>
  </si>
  <si>
    <t xml:space="preserve">Butterfly pea (blue matcha)</t>
  </si>
  <si>
    <t xml:space="preserve">1g @ £40/kg</t>
  </si>
  <si>
    <t xml:space="preserve">£0.04</t>
  </si>
  <si>
    <t xml:space="preserve">Ice cream (M milkshake)</t>
  </si>
  <si>
    <t xml:space="preserve">100ml @ £4/L</t>
  </si>
  <si>
    <t xml:space="preserve">Tapioca pearls (M bubble tea)</t>
  </si>
  <si>
    <t xml:space="preserve">50g @ £8/kg (cooked)</t>
  </si>
  <si>
    <t xml:space="preserve">12oz cup + lid + napkin</t>
  </si>
  <si>
    <t xml:space="preserve">£0.10 + £0.05 + £0.008</t>
  </si>
  <si>
    <t xml:space="preserve">16oz cup + lid + napkin</t>
  </si>
  <si>
    <t xml:space="preserve">£0.12 + £0.06 + £0.008</t>
  </si>
  <si>
    <t xml:space="preserve">Typos fixed in this workbook (fix in Square too)</t>
  </si>
  <si>
    <t xml:space="preserve">Cappucino</t>
  </si>
  <si>
    <t xml:space="preserve">→ Cappuccino</t>
  </si>
  <si>
    <t xml:space="preserve">cinammon classic</t>
  </si>
  <si>
    <t xml:space="preserve">→ Cinnamon classic</t>
  </si>
  <si>
    <t xml:space="preserve">billionare's shortbread</t>
  </si>
  <si>
    <t xml:space="preserve">→ Billionaire's shortbread</t>
  </si>
  <si>
    <t xml:space="preserve">rasperry and matcha cheescaks</t>
  </si>
  <si>
    <t xml:space="preserve">→ Raspberry and matcha cheesecake</t>
  </si>
  <si>
    <t xml:space="preserve">strawberry blass</t>
  </si>
  <si>
    <t xml:space="preserve">→ Strawberry bliss (likely intended)</t>
  </si>
  <si>
    <t xml:space="preserve">iced matcha plane</t>
  </si>
  <si>
    <t xml:space="preserve">→ Iced matcha (plain)</t>
  </si>
  <si>
    <t xml:space="preserve">hot banana matcha M</t>
  </si>
  <si>
    <t xml:space="preserve">→ Hot banana matcha (orphan 'M' dropped)</t>
  </si>
  <si>
    <t xml:space="preserve">Spring saesonal drinks (62 items)</t>
  </si>
  <si>
    <t xml:space="preserve">→ Spring seasonal drinks</t>
  </si>
  <si>
    <t xml:space="preserve">Inconsistent capitalisation across menu</t>
  </si>
  <si>
    <t xml:space="preserve">→ Title Case applied consistently</t>
  </si>
  <si>
    <t xml:space="preserve">Inconsistent size naming (S/M/XL vs Small/Regular/XL vs Small/Medium/XL)</t>
  </si>
  <si>
    <t xml:space="preserve">→ Normalised to S/M/XL throughout this workbook. Pick one in Square.</t>
  </si>
  <si>
    <t xml:space="preserve">OPEN QUESTIONS — 12 items I still need clarity on</t>
  </si>
  <si>
    <t xml:space="preserve">What's in it?</t>
  </si>
  <si>
    <t xml:space="preserve">Composition?</t>
  </si>
  <si>
    <t xml:space="preserve">Strawberry (£3.90)</t>
  </si>
  <si>
    <t xml:space="preserve">Milkshake? Other?</t>
  </si>
  <si>
    <t xml:space="preserve">Strawberry bliss (was 'blass')</t>
  </si>
  <si>
    <t xml:space="preserve">What is it?</t>
  </si>
  <si>
    <t xml:space="preserve">Strawberry black</t>
  </si>
  <si>
    <t xml:space="preserve">Strawberry-flavoured black tea? Coffee?</t>
  </si>
  <si>
    <t xml:space="preserve">Black honey</t>
  </si>
  <si>
    <t xml:space="preserve">Tea-based? Other?</t>
  </si>
  <si>
    <t xml:space="preserve">Gift card / greeting card / card-payment fee?</t>
  </si>
  <si>
    <t xml:space="preserve">Juice (generic £1.90)</t>
  </si>
  <si>
    <t xml:space="preserve">Which juice?</t>
  </si>
  <si>
    <t xml:space="preserve">BKK Kyiv cake (£20)</t>
  </si>
  <si>
    <t xml:space="preserve">Different from Kyiv cake (whole)?</t>
  </si>
  <si>
    <t xml:space="preserve">Kyiv cake (whole, £25)</t>
  </si>
  <si>
    <t xml:space="preserve">Full cake? Size? Wholesale cost?</t>
  </si>
  <si>
    <t xml:space="preserve">Lunch deal (£6.95) / Afternoon deal (£5.00)</t>
  </si>
  <si>
    <t xml:space="preserve">Components?</t>
  </si>
  <si>
    <t xml:space="preserve">Homemade panini / Homemade roll</t>
  </si>
  <si>
    <t xml:space="preserve">Recipes?</t>
  </si>
  <si>
    <t xml:space="preserve">Data-hygiene observations on your Square catalogue</t>
  </si>
  <si>
    <t xml:space="preserve">Milk-variant SKU duplication</t>
  </si>
  <si>
    <t xml:space="preserve">Most multi-milk drinks have 2-4 SKUs per size. Fine for inventory, noisy for reporting. Audit at your convenience.</t>
  </si>
  <si>
    <t xml:space="preserve">Orphaned items</t>
  </si>
  <si>
    <t xml:space="preserve">'hot banana matcha M' and 'hot blue matcha' exist as standalone items outside the normal size-variant structure. Likely accidental duplicates.</t>
  </si>
  <si>
    <t xml:space="preserve">Empty categories</t>
  </si>
  <si>
    <t xml:space="preserve">~270 of 538 SKUs have no Reporting Category set in Square. Worth tagging when you edit — improves Square's own reports.</t>
  </si>
  <si>
    <t xml:space="preserve">Archive check</t>
  </si>
  <si>
    <t xml:space="preserve">Go through Square and archive anything you no longer sell — reduces catalogue noise.</t>
  </si>
  <si>
    <t xml:space="preserve">Director's Account — Capital In &amp; Drawings Out</t>
  </si>
  <si>
    <t xml:space="preserve">Tracks money YOU put in (capital injection) and money YOU take out (drawings). Not part of the operating P&amp;L.</t>
  </si>
  <si>
    <t xml:space="preserve">Type</t>
  </si>
  <si>
    <t xml:space="preserve">Description</t>
  </si>
  <si>
    <t xml:space="preserve">Amount IN (£)</t>
  </si>
  <si>
    <t xml:space="preserve">Amount OUT (£)</t>
  </si>
  <si>
    <t xml:space="preserve">Capital injection</t>
  </si>
  <si>
    <t xml:space="preserve">Initial Investment Dremliuha Y Bank transfer</t>
  </si>
  <si>
    <t xml:space="preserve">From your personal account</t>
  </si>
  <si>
    <t xml:space="preserve">Full Time Job Dremliuha Y Bank transfer</t>
  </si>
  <si>
    <t xml:space="preserve">Full Time Job Sent Dremliuha Y Bank transfer</t>
  </si>
  <si>
    <t xml:space="preserve">Drawings</t>
  </si>
  <si>
    <t xml:space="preserve">cash withdrawal</t>
  </si>
  <si>
    <t xml:space="preserve">Car wash — personal</t>
  </si>
  <si>
    <t xml:space="preserve">Travel — likely personal</t>
  </si>
  <si>
    <t xml:space="preserve">Personal</t>
  </si>
  <si>
    <t xml:space="preserve">Parking — personal</t>
  </si>
  <si>
    <t xml:space="preserve">Personal expenditure on business card</t>
  </si>
  <si>
    <t xml:space="preserve">Restaurant — personal</t>
  </si>
  <si>
    <t xml:space="preserve">Bus fare — likely personal use of business card</t>
  </si>
  <si>
    <t xml:space="preserve">Parking — likely personal</t>
  </si>
  <si>
    <t xml:space="preserve">TOTAL:</t>
  </si>
  <si>
    <t xml:space="preserve">Director's account balance:</t>
  </si>
  <si>
    <t xml:space="preserve">(Positive = company owes you. Negative = you owe company.)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</si>
</sst>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.00;[RED]&quot;(£&quot;#,##0.00\);\-"/>
    <numFmt numFmtId="166" formatCode="\£#,##0.0000"/>
    <numFmt numFmtId="167" formatCode="0.0%"/>
    <numFmt numFmtId="168" formatCode="\£#,##0.00"/>
    <numFmt numFmtId="169" formatCode="dd/mm/yyyy"/>
    <numFmt numFmtId="170" formatCode="#,##0"/>
    <numFmt numFmtId="171" formatCode="0"/>
    <numFmt numFmtId="172" formatCode="mmmm\ 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trike val="true"/>
      <sz val="10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E2EFDA"/>
        <bgColor rgb="FFEEEEEE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DDEBF7"/>
      </patternFill>
    </fill>
    <fill>
      <patternFill patternType="solid">
        <fgColor rgb="FFEEEEEE"/>
        <bgColor rgb="FFE2EFDA"/>
      </patternFill>
    </fill>
    <fill>
      <patternFill patternType="solid">
        <fgColor rgb="FFDDEBF7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5"/>
    <col collapsed="false" customWidth="true" hidden="false" outlineLevel="0" max="8" min="4" style="1" width="10"/>
  </cols>
  <sheetData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B6" s="4" t="s">
        <v>2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B7" s="4" t="s">
        <v>3</v>
      </c>
      <c r="C7" s="5" t="s">
        <v>4</v>
      </c>
      <c r="D7" s="5"/>
      <c r="E7" s="5"/>
      <c r="F7" s="5"/>
      <c r="G7" s="5"/>
      <c r="H7" s="5"/>
    </row>
    <row r="8" customFormat="false" ht="15" hidden="false" customHeight="true" outlineLevel="0" collapsed="false">
      <c r="B8" s="4" t="s">
        <v>5</v>
      </c>
      <c r="C8" s="5" t="s">
        <v>6</v>
      </c>
      <c r="D8" s="5"/>
      <c r="E8" s="5"/>
      <c r="F8" s="5"/>
      <c r="G8" s="5"/>
      <c r="H8" s="5"/>
    </row>
    <row r="9" customFormat="false" ht="15" hidden="false" customHeight="true" outlineLevel="0" collapsed="false">
      <c r="B9" s="4" t="s">
        <v>7</v>
      </c>
      <c r="C9" s="5" t="s">
        <v>8</v>
      </c>
      <c r="D9" s="5"/>
      <c r="E9" s="5"/>
      <c r="F9" s="5"/>
      <c r="G9" s="5"/>
      <c r="H9" s="5"/>
    </row>
    <row r="10" customFormat="false" ht="15" hidden="false" customHeight="true" outlineLevel="0" collapsed="false">
      <c r="B10" s="4" t="s">
        <v>9</v>
      </c>
      <c r="C10" s="5" t="s">
        <v>10</v>
      </c>
      <c r="D10" s="5"/>
      <c r="E10" s="5"/>
      <c r="F10" s="5"/>
      <c r="G10" s="5"/>
      <c r="H10" s="5"/>
    </row>
    <row r="11" customFormat="false" ht="15" hidden="false" customHeight="true" outlineLevel="0" collapsed="false">
      <c r="B11" s="4" t="s">
        <v>11</v>
      </c>
      <c r="C11" s="5" t="s">
        <v>12</v>
      </c>
      <c r="D11" s="5"/>
      <c r="E11" s="5"/>
      <c r="F11" s="5"/>
      <c r="G11" s="5"/>
      <c r="H11" s="5"/>
    </row>
    <row r="12" customFormat="false" ht="15" hidden="false" customHeight="true" outlineLevel="0" collapsed="false">
      <c r="B12" s="4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B13" s="6" t="s">
        <v>13</v>
      </c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B14" s="4" t="s">
        <v>14</v>
      </c>
      <c r="C14" s="5" t="s">
        <v>15</v>
      </c>
      <c r="D14" s="5"/>
      <c r="E14" s="5"/>
      <c r="F14" s="5"/>
      <c r="G14" s="5"/>
      <c r="H14" s="5"/>
    </row>
    <row r="15" customFormat="false" ht="34.5" hidden="false" customHeight="true" outlineLevel="0" collapsed="false">
      <c r="B15" s="4" t="s">
        <v>16</v>
      </c>
      <c r="C15" s="5" t="s">
        <v>17</v>
      </c>
      <c r="D15" s="5"/>
      <c r="E15" s="5"/>
      <c r="F15" s="5"/>
      <c r="G15" s="5"/>
      <c r="H15" s="5"/>
    </row>
    <row r="16" customFormat="false" ht="15" hidden="false" customHeight="true" outlineLevel="0" collapsed="false">
      <c r="B16" s="4" t="s">
        <v>18</v>
      </c>
      <c r="C16" s="5" t="s">
        <v>19</v>
      </c>
      <c r="D16" s="5"/>
      <c r="E16" s="5"/>
      <c r="F16" s="5"/>
      <c r="G16" s="5"/>
      <c r="H16" s="5"/>
    </row>
    <row r="17" customFormat="false" ht="34.5" hidden="false" customHeight="true" outlineLevel="0" collapsed="false">
      <c r="B17" s="4" t="s">
        <v>20</v>
      </c>
      <c r="C17" s="5" t="s">
        <v>21</v>
      </c>
      <c r="D17" s="5"/>
      <c r="E17" s="5"/>
      <c r="F17" s="5"/>
      <c r="G17" s="5"/>
      <c r="H17" s="5"/>
    </row>
    <row r="18" customFormat="false" ht="15" hidden="false" customHeight="true" outlineLevel="0" collapsed="false">
      <c r="B18" s="4" t="s">
        <v>22</v>
      </c>
      <c r="C18" s="5" t="s">
        <v>23</v>
      </c>
      <c r="D18" s="5"/>
      <c r="E18" s="5"/>
      <c r="F18" s="5"/>
      <c r="G18" s="5"/>
      <c r="H18" s="5"/>
    </row>
    <row r="19" customFormat="false" ht="15" hidden="false" customHeight="true" outlineLevel="0" collapsed="false">
      <c r="B19" s="4" t="s">
        <v>24</v>
      </c>
      <c r="C19" s="5" t="s">
        <v>25</v>
      </c>
      <c r="D19" s="5"/>
      <c r="E19" s="5"/>
      <c r="F19" s="5"/>
      <c r="G19" s="5"/>
      <c r="H19" s="5"/>
    </row>
    <row r="20" customFormat="false" ht="15" hidden="false" customHeight="true" outlineLevel="0" collapsed="false">
      <c r="B20" s="4" t="s">
        <v>26</v>
      </c>
      <c r="C20" s="5" t="s">
        <v>27</v>
      </c>
      <c r="D20" s="5"/>
      <c r="E20" s="5"/>
      <c r="F20" s="5"/>
      <c r="G20" s="5"/>
      <c r="H20" s="5"/>
    </row>
    <row r="21" customFormat="false" ht="15" hidden="false" customHeight="true" outlineLevel="0" collapsed="false">
      <c r="B21" s="4" t="s">
        <v>28</v>
      </c>
      <c r="C21" s="5" t="s">
        <v>29</v>
      </c>
      <c r="D21" s="5"/>
      <c r="E21" s="5"/>
      <c r="F21" s="5"/>
      <c r="G21" s="5"/>
      <c r="H21" s="5"/>
    </row>
    <row r="22" customFormat="false" ht="15" hidden="false" customHeight="true" outlineLevel="0" collapsed="false">
      <c r="B22" s="4" t="s">
        <v>30</v>
      </c>
      <c r="C22" s="5" t="s">
        <v>31</v>
      </c>
      <c r="D22" s="5"/>
      <c r="E22" s="5"/>
      <c r="F22" s="5"/>
      <c r="G22" s="5"/>
      <c r="H22" s="5"/>
    </row>
    <row r="23" customFormat="false" ht="15" hidden="false" customHeight="true" outlineLevel="0" collapsed="false">
      <c r="B23" s="4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B24" s="6" t="s">
        <v>32</v>
      </c>
      <c r="C24" s="5"/>
      <c r="D24" s="5"/>
      <c r="E24" s="5"/>
      <c r="F24" s="5"/>
      <c r="G24" s="5"/>
      <c r="H24" s="5"/>
    </row>
    <row r="25" customFormat="false" ht="34.5" hidden="false" customHeight="true" outlineLevel="0" collapsed="false">
      <c r="B25" s="4" t="s">
        <v>33</v>
      </c>
      <c r="C25" s="5" t="s">
        <v>34</v>
      </c>
      <c r="D25" s="5"/>
      <c r="E25" s="5"/>
      <c r="F25" s="5"/>
      <c r="G25" s="5"/>
      <c r="H25" s="5"/>
    </row>
    <row r="26" customFormat="false" ht="15" hidden="false" customHeight="true" outlineLevel="0" collapsed="false">
      <c r="B26" s="4"/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B27" s="6" t="s">
        <v>35</v>
      </c>
      <c r="C27" s="5"/>
      <c r="D27" s="5"/>
      <c r="E27" s="5"/>
      <c r="F27" s="5"/>
      <c r="G27" s="5"/>
      <c r="H27" s="5"/>
    </row>
    <row r="28" customFormat="false" ht="34.5" hidden="false" customHeight="true" outlineLevel="0" collapsed="false">
      <c r="B28" s="4" t="s">
        <v>36</v>
      </c>
      <c r="C28" s="5" t="s">
        <v>37</v>
      </c>
      <c r="D28" s="5"/>
      <c r="E28" s="5"/>
      <c r="F28" s="5"/>
      <c r="G28" s="5"/>
      <c r="H28" s="5"/>
    </row>
    <row r="29" customFormat="false" ht="15" hidden="false" customHeight="true" outlineLevel="0" collapsed="false">
      <c r="B29" s="4" t="s">
        <v>38</v>
      </c>
      <c r="C29" s="5" t="s">
        <v>39</v>
      </c>
      <c r="D29" s="5"/>
      <c r="E29" s="5"/>
      <c r="F29" s="5"/>
      <c r="G29" s="5"/>
      <c r="H29" s="5"/>
    </row>
    <row r="30" customFormat="false" ht="15" hidden="false" customHeight="true" outlineLevel="0" collapsed="false">
      <c r="B30" s="4" t="s">
        <v>40</v>
      </c>
      <c r="C30" s="5" t="s">
        <v>41</v>
      </c>
      <c r="D30" s="5"/>
      <c r="E30" s="5"/>
      <c r="F30" s="5"/>
      <c r="G30" s="5"/>
      <c r="H30" s="5"/>
    </row>
    <row r="31" customFormat="false" ht="34.5" hidden="false" customHeight="true" outlineLevel="0" collapsed="false">
      <c r="B31" s="4" t="s">
        <v>42</v>
      </c>
      <c r="C31" s="5" t="s">
        <v>43</v>
      </c>
      <c r="D31" s="5"/>
      <c r="E31" s="5"/>
      <c r="F31" s="5"/>
      <c r="G31" s="5"/>
      <c r="H31" s="5"/>
    </row>
    <row r="32" customFormat="false" ht="34.5" hidden="false" customHeight="true" outlineLevel="0" collapsed="false">
      <c r="B32" s="4" t="s">
        <v>44</v>
      </c>
      <c r="C32" s="5" t="s">
        <v>45</v>
      </c>
      <c r="D32" s="5"/>
      <c r="E32" s="5"/>
      <c r="F32" s="5"/>
      <c r="G32" s="5"/>
      <c r="H32" s="5"/>
    </row>
    <row r="35" customFormat="false" ht="15" hidden="false" customHeight="true" outlineLevel="0" collapsed="false">
      <c r="B35" s="7" t="s">
        <v>46</v>
      </c>
    </row>
    <row r="36" customFormat="false" ht="34.5" hidden="false" customHeight="true" outlineLevel="0" collapsed="false">
      <c r="B36" s="6" t="s">
        <v>20</v>
      </c>
      <c r="C36" s="8" t="s">
        <v>47</v>
      </c>
    </row>
    <row r="37" customFormat="false" ht="15" hidden="false" customHeight="true" outlineLevel="0" collapsed="false">
      <c r="B37" s="6" t="s">
        <v>48</v>
      </c>
      <c r="C37" s="8" t="s">
        <v>49</v>
      </c>
    </row>
    <row r="38" customFormat="false" ht="34.5" hidden="false" customHeight="true" outlineLevel="0" collapsed="false">
      <c r="B38" s="6" t="s">
        <v>24</v>
      </c>
      <c r="C38" s="8" t="s">
        <v>50</v>
      </c>
    </row>
    <row r="39" customFormat="false" ht="30" hidden="false" customHeight="true" outlineLevel="0" collapsed="false">
      <c r="B39" s="6" t="s">
        <v>51</v>
      </c>
      <c r="C39" s="8" t="s">
        <v>52</v>
      </c>
    </row>
  </sheetData>
  <mergeCells count="30">
    <mergeCell ref="B2:G2"/>
    <mergeCell ref="B3:G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42"/>
  </cols>
  <sheetData>
    <row r="2" customFormat="false" ht="17.25" hidden="false" customHeight="true" outlineLevel="0" collapsed="false">
      <c r="B2" s="9" t="s">
        <v>53</v>
      </c>
    </row>
    <row r="3" customFormat="false" ht="15" hidden="false" customHeight="true" outlineLevel="0" collapsed="false">
      <c r="B3" s="3" t="s">
        <v>54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 t="s">
        <v>62</v>
      </c>
    </row>
    <row r="6" customFormat="false" ht="15" hidden="false" customHeight="true" outlineLevel="0" collapsed="false">
      <c r="B6" s="11" t="s">
        <v>63</v>
      </c>
      <c r="C6" s="11" t="s">
        <v>64</v>
      </c>
      <c r="D6" s="11" t="n">
        <v>13.62</v>
      </c>
      <c r="E6" s="11" t="s">
        <v>65</v>
      </c>
      <c r="F6" s="12" t="n">
        <v>9.98</v>
      </c>
      <c r="G6" s="13" t="n">
        <f aca="false">IFERROR(F6/D6,0)</f>
        <v>0.732745961820852</v>
      </c>
      <c r="H6" s="14" t="s">
        <v>65</v>
      </c>
      <c r="I6" s="14" t="s">
        <v>66</v>
      </c>
    </row>
    <row r="7" customFormat="false" ht="15" hidden="false" customHeight="true" outlineLevel="0" collapsed="false">
      <c r="B7" s="11" t="s">
        <v>67</v>
      </c>
      <c r="C7" s="11" t="s">
        <v>64</v>
      </c>
      <c r="D7" s="11" t="n">
        <v>3.4</v>
      </c>
      <c r="E7" s="11" t="s">
        <v>65</v>
      </c>
      <c r="F7" s="12" t="n">
        <v>2.37</v>
      </c>
      <c r="G7" s="13" t="n">
        <f aca="false">IFERROR(F7/D7,0)</f>
        <v>0.697058823529412</v>
      </c>
      <c r="H7" s="14" t="s">
        <v>65</v>
      </c>
      <c r="I7" s="14" t="s">
        <v>68</v>
      </c>
    </row>
    <row r="8" customFormat="false" ht="15" hidden="false" customHeight="true" outlineLevel="0" collapsed="false">
      <c r="B8" s="11" t="s">
        <v>69</v>
      </c>
      <c r="C8" s="11" t="s">
        <v>70</v>
      </c>
      <c r="D8" s="11" t="n">
        <v>1</v>
      </c>
      <c r="E8" s="11" t="s">
        <v>65</v>
      </c>
      <c r="F8" s="12" t="n">
        <v>2.5</v>
      </c>
      <c r="G8" s="13" t="n">
        <f aca="false">IFERROR(F8/D8,0)</f>
        <v>2.5</v>
      </c>
      <c r="H8" s="14" t="s">
        <v>65</v>
      </c>
      <c r="I8" s="14" t="s">
        <v>71</v>
      </c>
    </row>
    <row r="9" customFormat="false" ht="15" hidden="false" customHeight="true" outlineLevel="0" collapsed="false">
      <c r="B9" s="11" t="s">
        <v>72</v>
      </c>
      <c r="C9" s="11" t="s">
        <v>70</v>
      </c>
      <c r="D9" s="11" t="n">
        <v>1</v>
      </c>
      <c r="E9" s="11" t="s">
        <v>65</v>
      </c>
      <c r="F9" s="12" t="n">
        <v>2.5</v>
      </c>
      <c r="G9" s="13" t="n">
        <f aca="false">IFERROR(F9/D9,0)</f>
        <v>2.5</v>
      </c>
      <c r="H9" s="14" t="s">
        <v>65</v>
      </c>
      <c r="I9" s="14" t="s">
        <v>71</v>
      </c>
    </row>
    <row r="10" customFormat="false" ht="15" hidden="false" customHeight="true" outlineLevel="0" collapsed="false">
      <c r="B10" s="11" t="s">
        <v>73</v>
      </c>
      <c r="C10" s="11" t="s">
        <v>70</v>
      </c>
      <c r="D10" s="11" t="n">
        <v>1</v>
      </c>
      <c r="E10" s="11" t="s">
        <v>65</v>
      </c>
      <c r="F10" s="12" t="n">
        <v>2.5</v>
      </c>
      <c r="G10" s="13" t="n">
        <f aca="false">IFERROR(F10/D10,0)</f>
        <v>2.5</v>
      </c>
      <c r="H10" s="14" t="s">
        <v>65</v>
      </c>
      <c r="I10" s="14" t="s">
        <v>71</v>
      </c>
    </row>
    <row r="11" customFormat="false" ht="15" hidden="false" customHeight="true" outlineLevel="0" collapsed="false">
      <c r="B11" s="11" t="s">
        <v>74</v>
      </c>
      <c r="C11" s="11" t="s">
        <v>70</v>
      </c>
      <c r="D11" s="11" t="n">
        <v>1</v>
      </c>
      <c r="E11" s="11" t="s">
        <v>65</v>
      </c>
      <c r="F11" s="12" t="n">
        <v>2.5</v>
      </c>
      <c r="G11" s="13" t="n">
        <f aca="false">IFERROR(F11/D11,0)</f>
        <v>2.5</v>
      </c>
      <c r="H11" s="14" t="s">
        <v>65</v>
      </c>
      <c r="I11" s="14" t="s">
        <v>71</v>
      </c>
    </row>
    <row r="12" customFormat="false" ht="15" hidden="false" customHeight="true" outlineLevel="0" collapsed="false">
      <c r="B12" s="11" t="s">
        <v>75</v>
      </c>
      <c r="C12" s="11" t="s">
        <v>64</v>
      </c>
      <c r="D12" s="11" t="n">
        <v>1</v>
      </c>
      <c r="E12" s="11" t="s">
        <v>65</v>
      </c>
      <c r="F12" s="15" t="n">
        <v>6.8</v>
      </c>
      <c r="G12" s="13" t="n">
        <f aca="false">IFERROR(F12/D12,0)</f>
        <v>6.8</v>
      </c>
      <c r="H12" s="14" t="s">
        <v>65</v>
      </c>
      <c r="I12" s="14" t="s">
        <v>76</v>
      </c>
    </row>
    <row r="13" customFormat="false" ht="15" hidden="false" customHeight="true" outlineLevel="0" collapsed="false">
      <c r="B13" s="11" t="s">
        <v>77</v>
      </c>
      <c r="C13" s="11" t="s">
        <v>78</v>
      </c>
      <c r="D13" s="11" t="n">
        <v>6</v>
      </c>
      <c r="E13" s="11" t="s">
        <v>79</v>
      </c>
      <c r="F13" s="12" t="n">
        <v>97.5</v>
      </c>
      <c r="G13" s="13" t="n">
        <f aca="false">IFERROR(F13/D13,0)</f>
        <v>16.25</v>
      </c>
      <c r="H13" s="14" t="s">
        <v>79</v>
      </c>
      <c r="I13" s="14" t="s">
        <v>80</v>
      </c>
    </row>
    <row r="14" customFormat="false" ht="15" hidden="false" customHeight="true" outlineLevel="0" collapsed="false">
      <c r="B14" s="11" t="s">
        <v>81</v>
      </c>
      <c r="C14" s="11" t="s">
        <v>78</v>
      </c>
      <c r="D14" s="11" t="n">
        <v>1</v>
      </c>
      <c r="E14" s="11" t="s">
        <v>79</v>
      </c>
      <c r="F14" s="15" t="n">
        <v>24</v>
      </c>
      <c r="G14" s="13" t="n">
        <f aca="false">IFERROR(F14/D14,0)</f>
        <v>24</v>
      </c>
      <c r="H14" s="14" t="s">
        <v>79</v>
      </c>
      <c r="I14" s="14" t="s">
        <v>76</v>
      </c>
    </row>
    <row r="15" customFormat="false" ht="15" hidden="false" customHeight="true" outlineLevel="0" collapsed="false">
      <c r="B15" s="11" t="s">
        <v>82</v>
      </c>
      <c r="C15" s="11" t="s">
        <v>83</v>
      </c>
      <c r="D15" s="11" t="n">
        <v>1000</v>
      </c>
      <c r="E15" s="11" t="s">
        <v>84</v>
      </c>
      <c r="F15" s="12" t="n">
        <v>5</v>
      </c>
      <c r="G15" s="13" t="n">
        <f aca="false">IFERROR(F15/D15,0)</f>
        <v>0.005</v>
      </c>
      <c r="H15" s="14" t="s">
        <v>84</v>
      </c>
      <c r="I15" s="14" t="s">
        <v>85</v>
      </c>
    </row>
    <row r="16" customFormat="false" ht="15" hidden="false" customHeight="true" outlineLevel="0" collapsed="false">
      <c r="B16" s="11" t="s">
        <v>86</v>
      </c>
      <c r="C16" s="11" t="s">
        <v>83</v>
      </c>
      <c r="D16" s="11" t="n">
        <v>1000</v>
      </c>
      <c r="E16" s="11" t="s">
        <v>84</v>
      </c>
      <c r="F16" s="12" t="n">
        <v>5</v>
      </c>
      <c r="G16" s="13" t="n">
        <f aca="false">IFERROR(F16/D16,0)</f>
        <v>0.005</v>
      </c>
      <c r="H16" s="14" t="s">
        <v>84</v>
      </c>
      <c r="I16" s="14" t="s">
        <v>85</v>
      </c>
    </row>
    <row r="17" customFormat="false" ht="15" hidden="false" customHeight="true" outlineLevel="0" collapsed="false">
      <c r="B17" s="11" t="s">
        <v>87</v>
      </c>
      <c r="C17" s="11" t="s">
        <v>83</v>
      </c>
      <c r="D17" s="11" t="n">
        <v>1000</v>
      </c>
      <c r="E17" s="11" t="s">
        <v>84</v>
      </c>
      <c r="F17" s="12" t="n">
        <v>5</v>
      </c>
      <c r="G17" s="13" t="n">
        <f aca="false">IFERROR(F17/D17,0)</f>
        <v>0.005</v>
      </c>
      <c r="H17" s="14" t="s">
        <v>84</v>
      </c>
      <c r="I17" s="14" t="s">
        <v>85</v>
      </c>
    </row>
    <row r="18" customFormat="false" ht="15" hidden="false" customHeight="true" outlineLevel="0" collapsed="false">
      <c r="B18" s="11" t="s">
        <v>88</v>
      </c>
      <c r="C18" s="11" t="s">
        <v>83</v>
      </c>
      <c r="D18" s="11" t="n">
        <v>1000</v>
      </c>
      <c r="E18" s="11" t="s">
        <v>84</v>
      </c>
      <c r="F18" s="12" t="n">
        <v>5</v>
      </c>
      <c r="G18" s="13" t="n">
        <f aca="false">IFERROR(F18/D18,0)</f>
        <v>0.005</v>
      </c>
      <c r="H18" s="14" t="s">
        <v>84</v>
      </c>
      <c r="I18" s="14" t="s">
        <v>85</v>
      </c>
    </row>
    <row r="19" customFormat="false" ht="15" hidden="false" customHeight="true" outlineLevel="0" collapsed="false">
      <c r="B19" s="11" t="s">
        <v>89</v>
      </c>
      <c r="C19" s="11" t="s">
        <v>83</v>
      </c>
      <c r="D19" s="11" t="n">
        <v>1000</v>
      </c>
      <c r="E19" s="11" t="s">
        <v>84</v>
      </c>
      <c r="F19" s="12" t="n">
        <v>5</v>
      </c>
      <c r="G19" s="13" t="n">
        <f aca="false">IFERROR(F19/D19,0)</f>
        <v>0.005</v>
      </c>
      <c r="H19" s="14" t="s">
        <v>84</v>
      </c>
      <c r="I19" s="14" t="s">
        <v>85</v>
      </c>
    </row>
    <row r="20" customFormat="false" ht="15" hidden="false" customHeight="true" outlineLevel="0" collapsed="false">
      <c r="B20" s="11" t="s">
        <v>90</v>
      </c>
      <c r="C20" s="11" t="s">
        <v>83</v>
      </c>
      <c r="D20" s="11" t="n">
        <v>1000</v>
      </c>
      <c r="E20" s="11" t="s">
        <v>84</v>
      </c>
      <c r="F20" s="12" t="n">
        <v>5</v>
      </c>
      <c r="G20" s="13" t="n">
        <f aca="false">IFERROR(F20/D20,0)</f>
        <v>0.005</v>
      </c>
      <c r="H20" s="14" t="s">
        <v>84</v>
      </c>
      <c r="I20" s="14" t="s">
        <v>85</v>
      </c>
    </row>
    <row r="21" customFormat="false" ht="15" hidden="false" customHeight="true" outlineLevel="0" collapsed="false">
      <c r="B21" s="11" t="s">
        <v>91</v>
      </c>
      <c r="C21" s="11" t="s">
        <v>83</v>
      </c>
      <c r="D21" s="11" t="n">
        <v>1000</v>
      </c>
      <c r="E21" s="11" t="s">
        <v>84</v>
      </c>
      <c r="F21" s="12" t="n">
        <v>5</v>
      </c>
      <c r="G21" s="13" t="n">
        <f aca="false">IFERROR(F21/D21,0)</f>
        <v>0.005</v>
      </c>
      <c r="H21" s="14" t="s">
        <v>84</v>
      </c>
      <c r="I21" s="14" t="s">
        <v>85</v>
      </c>
    </row>
    <row r="22" customFormat="false" ht="15" hidden="false" customHeight="true" outlineLevel="0" collapsed="false">
      <c r="B22" s="11" t="s">
        <v>92</v>
      </c>
      <c r="C22" s="11" t="s">
        <v>83</v>
      </c>
      <c r="D22" s="11" t="n">
        <v>1000</v>
      </c>
      <c r="E22" s="11" t="s">
        <v>84</v>
      </c>
      <c r="F22" s="12" t="n">
        <v>5</v>
      </c>
      <c r="G22" s="13" t="n">
        <f aca="false">IFERROR(F22/D22,0)</f>
        <v>0.005</v>
      </c>
      <c r="H22" s="14" t="s">
        <v>84</v>
      </c>
      <c r="I22" s="14" t="s">
        <v>85</v>
      </c>
    </row>
    <row r="23" customFormat="false" ht="15" hidden="false" customHeight="true" outlineLevel="0" collapsed="false">
      <c r="B23" s="11" t="s">
        <v>93</v>
      </c>
      <c r="C23" s="11" t="s">
        <v>83</v>
      </c>
      <c r="D23" s="11" t="n">
        <v>1000</v>
      </c>
      <c r="E23" s="11" t="s">
        <v>84</v>
      </c>
      <c r="F23" s="12" t="n">
        <v>5</v>
      </c>
      <c r="G23" s="13" t="n">
        <f aca="false">IFERROR(F23/D23,0)</f>
        <v>0.005</v>
      </c>
      <c r="H23" s="14" t="s">
        <v>84</v>
      </c>
      <c r="I23" s="14" t="s">
        <v>85</v>
      </c>
    </row>
    <row r="24" customFormat="false" ht="15" hidden="false" customHeight="true" outlineLevel="0" collapsed="false">
      <c r="B24" s="11" t="s">
        <v>94</v>
      </c>
      <c r="C24" s="11" t="s">
        <v>83</v>
      </c>
      <c r="D24" s="11" t="n">
        <v>1000</v>
      </c>
      <c r="E24" s="11" t="s">
        <v>84</v>
      </c>
      <c r="F24" s="12" t="n">
        <v>5</v>
      </c>
      <c r="G24" s="13" t="n">
        <f aca="false">IFERROR(F24/D24,0)</f>
        <v>0.005</v>
      </c>
      <c r="H24" s="14" t="s">
        <v>84</v>
      </c>
      <c r="I24" s="14" t="s">
        <v>85</v>
      </c>
    </row>
    <row r="25" customFormat="false" ht="15" hidden="false" customHeight="true" outlineLevel="0" collapsed="false">
      <c r="B25" s="11" t="s">
        <v>95</v>
      </c>
      <c r="C25" s="11" t="s">
        <v>83</v>
      </c>
      <c r="D25" s="11" t="n">
        <v>1000</v>
      </c>
      <c r="E25" s="11" t="s">
        <v>84</v>
      </c>
      <c r="F25" s="12" t="n">
        <v>5</v>
      </c>
      <c r="G25" s="13" t="n">
        <f aca="false">IFERROR(F25/D25,0)</f>
        <v>0.005</v>
      </c>
      <c r="H25" s="14" t="s">
        <v>84</v>
      </c>
      <c r="I25" s="14" t="s">
        <v>85</v>
      </c>
    </row>
    <row r="26" customFormat="false" ht="15" hidden="false" customHeight="true" outlineLevel="0" collapsed="false">
      <c r="B26" s="11" t="s">
        <v>96</v>
      </c>
      <c r="C26" s="11" t="s">
        <v>83</v>
      </c>
      <c r="D26" s="11" t="n">
        <v>1000</v>
      </c>
      <c r="E26" s="11" t="s">
        <v>84</v>
      </c>
      <c r="F26" s="12" t="n">
        <v>5</v>
      </c>
      <c r="G26" s="13" t="n">
        <f aca="false">IFERROR(F26/D26,0)</f>
        <v>0.005</v>
      </c>
      <c r="H26" s="14" t="s">
        <v>84</v>
      </c>
      <c r="I26" s="14" t="s">
        <v>85</v>
      </c>
    </row>
    <row r="27" customFormat="false" ht="15" hidden="false" customHeight="true" outlineLevel="0" collapsed="false">
      <c r="B27" s="11" t="s">
        <v>97</v>
      </c>
      <c r="C27" s="11" t="s">
        <v>83</v>
      </c>
      <c r="D27" s="11" t="n">
        <v>1000</v>
      </c>
      <c r="E27" s="11" t="s">
        <v>84</v>
      </c>
      <c r="F27" s="12" t="n">
        <v>5</v>
      </c>
      <c r="G27" s="13" t="n">
        <f aca="false">IFERROR(F27/D27,0)</f>
        <v>0.005</v>
      </c>
      <c r="H27" s="14" t="s">
        <v>84</v>
      </c>
      <c r="I27" s="14" t="s">
        <v>85</v>
      </c>
    </row>
    <row r="28" customFormat="false" ht="15" hidden="false" customHeight="true" outlineLevel="0" collapsed="false">
      <c r="B28" s="11" t="s">
        <v>98</v>
      </c>
      <c r="C28" s="11" t="s">
        <v>83</v>
      </c>
      <c r="D28" s="11" t="n">
        <v>1000</v>
      </c>
      <c r="E28" s="11" t="s">
        <v>84</v>
      </c>
      <c r="F28" s="12" t="n">
        <v>5</v>
      </c>
      <c r="G28" s="13" t="n">
        <f aca="false">IFERROR(F28/D28,0)</f>
        <v>0.005</v>
      </c>
      <c r="H28" s="14" t="s">
        <v>84</v>
      </c>
      <c r="I28" s="14" t="s">
        <v>85</v>
      </c>
    </row>
    <row r="29" customFormat="false" ht="15" hidden="false" customHeight="true" outlineLevel="0" collapsed="false">
      <c r="B29" s="11" t="s">
        <v>99</v>
      </c>
      <c r="C29" s="11" t="s">
        <v>83</v>
      </c>
      <c r="D29" s="11" t="n">
        <v>1000</v>
      </c>
      <c r="E29" s="11" t="s">
        <v>84</v>
      </c>
      <c r="F29" s="12" t="n">
        <v>5</v>
      </c>
      <c r="G29" s="13" t="n">
        <f aca="false">IFERROR(F29/D29,0)</f>
        <v>0.005</v>
      </c>
      <c r="H29" s="14" t="s">
        <v>84</v>
      </c>
      <c r="I29" s="14" t="s">
        <v>85</v>
      </c>
    </row>
    <row r="30" customFormat="false" ht="15" hidden="false" customHeight="true" outlineLevel="0" collapsed="false">
      <c r="B30" s="11" t="s">
        <v>100</v>
      </c>
      <c r="C30" s="11" t="s">
        <v>83</v>
      </c>
      <c r="D30" s="11" t="n">
        <v>1000</v>
      </c>
      <c r="E30" s="11" t="s">
        <v>84</v>
      </c>
      <c r="F30" s="12" t="n">
        <v>5</v>
      </c>
      <c r="G30" s="13" t="n">
        <f aca="false">IFERROR(F30/D30,0)</f>
        <v>0.005</v>
      </c>
      <c r="H30" s="14" t="s">
        <v>84</v>
      </c>
      <c r="I30" s="14" t="s">
        <v>85</v>
      </c>
    </row>
    <row r="31" customFormat="false" ht="15" hidden="false" customHeight="true" outlineLevel="0" collapsed="false">
      <c r="B31" s="11" t="s">
        <v>101</v>
      </c>
      <c r="C31" s="11" t="s">
        <v>83</v>
      </c>
      <c r="D31" s="11" t="n">
        <v>1000</v>
      </c>
      <c r="E31" s="11" t="s">
        <v>84</v>
      </c>
      <c r="F31" s="12" t="n">
        <v>5</v>
      </c>
      <c r="G31" s="13" t="n">
        <f aca="false">IFERROR(F31/D31,0)</f>
        <v>0.005</v>
      </c>
      <c r="H31" s="14" t="s">
        <v>84</v>
      </c>
      <c r="I31" s="14" t="s">
        <v>85</v>
      </c>
    </row>
    <row r="32" customFormat="false" ht="15" hidden="false" customHeight="true" outlineLevel="0" collapsed="false">
      <c r="B32" s="11" t="s">
        <v>102</v>
      </c>
      <c r="C32" s="11" t="s">
        <v>83</v>
      </c>
      <c r="D32" s="11" t="n">
        <v>1000</v>
      </c>
      <c r="E32" s="11" t="s">
        <v>84</v>
      </c>
      <c r="F32" s="12" t="n">
        <v>5</v>
      </c>
      <c r="G32" s="13" t="n">
        <f aca="false">IFERROR(F32/D32,0)</f>
        <v>0.005</v>
      </c>
      <c r="H32" s="14" t="s">
        <v>84</v>
      </c>
      <c r="I32" s="14" t="s">
        <v>85</v>
      </c>
    </row>
    <row r="33" customFormat="false" ht="15" hidden="false" customHeight="true" outlineLevel="0" collapsed="false">
      <c r="B33" s="11" t="s">
        <v>103</v>
      </c>
      <c r="C33" s="11" t="s">
        <v>83</v>
      </c>
      <c r="D33" s="11" t="n">
        <v>1000</v>
      </c>
      <c r="E33" s="11" t="s">
        <v>84</v>
      </c>
      <c r="F33" s="12" t="n">
        <v>5</v>
      </c>
      <c r="G33" s="13" t="n">
        <f aca="false">IFERROR(F33/D33,0)</f>
        <v>0.005</v>
      </c>
      <c r="H33" s="14" t="s">
        <v>84</v>
      </c>
      <c r="I33" s="14" t="s">
        <v>85</v>
      </c>
    </row>
    <row r="34" customFormat="false" ht="15" hidden="false" customHeight="true" outlineLevel="0" collapsed="false">
      <c r="B34" s="11" t="s">
        <v>104</v>
      </c>
      <c r="C34" s="11" t="s">
        <v>83</v>
      </c>
      <c r="D34" s="11" t="n">
        <v>1000</v>
      </c>
      <c r="E34" s="11" t="s">
        <v>84</v>
      </c>
      <c r="F34" s="12" t="n">
        <v>5</v>
      </c>
      <c r="G34" s="13" t="n">
        <f aca="false">IFERROR(F34/D34,0)</f>
        <v>0.005</v>
      </c>
      <c r="H34" s="14" t="s">
        <v>84</v>
      </c>
      <c r="I34" s="14" t="s">
        <v>85</v>
      </c>
    </row>
    <row r="35" customFormat="false" ht="15" hidden="false" customHeight="true" outlineLevel="0" collapsed="false">
      <c r="B35" s="11" t="s">
        <v>105</v>
      </c>
      <c r="C35" s="11" t="s">
        <v>83</v>
      </c>
      <c r="D35" s="11" t="n">
        <v>1000</v>
      </c>
      <c r="E35" s="11" t="s">
        <v>84</v>
      </c>
      <c r="F35" s="12" t="n">
        <v>5</v>
      </c>
      <c r="G35" s="13" t="n">
        <f aca="false">IFERROR(F35/D35,0)</f>
        <v>0.005</v>
      </c>
      <c r="H35" s="14" t="s">
        <v>84</v>
      </c>
      <c r="I35" s="14" t="s">
        <v>85</v>
      </c>
    </row>
    <row r="36" customFormat="false" ht="15" hidden="false" customHeight="true" outlineLevel="0" collapsed="false">
      <c r="B36" s="11" t="s">
        <v>106</v>
      </c>
      <c r="C36" s="11" t="s">
        <v>83</v>
      </c>
      <c r="D36" s="11" t="n">
        <v>1000</v>
      </c>
      <c r="E36" s="11" t="s">
        <v>84</v>
      </c>
      <c r="F36" s="12" t="n">
        <v>5</v>
      </c>
      <c r="G36" s="13" t="n">
        <f aca="false">IFERROR(F36/D36,0)</f>
        <v>0.005</v>
      </c>
      <c r="H36" s="14" t="s">
        <v>84</v>
      </c>
      <c r="I36" s="14" t="s">
        <v>85</v>
      </c>
    </row>
    <row r="37" customFormat="false" ht="15" hidden="false" customHeight="true" outlineLevel="0" collapsed="false">
      <c r="B37" s="11" t="s">
        <v>107</v>
      </c>
      <c r="C37" s="11" t="s">
        <v>83</v>
      </c>
      <c r="D37" s="11" t="n">
        <v>1000</v>
      </c>
      <c r="E37" s="11" t="s">
        <v>84</v>
      </c>
      <c r="F37" s="15" t="n">
        <v>11.2</v>
      </c>
      <c r="G37" s="13" t="n">
        <f aca="false">IFERROR(F37/D37,0)</f>
        <v>0.0112</v>
      </c>
      <c r="H37" s="14" t="s">
        <v>84</v>
      </c>
      <c r="I37" s="14" t="s">
        <v>108</v>
      </c>
    </row>
    <row r="38" customFormat="false" ht="15" hidden="false" customHeight="true" outlineLevel="0" collapsed="false">
      <c r="B38" s="11" t="s">
        <v>109</v>
      </c>
      <c r="C38" s="11" t="s">
        <v>83</v>
      </c>
      <c r="D38" s="11" t="n">
        <v>1000</v>
      </c>
      <c r="E38" s="11" t="s">
        <v>84</v>
      </c>
      <c r="F38" s="15" t="n">
        <v>10</v>
      </c>
      <c r="G38" s="13" t="n">
        <f aca="false">IFERROR(F38/D38,0)</f>
        <v>0.01</v>
      </c>
      <c r="H38" s="14" t="s">
        <v>84</v>
      </c>
      <c r="I38" s="14" t="s">
        <v>76</v>
      </c>
    </row>
    <row r="39" customFormat="false" ht="15" hidden="false" customHeight="true" outlineLevel="0" collapsed="false">
      <c r="B39" s="11" t="s">
        <v>110</v>
      </c>
      <c r="C39" s="11" t="s">
        <v>111</v>
      </c>
      <c r="D39" s="11" t="n">
        <v>320</v>
      </c>
      <c r="E39" s="11" t="s">
        <v>112</v>
      </c>
      <c r="F39" s="12" t="n">
        <v>19.16</v>
      </c>
      <c r="G39" s="13" t="n">
        <f aca="false">IFERROR(F39/D39,0)</f>
        <v>0.059875</v>
      </c>
      <c r="H39" s="14" t="s">
        <v>112</v>
      </c>
      <c r="I39" s="14" t="s">
        <v>113</v>
      </c>
    </row>
    <row r="40" customFormat="false" ht="15" hidden="false" customHeight="true" outlineLevel="0" collapsed="false">
      <c r="B40" s="11" t="s">
        <v>114</v>
      </c>
      <c r="C40" s="11" t="s">
        <v>111</v>
      </c>
      <c r="D40" s="11" t="n">
        <v>1</v>
      </c>
      <c r="E40" s="11" t="s">
        <v>79</v>
      </c>
      <c r="F40" s="15" t="n">
        <v>30</v>
      </c>
      <c r="G40" s="13" t="n">
        <f aca="false">IFERROR(F40/D40,0)</f>
        <v>30</v>
      </c>
      <c r="H40" s="14" t="s">
        <v>79</v>
      </c>
      <c r="I40" s="14" t="s">
        <v>76</v>
      </c>
    </row>
    <row r="41" customFormat="false" ht="15" hidden="false" customHeight="true" outlineLevel="0" collapsed="false">
      <c r="B41" s="11" t="s">
        <v>115</v>
      </c>
      <c r="C41" s="11" t="s">
        <v>111</v>
      </c>
      <c r="D41" s="11" t="n">
        <v>0.05</v>
      </c>
      <c r="E41" s="11" t="s">
        <v>79</v>
      </c>
      <c r="F41" s="15" t="n">
        <v>9</v>
      </c>
      <c r="G41" s="13" t="n">
        <f aca="false">IFERROR(F41/D41,0)</f>
        <v>180</v>
      </c>
      <c r="H41" s="14" t="s">
        <v>79</v>
      </c>
      <c r="I41" s="14" t="s">
        <v>76</v>
      </c>
    </row>
    <row r="42" customFormat="false" ht="15" hidden="false" customHeight="true" outlineLevel="0" collapsed="false">
      <c r="B42" s="11" t="s">
        <v>116</v>
      </c>
      <c r="C42" s="11" t="s">
        <v>117</v>
      </c>
      <c r="D42" s="11" t="n">
        <v>1</v>
      </c>
      <c r="E42" s="11" t="s">
        <v>79</v>
      </c>
      <c r="F42" s="12" t="n">
        <v>7</v>
      </c>
      <c r="G42" s="13" t="n">
        <f aca="false">IFERROR(F42/D42,0)</f>
        <v>7</v>
      </c>
      <c r="H42" s="14" t="s">
        <v>79</v>
      </c>
      <c r="I42" s="14" t="s">
        <v>118</v>
      </c>
    </row>
    <row r="43" customFormat="false" ht="15" hidden="false" customHeight="true" outlineLevel="0" collapsed="false">
      <c r="B43" s="11" t="s">
        <v>119</v>
      </c>
      <c r="C43" s="11" t="s">
        <v>117</v>
      </c>
      <c r="D43" s="11" t="n">
        <v>1</v>
      </c>
      <c r="E43" s="11" t="s">
        <v>79</v>
      </c>
      <c r="F43" s="12" t="n">
        <v>6</v>
      </c>
      <c r="G43" s="13" t="n">
        <f aca="false">IFERROR(F43/D43,0)</f>
        <v>6</v>
      </c>
      <c r="H43" s="14" t="s">
        <v>84</v>
      </c>
      <c r="I43" s="14" t="s">
        <v>120</v>
      </c>
    </row>
    <row r="44" customFormat="false" ht="15" hidden="false" customHeight="true" outlineLevel="0" collapsed="false">
      <c r="B44" s="11" t="s">
        <v>121</v>
      </c>
      <c r="C44" s="11" t="s">
        <v>117</v>
      </c>
      <c r="D44" s="11" t="n">
        <v>1000</v>
      </c>
      <c r="E44" s="11" t="s">
        <v>84</v>
      </c>
      <c r="F44" s="15" t="n">
        <v>9</v>
      </c>
      <c r="G44" s="13" t="n">
        <f aca="false">IFERROR(F44/D44,0)</f>
        <v>0.009</v>
      </c>
      <c r="H44" s="14" t="s">
        <v>84</v>
      </c>
      <c r="I44" s="14" t="s">
        <v>76</v>
      </c>
    </row>
    <row r="45" customFormat="false" ht="15" hidden="false" customHeight="true" outlineLevel="0" collapsed="false">
      <c r="B45" s="11" t="s">
        <v>122</v>
      </c>
      <c r="C45" s="11" t="s">
        <v>123</v>
      </c>
      <c r="D45" s="11" t="n">
        <v>0.11</v>
      </c>
      <c r="E45" s="11" t="s">
        <v>79</v>
      </c>
      <c r="F45" s="12" t="n">
        <v>20</v>
      </c>
      <c r="G45" s="13" t="n">
        <f aca="false">IFERROR(F45/D45,0)</f>
        <v>181.818181818182</v>
      </c>
      <c r="H45" s="14" t="s">
        <v>79</v>
      </c>
      <c r="I45" s="14" t="s">
        <v>124</v>
      </c>
    </row>
    <row r="46" customFormat="false" ht="15" hidden="false" customHeight="true" outlineLevel="0" collapsed="false">
      <c r="B46" s="11" t="s">
        <v>125</v>
      </c>
      <c r="C46" s="11" t="s">
        <v>123</v>
      </c>
      <c r="D46" s="11" t="n">
        <v>3.2</v>
      </c>
      <c r="E46" s="11" t="s">
        <v>79</v>
      </c>
      <c r="F46" s="15" t="n">
        <v>19</v>
      </c>
      <c r="G46" s="13" t="n">
        <f aca="false">IFERROR(F46/D46,0)</f>
        <v>5.9375</v>
      </c>
      <c r="H46" s="14" t="s">
        <v>79</v>
      </c>
      <c r="I46" s="14" t="s">
        <v>76</v>
      </c>
    </row>
    <row r="47" customFormat="false" ht="15" hidden="false" customHeight="true" outlineLevel="0" collapsed="false">
      <c r="B47" s="11" t="s">
        <v>126</v>
      </c>
      <c r="C47" s="11" t="s">
        <v>123</v>
      </c>
      <c r="D47" s="11" t="n">
        <v>1</v>
      </c>
      <c r="E47" s="11" t="s">
        <v>65</v>
      </c>
      <c r="F47" s="15" t="n">
        <v>4</v>
      </c>
      <c r="G47" s="13" t="n">
        <f aca="false">IFERROR(F47/D47,0)</f>
        <v>4</v>
      </c>
      <c r="H47" s="16" t="s">
        <v>127</v>
      </c>
      <c r="I47" s="14" t="s">
        <v>76</v>
      </c>
    </row>
    <row r="48" customFormat="false" ht="15" hidden="false" customHeight="true" outlineLevel="0" collapsed="false">
      <c r="B48" s="11" t="s">
        <v>128</v>
      </c>
      <c r="C48" s="11" t="s">
        <v>123</v>
      </c>
      <c r="D48" s="11" t="n">
        <v>4.8</v>
      </c>
      <c r="E48" s="11" t="s">
        <v>65</v>
      </c>
      <c r="F48" s="12" t="n">
        <v>20</v>
      </c>
      <c r="G48" s="13" t="n">
        <f aca="false">IFERROR(F48/D48,0)</f>
        <v>4.16666666666667</v>
      </c>
      <c r="H48" s="14" t="s">
        <v>65</v>
      </c>
      <c r="I48" s="14" t="s">
        <v>129</v>
      </c>
    </row>
    <row r="49" customFormat="false" ht="15" hidden="false" customHeight="true" outlineLevel="0" collapsed="false">
      <c r="B49" s="11" t="s">
        <v>130</v>
      </c>
      <c r="C49" s="11" t="s">
        <v>123</v>
      </c>
      <c r="D49" s="11" t="n">
        <v>1</v>
      </c>
      <c r="E49" s="11" t="s">
        <v>65</v>
      </c>
      <c r="F49" s="15" t="n">
        <v>2.5</v>
      </c>
      <c r="G49" s="13" t="n">
        <f aca="false">IFERROR(F49/D49,0)</f>
        <v>2.5</v>
      </c>
      <c r="H49" s="16" t="s">
        <v>127</v>
      </c>
      <c r="I49" s="14" t="s">
        <v>76</v>
      </c>
    </row>
    <row r="50" customFormat="false" ht="15" hidden="false" customHeight="true" outlineLevel="0" collapsed="false">
      <c r="B50" s="11" t="s">
        <v>131</v>
      </c>
      <c r="C50" s="11" t="s">
        <v>132</v>
      </c>
      <c r="D50" s="11" t="n">
        <v>100</v>
      </c>
      <c r="E50" s="11" t="s">
        <v>112</v>
      </c>
      <c r="F50" s="15" t="n">
        <v>6</v>
      </c>
      <c r="G50" s="13" t="n">
        <f aca="false">IFERROR(F50/D50,0)</f>
        <v>0.06</v>
      </c>
      <c r="H50" s="14" t="s">
        <v>112</v>
      </c>
      <c r="I50" s="14" t="s">
        <v>133</v>
      </c>
    </row>
    <row r="51" customFormat="false" ht="15" hidden="false" customHeight="true" outlineLevel="0" collapsed="false">
      <c r="B51" s="11" t="s">
        <v>134</v>
      </c>
      <c r="C51" s="11" t="s">
        <v>132</v>
      </c>
      <c r="D51" s="11" t="n">
        <v>500</v>
      </c>
      <c r="E51" s="11" t="s">
        <v>112</v>
      </c>
      <c r="F51" s="12" t="n">
        <v>45</v>
      </c>
      <c r="G51" s="13" t="n">
        <f aca="false">IFERROR(F51/D51,0)</f>
        <v>0.09</v>
      </c>
      <c r="H51" s="14" t="s">
        <v>112</v>
      </c>
      <c r="I51" s="14" t="s">
        <v>135</v>
      </c>
    </row>
    <row r="52" customFormat="false" ht="15" hidden="false" customHeight="true" outlineLevel="0" collapsed="false">
      <c r="B52" s="11" t="s">
        <v>136</v>
      </c>
      <c r="C52" s="11" t="s">
        <v>132</v>
      </c>
      <c r="D52" s="11" t="n">
        <v>1000</v>
      </c>
      <c r="E52" s="11" t="s">
        <v>112</v>
      </c>
      <c r="F52" s="12" t="n">
        <v>30</v>
      </c>
      <c r="G52" s="13" t="n">
        <f aca="false">IFERROR(F52/D52,0)</f>
        <v>0.03</v>
      </c>
      <c r="H52" s="14" t="s">
        <v>112</v>
      </c>
      <c r="I52" s="14" t="s">
        <v>137</v>
      </c>
    </row>
    <row r="53" customFormat="false" ht="15" hidden="false" customHeight="true" outlineLevel="0" collapsed="false">
      <c r="B53" s="11" t="s">
        <v>138</v>
      </c>
      <c r="C53" s="11" t="s">
        <v>132</v>
      </c>
      <c r="D53" s="11" t="n">
        <v>500</v>
      </c>
      <c r="E53" s="11" t="s">
        <v>112</v>
      </c>
      <c r="F53" s="12" t="n">
        <v>55</v>
      </c>
      <c r="G53" s="13" t="n">
        <f aca="false">IFERROR(F53/D53,0)</f>
        <v>0.11</v>
      </c>
      <c r="H53" s="14" t="s">
        <v>112</v>
      </c>
      <c r="I53" s="14" t="s">
        <v>139</v>
      </c>
    </row>
    <row r="54" customFormat="false" ht="15" hidden="false" customHeight="true" outlineLevel="0" collapsed="false">
      <c r="B54" s="11" t="s">
        <v>140</v>
      </c>
      <c r="C54" s="11" t="s">
        <v>132</v>
      </c>
      <c r="D54" s="11" t="n">
        <v>1000</v>
      </c>
      <c r="E54" s="11" t="s">
        <v>112</v>
      </c>
      <c r="F54" s="12" t="n">
        <v>30</v>
      </c>
      <c r="G54" s="13" t="n">
        <f aca="false">IFERROR(F54/D54,0)</f>
        <v>0.03</v>
      </c>
      <c r="H54" s="14" t="s">
        <v>112</v>
      </c>
      <c r="I54" s="14" t="s">
        <v>141</v>
      </c>
    </row>
    <row r="55" customFormat="false" ht="15" hidden="false" customHeight="true" outlineLevel="0" collapsed="false">
      <c r="B55" s="11" t="s">
        <v>142</v>
      </c>
      <c r="C55" s="11" t="s">
        <v>132</v>
      </c>
      <c r="D55" s="11" t="n">
        <v>400</v>
      </c>
      <c r="E55" s="11" t="s">
        <v>112</v>
      </c>
      <c r="F55" s="12" t="n">
        <v>56</v>
      </c>
      <c r="G55" s="13" t="n">
        <f aca="false">IFERROR(F55/D55,0)</f>
        <v>0.14</v>
      </c>
      <c r="H55" s="14" t="s">
        <v>112</v>
      </c>
      <c r="I55" s="14" t="s">
        <v>143</v>
      </c>
    </row>
    <row r="56" customFormat="false" ht="15" hidden="false" customHeight="true" outlineLevel="0" collapsed="false">
      <c r="B56" s="11" t="s">
        <v>144</v>
      </c>
      <c r="C56" s="11" t="s">
        <v>132</v>
      </c>
      <c r="D56" s="11" t="n">
        <v>1000</v>
      </c>
      <c r="E56" s="11" t="s">
        <v>112</v>
      </c>
      <c r="F56" s="12" t="n">
        <v>30</v>
      </c>
      <c r="G56" s="13" t="n">
        <f aca="false">IFERROR(F56/D56,0)</f>
        <v>0.03</v>
      </c>
      <c r="H56" s="14" t="s">
        <v>112</v>
      </c>
      <c r="I56" s="14" t="s">
        <v>145</v>
      </c>
    </row>
    <row r="57" customFormat="false" ht="15" hidden="false" customHeight="true" outlineLevel="0" collapsed="false">
      <c r="B57" s="11" t="s">
        <v>146</v>
      </c>
      <c r="C57" s="11" t="s">
        <v>132</v>
      </c>
      <c r="D57" s="11" t="n">
        <v>250</v>
      </c>
      <c r="E57" s="11" t="s">
        <v>112</v>
      </c>
      <c r="F57" s="15" t="n">
        <v>15</v>
      </c>
      <c r="G57" s="13" t="n">
        <f aca="false">IFERROR(F57/D57,0)</f>
        <v>0.06</v>
      </c>
      <c r="H57" s="14" t="s">
        <v>112</v>
      </c>
      <c r="I57" s="14" t="s">
        <v>76</v>
      </c>
    </row>
    <row r="58" customFormat="false" ht="15" hidden="false" customHeight="true" outlineLevel="0" collapsed="false">
      <c r="B58" s="11" t="s">
        <v>147</v>
      </c>
      <c r="C58" s="11" t="s">
        <v>148</v>
      </c>
      <c r="D58" s="11" t="n">
        <v>1000</v>
      </c>
      <c r="E58" s="11" t="s">
        <v>112</v>
      </c>
      <c r="F58" s="15" t="n">
        <v>12</v>
      </c>
      <c r="G58" s="13" t="n">
        <f aca="false">IFERROR(F58/D58,0)</f>
        <v>0.012</v>
      </c>
      <c r="H58" s="14" t="s">
        <v>112</v>
      </c>
      <c r="I58" s="14" t="s">
        <v>76</v>
      </c>
    </row>
    <row r="59" customFormat="false" ht="15" hidden="false" customHeight="true" outlineLevel="0" collapsed="false">
      <c r="B59" s="11" t="s">
        <v>149</v>
      </c>
      <c r="C59" s="11" t="s">
        <v>148</v>
      </c>
      <c r="D59" s="11" t="n">
        <v>500</v>
      </c>
      <c r="E59" s="11" t="s">
        <v>112</v>
      </c>
      <c r="F59" s="15" t="n">
        <v>4</v>
      </c>
      <c r="G59" s="13" t="n">
        <f aca="false">IFERROR(F59/D59,0)</f>
        <v>0.008</v>
      </c>
      <c r="H59" s="14" t="s">
        <v>112</v>
      </c>
      <c r="I59" s="14" t="s">
        <v>76</v>
      </c>
    </row>
    <row r="60" customFormat="false" ht="15" hidden="false" customHeight="true" outlineLevel="0" collapsed="false">
      <c r="B60" s="11" t="s">
        <v>150</v>
      </c>
      <c r="C60" s="11" t="s">
        <v>148</v>
      </c>
      <c r="D60" s="11" t="n">
        <v>1000</v>
      </c>
      <c r="E60" s="11" t="s">
        <v>112</v>
      </c>
      <c r="F60" s="15" t="n">
        <v>4</v>
      </c>
      <c r="G60" s="13" t="n">
        <f aca="false">IFERROR(F60/D60,0)</f>
        <v>0.004</v>
      </c>
      <c r="H60" s="14" t="s">
        <v>112</v>
      </c>
      <c r="I60" s="14" t="s">
        <v>76</v>
      </c>
    </row>
    <row r="61" customFormat="false" ht="15" hidden="false" customHeight="true" outlineLevel="0" collapsed="false">
      <c r="B61" s="11" t="s">
        <v>151</v>
      </c>
      <c r="C61" s="11" t="s">
        <v>148</v>
      </c>
      <c r="D61" s="11" t="n">
        <v>1</v>
      </c>
      <c r="E61" s="11" t="s">
        <v>79</v>
      </c>
      <c r="F61" s="12" t="n">
        <v>8</v>
      </c>
      <c r="G61" s="13" t="n">
        <f aca="false">IFERROR(F61/D61,0)</f>
        <v>8</v>
      </c>
      <c r="H61" s="14" t="s">
        <v>79</v>
      </c>
      <c r="I61" s="14" t="s">
        <v>152</v>
      </c>
    </row>
    <row r="62" customFormat="false" ht="15" hidden="false" customHeight="true" outlineLevel="0" collapsed="false">
      <c r="B62" s="11" t="s">
        <v>153</v>
      </c>
      <c r="C62" s="11" t="s">
        <v>148</v>
      </c>
      <c r="D62" s="11" t="n">
        <v>500</v>
      </c>
      <c r="E62" s="11" t="s">
        <v>112</v>
      </c>
      <c r="F62" s="15" t="n">
        <v>7.5</v>
      </c>
      <c r="G62" s="13" t="n">
        <f aca="false">IFERROR(F62/D62,0)</f>
        <v>0.015</v>
      </c>
      <c r="H62" s="14" t="s">
        <v>112</v>
      </c>
      <c r="I62" s="14" t="s">
        <v>76</v>
      </c>
    </row>
    <row r="63" customFormat="false" ht="15" hidden="false" customHeight="true" outlineLevel="0" collapsed="false">
      <c r="B63" s="11" t="s">
        <v>154</v>
      </c>
      <c r="C63" s="11" t="s">
        <v>155</v>
      </c>
      <c r="D63" s="11" t="n">
        <v>1</v>
      </c>
      <c r="E63" s="11" t="s">
        <v>112</v>
      </c>
      <c r="F63" s="15" t="n">
        <v>1.6</v>
      </c>
      <c r="G63" s="13" t="n">
        <f aca="false">IFERROR(F63/D63,0)</f>
        <v>1.6</v>
      </c>
      <c r="H63" s="14" t="s">
        <v>112</v>
      </c>
      <c r="I63" s="14" t="s">
        <v>156</v>
      </c>
    </row>
    <row r="64" customFormat="false" ht="15" hidden="false" customHeight="true" outlineLevel="0" collapsed="false">
      <c r="B64" s="11" t="s">
        <v>157</v>
      </c>
      <c r="C64" s="11" t="s">
        <v>155</v>
      </c>
      <c r="D64" s="11" t="n">
        <v>1</v>
      </c>
      <c r="E64" s="11" t="s">
        <v>112</v>
      </c>
      <c r="F64" s="15" t="n">
        <v>1.5</v>
      </c>
      <c r="G64" s="13" t="n">
        <f aca="false">IFERROR(F64/D64,0)</f>
        <v>1.5</v>
      </c>
      <c r="H64" s="14" t="s">
        <v>112</v>
      </c>
      <c r="I64" s="14" t="s">
        <v>158</v>
      </c>
    </row>
    <row r="65" customFormat="false" ht="15" hidden="false" customHeight="true" outlineLevel="0" collapsed="false">
      <c r="B65" s="11" t="s">
        <v>159</v>
      </c>
      <c r="C65" s="11" t="s">
        <v>155</v>
      </c>
      <c r="D65" s="11" t="n">
        <v>1</v>
      </c>
      <c r="E65" s="11" t="s">
        <v>112</v>
      </c>
      <c r="F65" s="15" t="n">
        <v>1.3</v>
      </c>
      <c r="G65" s="13" t="n">
        <f aca="false">IFERROR(F65/D65,0)</f>
        <v>1.3</v>
      </c>
      <c r="H65" s="14" t="s">
        <v>112</v>
      </c>
      <c r="I65" s="14" t="s">
        <v>158</v>
      </c>
    </row>
    <row r="66" customFormat="false" ht="15" hidden="false" customHeight="true" outlineLevel="0" collapsed="false">
      <c r="B66" s="11" t="s">
        <v>160</v>
      </c>
      <c r="C66" s="11" t="s">
        <v>155</v>
      </c>
      <c r="D66" s="11" t="n">
        <v>1</v>
      </c>
      <c r="E66" s="11" t="s">
        <v>112</v>
      </c>
      <c r="F66" s="15" t="n">
        <v>1.3</v>
      </c>
      <c r="G66" s="13" t="n">
        <f aca="false">IFERROR(F66/D66,0)</f>
        <v>1.3</v>
      </c>
      <c r="H66" s="14" t="s">
        <v>112</v>
      </c>
      <c r="I66" s="14" t="s">
        <v>158</v>
      </c>
    </row>
    <row r="67" customFormat="false" ht="15" hidden="false" customHeight="true" outlineLevel="0" collapsed="false">
      <c r="B67" s="11" t="s">
        <v>161</v>
      </c>
      <c r="C67" s="11" t="s">
        <v>155</v>
      </c>
      <c r="D67" s="11" t="n">
        <v>1</v>
      </c>
      <c r="E67" s="11" t="s">
        <v>112</v>
      </c>
      <c r="F67" s="12" t="n">
        <v>0.75</v>
      </c>
      <c r="G67" s="13" t="n">
        <f aca="false">IFERROR(F67/D67,0)</f>
        <v>0.75</v>
      </c>
      <c r="H67" s="14" t="s">
        <v>112</v>
      </c>
      <c r="I67" s="14" t="s">
        <v>162</v>
      </c>
    </row>
    <row r="68" customFormat="false" ht="15" hidden="false" customHeight="true" outlineLevel="0" collapsed="false">
      <c r="B68" s="11" t="s">
        <v>163</v>
      </c>
      <c r="C68" s="11" t="s">
        <v>164</v>
      </c>
      <c r="D68" s="11" t="n">
        <v>1</v>
      </c>
      <c r="E68" s="11" t="s">
        <v>112</v>
      </c>
      <c r="F68" s="12" t="n">
        <v>1.09</v>
      </c>
      <c r="G68" s="13" t="n">
        <f aca="false">IFERROR(F68/D68,0)</f>
        <v>1.09</v>
      </c>
      <c r="H68" s="14" t="s">
        <v>112</v>
      </c>
      <c r="I68" s="14" t="s">
        <v>165</v>
      </c>
    </row>
    <row r="69" customFormat="false" ht="15" hidden="false" customHeight="true" outlineLevel="0" collapsed="false">
      <c r="B69" s="11" t="s">
        <v>166</v>
      </c>
      <c r="C69" s="11" t="s">
        <v>164</v>
      </c>
      <c r="D69" s="11" t="n">
        <v>1</v>
      </c>
      <c r="E69" s="11" t="s">
        <v>112</v>
      </c>
      <c r="F69" s="12" t="n">
        <v>0.91</v>
      </c>
      <c r="G69" s="13" t="n">
        <f aca="false">IFERROR(F69/D69,0)</f>
        <v>0.91</v>
      </c>
      <c r="H69" s="14" t="s">
        <v>112</v>
      </c>
      <c r="I69" s="14" t="s">
        <v>167</v>
      </c>
    </row>
    <row r="70" customFormat="false" ht="15" hidden="false" customHeight="true" outlineLevel="0" collapsed="false">
      <c r="B70" s="11" t="s">
        <v>168</v>
      </c>
      <c r="C70" s="11" t="s">
        <v>164</v>
      </c>
      <c r="D70" s="11" t="n">
        <v>1</v>
      </c>
      <c r="E70" s="11" t="s">
        <v>112</v>
      </c>
      <c r="F70" s="15" t="n">
        <v>1.3</v>
      </c>
      <c r="G70" s="13" t="n">
        <f aca="false">IFERROR(F70/D70,0)</f>
        <v>1.3</v>
      </c>
      <c r="H70" s="14" t="s">
        <v>112</v>
      </c>
      <c r="I70" s="14" t="s">
        <v>76</v>
      </c>
    </row>
    <row r="71" customFormat="false" ht="15" hidden="false" customHeight="true" outlineLevel="0" collapsed="false">
      <c r="B71" s="11" t="s">
        <v>169</v>
      </c>
      <c r="C71" s="11" t="s">
        <v>164</v>
      </c>
      <c r="D71" s="11" t="n">
        <v>1</v>
      </c>
      <c r="E71" s="11" t="s">
        <v>112</v>
      </c>
      <c r="F71" s="12" t="n">
        <v>1.76</v>
      </c>
      <c r="G71" s="13" t="n">
        <f aca="false">IFERROR(F71/D71,0)</f>
        <v>1.76</v>
      </c>
      <c r="H71" s="14" t="s">
        <v>112</v>
      </c>
      <c r="I71" s="14" t="s">
        <v>170</v>
      </c>
    </row>
    <row r="72" customFormat="false" ht="15" hidden="false" customHeight="true" outlineLevel="0" collapsed="false">
      <c r="B72" s="11" t="s">
        <v>171</v>
      </c>
      <c r="C72" s="11" t="s">
        <v>164</v>
      </c>
      <c r="D72" s="11" t="n">
        <v>1</v>
      </c>
      <c r="E72" s="11" t="s">
        <v>112</v>
      </c>
      <c r="F72" s="15" t="n">
        <v>1.3</v>
      </c>
      <c r="G72" s="13" t="n">
        <f aca="false">IFERROR(F72/D72,0)</f>
        <v>1.3</v>
      </c>
      <c r="H72" s="14" t="s">
        <v>112</v>
      </c>
      <c r="I72" s="14" t="s">
        <v>76</v>
      </c>
    </row>
    <row r="73" customFormat="false" ht="15" hidden="false" customHeight="true" outlineLevel="0" collapsed="false">
      <c r="B73" s="11" t="s">
        <v>172</v>
      </c>
      <c r="C73" s="11" t="s">
        <v>164</v>
      </c>
      <c r="D73" s="11" t="n">
        <v>1</v>
      </c>
      <c r="E73" s="11" t="s">
        <v>112</v>
      </c>
      <c r="F73" s="12" t="n">
        <v>1.21</v>
      </c>
      <c r="G73" s="13" t="n">
        <f aca="false">IFERROR(F73/D73,0)</f>
        <v>1.21</v>
      </c>
      <c r="H73" s="14" t="s">
        <v>112</v>
      </c>
      <c r="I73" s="14" t="s">
        <v>173</v>
      </c>
    </row>
    <row r="74" customFormat="false" ht="15" hidden="false" customHeight="true" outlineLevel="0" collapsed="false">
      <c r="B74" s="11" t="s">
        <v>174</v>
      </c>
      <c r="C74" s="11" t="s">
        <v>164</v>
      </c>
      <c r="D74" s="11" t="n">
        <v>1</v>
      </c>
      <c r="E74" s="11" t="s">
        <v>112</v>
      </c>
      <c r="F74" s="12" t="n">
        <v>1.32</v>
      </c>
      <c r="G74" s="13" t="n">
        <f aca="false">IFERROR(F74/D74,0)</f>
        <v>1.32</v>
      </c>
      <c r="H74" s="14" t="s">
        <v>112</v>
      </c>
      <c r="I74" s="14" t="s">
        <v>175</v>
      </c>
    </row>
    <row r="75" customFormat="false" ht="15" hidden="false" customHeight="true" outlineLevel="0" collapsed="false">
      <c r="B75" s="11" t="s">
        <v>176</v>
      </c>
      <c r="C75" s="11" t="s">
        <v>164</v>
      </c>
      <c r="D75" s="11" t="n">
        <v>1</v>
      </c>
      <c r="E75" s="11" t="s">
        <v>112</v>
      </c>
      <c r="F75" s="15" t="n">
        <v>1.4</v>
      </c>
      <c r="G75" s="13" t="n">
        <f aca="false">IFERROR(F75/D75,0)</f>
        <v>1.4</v>
      </c>
      <c r="H75" s="14" t="s">
        <v>112</v>
      </c>
      <c r="I75" s="14" t="s">
        <v>76</v>
      </c>
    </row>
    <row r="76" customFormat="false" ht="15" hidden="false" customHeight="true" outlineLevel="0" collapsed="false">
      <c r="B76" s="11" t="s">
        <v>177</v>
      </c>
      <c r="C76" s="11" t="s">
        <v>164</v>
      </c>
      <c r="D76" s="11" t="n">
        <v>1</v>
      </c>
      <c r="E76" s="11" t="s">
        <v>112</v>
      </c>
      <c r="F76" s="12" t="n">
        <v>1.74</v>
      </c>
      <c r="G76" s="13" t="n">
        <f aca="false">IFERROR(F76/D76,0)</f>
        <v>1.74</v>
      </c>
      <c r="H76" s="14" t="s">
        <v>112</v>
      </c>
      <c r="I76" s="14" t="s">
        <v>178</v>
      </c>
    </row>
    <row r="77" customFormat="false" ht="15" hidden="false" customHeight="true" outlineLevel="0" collapsed="false">
      <c r="B77" s="11" t="s">
        <v>179</v>
      </c>
      <c r="C77" s="11" t="s">
        <v>164</v>
      </c>
      <c r="D77" s="11" t="n">
        <v>1</v>
      </c>
      <c r="E77" s="11" t="s">
        <v>112</v>
      </c>
      <c r="F77" s="15" t="n">
        <v>1.75</v>
      </c>
      <c r="G77" s="13" t="n">
        <f aca="false">IFERROR(F77/D77,0)</f>
        <v>1.75</v>
      </c>
      <c r="H77" s="14" t="s">
        <v>112</v>
      </c>
      <c r="I77" s="14" t="s">
        <v>76</v>
      </c>
    </row>
    <row r="78" customFormat="false" ht="15" hidden="false" customHeight="true" outlineLevel="0" collapsed="false">
      <c r="B78" s="11" t="s">
        <v>180</v>
      </c>
      <c r="C78" s="11" t="s">
        <v>164</v>
      </c>
      <c r="D78" s="11" t="n">
        <v>1</v>
      </c>
      <c r="E78" s="11" t="s">
        <v>112</v>
      </c>
      <c r="F78" s="15" t="n">
        <v>14</v>
      </c>
      <c r="G78" s="13" t="n">
        <f aca="false">IFERROR(F78/D78,0)</f>
        <v>14</v>
      </c>
      <c r="H78" s="14" t="s">
        <v>112</v>
      </c>
      <c r="I78" s="14" t="s">
        <v>76</v>
      </c>
    </row>
    <row r="79" customFormat="false" ht="15" hidden="false" customHeight="true" outlineLevel="0" collapsed="false">
      <c r="B79" s="11" t="s">
        <v>181</v>
      </c>
      <c r="C79" s="11" t="s">
        <v>182</v>
      </c>
      <c r="D79" s="11" t="n">
        <v>1</v>
      </c>
      <c r="E79" s="11" t="s">
        <v>112</v>
      </c>
      <c r="F79" s="15" t="n">
        <v>0.65</v>
      </c>
      <c r="G79" s="13" t="n">
        <f aca="false">IFERROR(F79/D79,0)</f>
        <v>0.65</v>
      </c>
      <c r="H79" s="14" t="s">
        <v>112</v>
      </c>
      <c r="I79" s="14" t="s">
        <v>76</v>
      </c>
    </row>
    <row r="80" customFormat="false" ht="15" hidden="false" customHeight="true" outlineLevel="0" collapsed="false">
      <c r="B80" s="11" t="s">
        <v>183</v>
      </c>
      <c r="C80" s="11" t="s">
        <v>182</v>
      </c>
      <c r="D80" s="11" t="n">
        <v>1</v>
      </c>
      <c r="E80" s="11" t="s">
        <v>79</v>
      </c>
      <c r="F80" s="15" t="n">
        <v>18</v>
      </c>
      <c r="G80" s="13" t="n">
        <f aca="false">IFERROR(F80/D80,0)</f>
        <v>18</v>
      </c>
      <c r="H80" s="14" t="s">
        <v>79</v>
      </c>
      <c r="I80" s="14" t="s">
        <v>76</v>
      </c>
    </row>
    <row r="81" customFormat="false" ht="15" hidden="false" customHeight="true" outlineLevel="0" collapsed="false">
      <c r="B81" s="11" t="s">
        <v>184</v>
      </c>
      <c r="C81" s="11" t="s">
        <v>182</v>
      </c>
      <c r="D81" s="11" t="n">
        <v>1</v>
      </c>
      <c r="E81" s="11" t="s">
        <v>79</v>
      </c>
      <c r="F81" s="15" t="n">
        <v>10</v>
      </c>
      <c r="G81" s="13" t="n">
        <f aca="false">IFERROR(F81/D81,0)</f>
        <v>10</v>
      </c>
      <c r="H81" s="14" t="s">
        <v>79</v>
      </c>
      <c r="I81" s="14" t="s">
        <v>76</v>
      </c>
    </row>
    <row r="82" customFormat="false" ht="15" hidden="false" customHeight="true" outlineLevel="0" collapsed="false">
      <c r="B82" s="11" t="s">
        <v>185</v>
      </c>
      <c r="C82" s="11" t="s">
        <v>182</v>
      </c>
      <c r="D82" s="11" t="n">
        <v>1</v>
      </c>
      <c r="E82" s="11" t="s">
        <v>79</v>
      </c>
      <c r="F82" s="15" t="n">
        <v>28</v>
      </c>
      <c r="G82" s="13" t="n">
        <f aca="false">IFERROR(F82/D82,0)</f>
        <v>28</v>
      </c>
      <c r="H82" s="14" t="s">
        <v>79</v>
      </c>
      <c r="I82" s="14" t="s">
        <v>76</v>
      </c>
    </row>
    <row r="83" customFormat="false" ht="15" hidden="false" customHeight="true" outlineLevel="0" collapsed="false">
      <c r="B83" s="11" t="s">
        <v>186</v>
      </c>
      <c r="C83" s="11" t="s">
        <v>182</v>
      </c>
      <c r="D83" s="11" t="n">
        <v>1</v>
      </c>
      <c r="E83" s="11" t="s">
        <v>79</v>
      </c>
      <c r="F83" s="15" t="n">
        <v>6</v>
      </c>
      <c r="G83" s="13" t="n">
        <f aca="false">IFERROR(F83/D83,0)</f>
        <v>6</v>
      </c>
      <c r="H83" s="14" t="s">
        <v>79</v>
      </c>
      <c r="I83" s="14" t="s">
        <v>76</v>
      </c>
    </row>
    <row r="84" customFormat="false" ht="15" hidden="false" customHeight="true" outlineLevel="0" collapsed="false">
      <c r="B84" s="11" t="s">
        <v>187</v>
      </c>
      <c r="C84" s="11" t="s">
        <v>182</v>
      </c>
      <c r="D84" s="11" t="n">
        <v>1</v>
      </c>
      <c r="E84" s="11" t="s">
        <v>79</v>
      </c>
      <c r="F84" s="15" t="n">
        <v>9</v>
      </c>
      <c r="G84" s="13" t="n">
        <f aca="false">IFERROR(F84/D84,0)</f>
        <v>9</v>
      </c>
      <c r="H84" s="14" t="s">
        <v>79</v>
      </c>
      <c r="I84" s="14" t="s">
        <v>76</v>
      </c>
    </row>
    <row r="85" customFormat="false" ht="15" hidden="false" customHeight="true" outlineLevel="0" collapsed="false">
      <c r="B85" s="11" t="s">
        <v>188</v>
      </c>
      <c r="C85" s="11" t="s">
        <v>182</v>
      </c>
      <c r="D85" s="11" t="n">
        <v>1</v>
      </c>
      <c r="E85" s="11" t="s">
        <v>189</v>
      </c>
      <c r="F85" s="15" t="n">
        <v>1.5</v>
      </c>
      <c r="G85" s="13" t="n">
        <f aca="false">IFERROR(F85/D85,0)</f>
        <v>1.5</v>
      </c>
      <c r="H85" s="14" t="s">
        <v>189</v>
      </c>
      <c r="I85" s="14" t="s">
        <v>190</v>
      </c>
    </row>
    <row r="86" customFormat="false" ht="15" hidden="false" customHeight="true" outlineLevel="0" collapsed="false">
      <c r="B86" s="11" t="s">
        <v>191</v>
      </c>
      <c r="C86" s="11" t="s">
        <v>182</v>
      </c>
      <c r="D86" s="11" t="n">
        <v>1</v>
      </c>
      <c r="E86" s="11" t="s">
        <v>112</v>
      </c>
      <c r="F86" s="15" t="n">
        <v>0.4</v>
      </c>
      <c r="G86" s="13" t="n">
        <f aca="false">IFERROR(F86/D86,0)</f>
        <v>0.4</v>
      </c>
      <c r="H86" s="14" t="s">
        <v>112</v>
      </c>
      <c r="I86" s="14" t="s">
        <v>76</v>
      </c>
    </row>
    <row r="87" customFormat="false" ht="15" hidden="false" customHeight="true" outlineLevel="0" collapsed="false">
      <c r="B87" s="11" t="s">
        <v>192</v>
      </c>
      <c r="C87" s="11" t="s">
        <v>182</v>
      </c>
      <c r="D87" s="11" t="n">
        <v>1</v>
      </c>
      <c r="E87" s="11" t="s">
        <v>112</v>
      </c>
      <c r="F87" s="15" t="n">
        <v>0.35</v>
      </c>
      <c r="G87" s="13" t="n">
        <f aca="false">IFERROR(F87/D87,0)</f>
        <v>0.35</v>
      </c>
      <c r="H87" s="14" t="s">
        <v>112</v>
      </c>
      <c r="I87" s="14" t="s">
        <v>76</v>
      </c>
    </row>
    <row r="88" customFormat="false" ht="15" hidden="false" customHeight="true" outlineLevel="0" collapsed="false">
      <c r="B88" s="11" t="s">
        <v>193</v>
      </c>
      <c r="C88" s="11" t="s">
        <v>182</v>
      </c>
      <c r="D88" s="11" t="n">
        <v>1</v>
      </c>
      <c r="E88" s="11" t="s">
        <v>79</v>
      </c>
      <c r="F88" s="15" t="n">
        <v>8</v>
      </c>
      <c r="G88" s="13" t="n">
        <f aca="false">IFERROR(F88/D88,0)</f>
        <v>8</v>
      </c>
      <c r="H88" s="14" t="s">
        <v>79</v>
      </c>
      <c r="I88" s="14" t="s">
        <v>76</v>
      </c>
    </row>
    <row r="89" customFormat="false" ht="15" hidden="false" customHeight="true" outlineLevel="0" collapsed="false">
      <c r="B89" s="11" t="s">
        <v>194</v>
      </c>
      <c r="C89" s="11" t="s">
        <v>182</v>
      </c>
      <c r="D89" s="11" t="n">
        <v>1</v>
      </c>
      <c r="E89" s="11" t="s">
        <v>79</v>
      </c>
      <c r="F89" s="15" t="n">
        <v>7</v>
      </c>
      <c r="G89" s="13" t="n">
        <f aca="false">IFERROR(F89/D89,0)</f>
        <v>7</v>
      </c>
      <c r="H89" s="14" t="s">
        <v>79</v>
      </c>
      <c r="I89" s="14" t="s">
        <v>76</v>
      </c>
    </row>
    <row r="90" customFormat="false" ht="15" hidden="false" customHeight="true" outlineLevel="0" collapsed="false">
      <c r="B90" s="11" t="s">
        <v>195</v>
      </c>
      <c r="C90" s="11" t="s">
        <v>182</v>
      </c>
      <c r="D90" s="11" t="n">
        <v>1</v>
      </c>
      <c r="E90" s="11" t="s">
        <v>79</v>
      </c>
      <c r="F90" s="15" t="n">
        <v>3</v>
      </c>
      <c r="G90" s="13" t="n">
        <f aca="false">IFERROR(F90/D90,0)</f>
        <v>3</v>
      </c>
      <c r="H90" s="14" t="s">
        <v>79</v>
      </c>
      <c r="I90" s="14" t="s">
        <v>76</v>
      </c>
    </row>
    <row r="91" customFormat="false" ht="15" hidden="false" customHeight="true" outlineLevel="0" collapsed="false">
      <c r="B91" s="11" t="s">
        <v>196</v>
      </c>
      <c r="C91" s="11" t="s">
        <v>182</v>
      </c>
      <c r="D91" s="11" t="n">
        <v>1</v>
      </c>
      <c r="E91" s="11" t="s">
        <v>79</v>
      </c>
      <c r="F91" s="15" t="n">
        <v>6</v>
      </c>
      <c r="G91" s="13" t="n">
        <f aca="false">IFERROR(F91/D91,0)</f>
        <v>6</v>
      </c>
      <c r="H91" s="14" t="s">
        <v>79</v>
      </c>
      <c r="I91" s="14" t="s">
        <v>76</v>
      </c>
    </row>
    <row r="92" customFormat="false" ht="15" hidden="false" customHeight="true" outlineLevel="0" collapsed="false">
      <c r="B92" s="11" t="s">
        <v>197</v>
      </c>
      <c r="C92" s="11" t="s">
        <v>182</v>
      </c>
      <c r="D92" s="11" t="n">
        <v>100</v>
      </c>
      <c r="E92" s="11" t="s">
        <v>112</v>
      </c>
      <c r="F92" s="15" t="n">
        <v>8</v>
      </c>
      <c r="G92" s="13" t="n">
        <f aca="false">IFERROR(F92/D92,0)</f>
        <v>0.08</v>
      </c>
      <c r="H92" s="14" t="s">
        <v>112</v>
      </c>
      <c r="I92" s="14" t="s">
        <v>76</v>
      </c>
    </row>
    <row r="93" customFormat="false" ht="15" hidden="false" customHeight="true" outlineLevel="0" collapsed="false">
      <c r="B93" s="11" t="s">
        <v>198</v>
      </c>
      <c r="C93" s="11" t="s">
        <v>199</v>
      </c>
      <c r="D93" s="11" t="n">
        <v>1</v>
      </c>
      <c r="E93" s="11" t="s">
        <v>112</v>
      </c>
      <c r="F93" s="12" t="n">
        <v>0.32</v>
      </c>
      <c r="G93" s="13" t="n">
        <f aca="false">IFERROR(F93/D93,0)</f>
        <v>0.32</v>
      </c>
      <c r="H93" s="14" t="s">
        <v>112</v>
      </c>
      <c r="I93" s="14" t="s">
        <v>200</v>
      </c>
    </row>
    <row r="94" customFormat="false" ht="15" hidden="false" customHeight="true" outlineLevel="0" collapsed="false">
      <c r="B94" s="11" t="s">
        <v>201</v>
      </c>
      <c r="C94" s="11" t="s">
        <v>199</v>
      </c>
      <c r="D94" s="11" t="n">
        <v>1</v>
      </c>
      <c r="E94" s="11" t="s">
        <v>112</v>
      </c>
      <c r="F94" s="12" t="n">
        <v>0.61</v>
      </c>
      <c r="G94" s="13" t="n">
        <f aca="false">IFERROR(F94/D94,0)</f>
        <v>0.61</v>
      </c>
      <c r="H94" s="14" t="s">
        <v>112</v>
      </c>
      <c r="I94" s="14" t="s">
        <v>202</v>
      </c>
    </row>
    <row r="95" customFormat="false" ht="15" hidden="false" customHeight="true" outlineLevel="0" collapsed="false">
      <c r="B95" s="11" t="s">
        <v>203</v>
      </c>
      <c r="C95" s="11" t="s">
        <v>199</v>
      </c>
      <c r="D95" s="11" t="n">
        <v>1</v>
      </c>
      <c r="E95" s="11" t="s">
        <v>112</v>
      </c>
      <c r="F95" s="12" t="n">
        <v>0.44</v>
      </c>
      <c r="G95" s="13" t="n">
        <f aca="false">IFERROR(F95/D95,0)</f>
        <v>0.44</v>
      </c>
      <c r="H95" s="14" t="s">
        <v>112</v>
      </c>
      <c r="I95" s="14" t="s">
        <v>204</v>
      </c>
    </row>
    <row r="96" customFormat="false" ht="15" hidden="false" customHeight="true" outlineLevel="0" collapsed="false">
      <c r="B96" s="11" t="s">
        <v>205</v>
      </c>
      <c r="C96" s="11" t="s">
        <v>199</v>
      </c>
      <c r="D96" s="11" t="n">
        <v>1</v>
      </c>
      <c r="E96" s="11" t="s">
        <v>112</v>
      </c>
      <c r="F96" s="15" t="n">
        <v>0.8</v>
      </c>
      <c r="G96" s="13" t="n">
        <f aca="false">IFERROR(F96/D96,0)</f>
        <v>0.8</v>
      </c>
      <c r="H96" s="14" t="s">
        <v>112</v>
      </c>
      <c r="I96" s="14" t="s">
        <v>76</v>
      </c>
    </row>
    <row r="97" customFormat="false" ht="15" hidden="false" customHeight="true" outlineLevel="0" collapsed="false">
      <c r="B97" s="11" t="s">
        <v>206</v>
      </c>
      <c r="C97" s="11" t="s">
        <v>199</v>
      </c>
      <c r="D97" s="11" t="n">
        <v>1</v>
      </c>
      <c r="E97" s="11" t="s">
        <v>112</v>
      </c>
      <c r="F97" s="12" t="n">
        <v>0.73</v>
      </c>
      <c r="G97" s="13" t="n">
        <f aca="false">IFERROR(F97/D97,0)</f>
        <v>0.73</v>
      </c>
      <c r="H97" s="14" t="s">
        <v>112</v>
      </c>
      <c r="I97" s="14" t="s">
        <v>207</v>
      </c>
    </row>
    <row r="98" customFormat="false" ht="15" hidden="false" customHeight="true" outlineLevel="0" collapsed="false">
      <c r="B98" s="11" t="s">
        <v>208</v>
      </c>
      <c r="C98" s="11" t="s">
        <v>199</v>
      </c>
      <c r="D98" s="11" t="n">
        <v>1</v>
      </c>
      <c r="E98" s="11" t="s">
        <v>112</v>
      </c>
      <c r="F98" s="12" t="n">
        <v>0.73</v>
      </c>
      <c r="G98" s="13" t="n">
        <f aca="false">IFERROR(F98/D98,0)</f>
        <v>0.73</v>
      </c>
      <c r="H98" s="14" t="s">
        <v>112</v>
      </c>
      <c r="I98" s="14" t="s">
        <v>209</v>
      </c>
    </row>
    <row r="99" customFormat="false" ht="15" hidden="false" customHeight="true" outlineLevel="0" collapsed="false">
      <c r="B99" s="11" t="s">
        <v>210</v>
      </c>
      <c r="C99" s="11" t="s">
        <v>199</v>
      </c>
      <c r="D99" s="11" t="n">
        <v>1</v>
      </c>
      <c r="E99" s="11" t="s">
        <v>112</v>
      </c>
      <c r="F99" s="12" t="n">
        <v>0.33</v>
      </c>
      <c r="G99" s="13" t="n">
        <f aca="false">IFERROR(F99/D99,0)</f>
        <v>0.33</v>
      </c>
      <c r="H99" s="14" t="s">
        <v>112</v>
      </c>
      <c r="I99" s="14" t="s">
        <v>211</v>
      </c>
    </row>
    <row r="100" customFormat="false" ht="15" hidden="false" customHeight="true" outlineLevel="0" collapsed="false">
      <c r="B100" s="11" t="s">
        <v>212</v>
      </c>
      <c r="C100" s="11" t="s">
        <v>199</v>
      </c>
      <c r="D100" s="11" t="n">
        <v>1</v>
      </c>
      <c r="E100" s="11" t="s">
        <v>112</v>
      </c>
      <c r="F100" s="12" t="n">
        <v>0.43</v>
      </c>
      <c r="G100" s="13" t="n">
        <f aca="false">IFERROR(F100/D100,0)</f>
        <v>0.43</v>
      </c>
      <c r="H100" s="14" t="s">
        <v>112</v>
      </c>
      <c r="I100" s="14" t="s">
        <v>213</v>
      </c>
    </row>
    <row r="101" customFormat="false" ht="15" hidden="false" customHeight="true" outlineLevel="0" collapsed="false">
      <c r="B101" s="11" t="s">
        <v>214</v>
      </c>
      <c r="C101" s="11" t="s">
        <v>199</v>
      </c>
      <c r="D101" s="11" t="n">
        <v>1</v>
      </c>
      <c r="E101" s="11" t="s">
        <v>112</v>
      </c>
      <c r="F101" s="12" t="n">
        <v>0.62</v>
      </c>
      <c r="G101" s="13" t="n">
        <f aca="false">IFERROR(F101/D101,0)</f>
        <v>0.62</v>
      </c>
      <c r="H101" s="14" t="s">
        <v>112</v>
      </c>
      <c r="I101" s="14" t="s">
        <v>215</v>
      </c>
    </row>
    <row r="102" customFormat="false" ht="15" hidden="false" customHeight="true" outlineLevel="0" collapsed="false">
      <c r="B102" s="11" t="s">
        <v>216</v>
      </c>
      <c r="C102" s="11" t="s">
        <v>199</v>
      </c>
      <c r="D102" s="11" t="n">
        <v>1</v>
      </c>
      <c r="E102" s="11" t="s">
        <v>112</v>
      </c>
      <c r="F102" s="12" t="n">
        <v>0.45</v>
      </c>
      <c r="G102" s="13" t="n">
        <f aca="false">IFERROR(F102/D102,0)</f>
        <v>0.45</v>
      </c>
      <c r="H102" s="14" t="s">
        <v>112</v>
      </c>
      <c r="I102" s="14" t="s">
        <v>217</v>
      </c>
    </row>
    <row r="103" customFormat="false" ht="15" hidden="false" customHeight="true" outlineLevel="0" collapsed="false">
      <c r="B103" s="11" t="s">
        <v>218</v>
      </c>
      <c r="C103" s="11" t="s">
        <v>164</v>
      </c>
      <c r="D103" s="11" t="n">
        <v>1</v>
      </c>
      <c r="E103" s="11" t="s">
        <v>112</v>
      </c>
      <c r="F103" s="12" t="n">
        <v>1.35</v>
      </c>
      <c r="G103" s="13" t="n">
        <f aca="false">IFERROR(F103/D103,0)</f>
        <v>1.35</v>
      </c>
      <c r="H103" s="14" t="s">
        <v>112</v>
      </c>
      <c r="I103" s="14" t="s">
        <v>219</v>
      </c>
    </row>
    <row r="104" customFormat="false" ht="15" hidden="false" customHeight="true" outlineLevel="0" collapsed="false">
      <c r="B104" s="11" t="s">
        <v>220</v>
      </c>
      <c r="C104" s="11" t="s">
        <v>164</v>
      </c>
      <c r="D104" s="11" t="n">
        <v>1</v>
      </c>
      <c r="E104" s="11" t="s">
        <v>112</v>
      </c>
      <c r="F104" s="12" t="n">
        <v>1.23</v>
      </c>
      <c r="G104" s="13" t="n">
        <f aca="false">IFERROR(F104/D104,0)</f>
        <v>1.23</v>
      </c>
      <c r="H104" s="14" t="s">
        <v>112</v>
      </c>
      <c r="I104" s="14" t="s">
        <v>221</v>
      </c>
    </row>
    <row r="105" customFormat="false" ht="15" hidden="false" customHeight="true" outlineLevel="0" collapsed="false">
      <c r="B105" s="11" t="s">
        <v>222</v>
      </c>
      <c r="C105" s="11" t="s">
        <v>164</v>
      </c>
      <c r="D105" s="11" t="n">
        <v>1</v>
      </c>
      <c r="E105" s="11" t="s">
        <v>112</v>
      </c>
      <c r="F105" s="12" t="n">
        <v>1.55</v>
      </c>
      <c r="G105" s="13" t="n">
        <f aca="false">IFERROR(F105/D105,0)</f>
        <v>1.55</v>
      </c>
      <c r="H105" s="14" t="s">
        <v>112</v>
      </c>
      <c r="I105" s="14" t="s">
        <v>223</v>
      </c>
    </row>
    <row r="106" customFormat="false" ht="15" hidden="false" customHeight="true" outlineLevel="0" collapsed="false">
      <c r="B106" s="11" t="s">
        <v>224</v>
      </c>
      <c r="C106" s="11" t="s">
        <v>164</v>
      </c>
      <c r="D106" s="11" t="n">
        <v>1</v>
      </c>
      <c r="E106" s="11" t="s">
        <v>112</v>
      </c>
      <c r="F106" s="12" t="n">
        <v>1.75</v>
      </c>
      <c r="G106" s="13" t="n">
        <f aca="false">IFERROR(F106/D106,0)</f>
        <v>1.75</v>
      </c>
      <c r="H106" s="14" t="s">
        <v>112</v>
      </c>
      <c r="I106" s="14" t="s">
        <v>225</v>
      </c>
    </row>
    <row r="107" customFormat="false" ht="15" hidden="false" customHeight="true" outlineLevel="0" collapsed="false">
      <c r="B107" s="11" t="s">
        <v>226</v>
      </c>
      <c r="C107" s="11" t="s">
        <v>182</v>
      </c>
      <c r="D107" s="11" t="n">
        <v>1</v>
      </c>
      <c r="E107" s="11" t="s">
        <v>112</v>
      </c>
      <c r="F107" s="12" t="n">
        <v>2.02</v>
      </c>
      <c r="G107" s="13" t="n">
        <f aca="false">IFERROR(F107/D107,0)</f>
        <v>2.02</v>
      </c>
      <c r="H107" s="14" t="s">
        <v>112</v>
      </c>
      <c r="I107" s="14" t="s">
        <v>227</v>
      </c>
    </row>
    <row r="108" customFormat="false" ht="15" hidden="false" customHeight="true" outlineLevel="0" collapsed="false">
      <c r="B108" s="11" t="s">
        <v>228</v>
      </c>
      <c r="C108" s="11" t="s">
        <v>182</v>
      </c>
      <c r="D108" s="11" t="n">
        <v>1</v>
      </c>
      <c r="E108" s="11" t="s">
        <v>112</v>
      </c>
      <c r="F108" s="12" t="n">
        <v>2.02</v>
      </c>
      <c r="G108" s="13" t="n">
        <f aca="false">IFERROR(F108/D108,0)</f>
        <v>2.02</v>
      </c>
      <c r="H108" s="14" t="s">
        <v>112</v>
      </c>
      <c r="I108" s="14" t="s">
        <v>227</v>
      </c>
    </row>
    <row r="109" customFormat="false" ht="15" hidden="false" customHeight="true" outlineLevel="0" collapsed="false">
      <c r="B109" s="11" t="s">
        <v>229</v>
      </c>
      <c r="C109" s="11" t="s">
        <v>182</v>
      </c>
      <c r="D109" s="11" t="n">
        <v>1</v>
      </c>
      <c r="E109" s="11" t="s">
        <v>112</v>
      </c>
      <c r="F109" s="12" t="n">
        <v>2.49</v>
      </c>
      <c r="G109" s="13" t="n">
        <f aca="false">IFERROR(F109/D109,0)</f>
        <v>2.49</v>
      </c>
      <c r="H109" s="14" t="s">
        <v>112</v>
      </c>
      <c r="I109" s="14" t="s">
        <v>230</v>
      </c>
    </row>
    <row r="110" customFormat="false" ht="15" hidden="false" customHeight="true" outlineLevel="0" collapsed="false">
      <c r="B110" s="11" t="s">
        <v>231</v>
      </c>
      <c r="C110" s="11" t="s">
        <v>199</v>
      </c>
      <c r="D110" s="11" t="n">
        <v>1</v>
      </c>
      <c r="E110" s="11" t="s">
        <v>112</v>
      </c>
      <c r="F110" s="12" t="n">
        <v>0.4</v>
      </c>
      <c r="G110" s="13" t="n">
        <f aca="false">IFERROR(F110/D110,0)</f>
        <v>0.4</v>
      </c>
      <c r="H110" s="14" t="s">
        <v>112</v>
      </c>
      <c r="I110" s="14" t="s">
        <v>232</v>
      </c>
    </row>
    <row r="111" customFormat="false" ht="15" hidden="false" customHeight="true" outlineLevel="0" collapsed="false">
      <c r="B111" s="11" t="s">
        <v>233</v>
      </c>
      <c r="C111" s="11" t="s">
        <v>199</v>
      </c>
      <c r="D111" s="11" t="n">
        <v>1</v>
      </c>
      <c r="E111" s="11" t="s">
        <v>112</v>
      </c>
      <c r="F111" s="12" t="n">
        <v>0.53</v>
      </c>
      <c r="G111" s="13" t="n">
        <f aca="false">IFERROR(F111/D111,0)</f>
        <v>0.53</v>
      </c>
      <c r="H111" s="14" t="s">
        <v>112</v>
      </c>
      <c r="I111" s="14" t="s">
        <v>234</v>
      </c>
    </row>
    <row r="112" customFormat="false" ht="15" hidden="false" customHeight="true" outlineLevel="0" collapsed="false">
      <c r="B112" s="11" t="s">
        <v>235</v>
      </c>
      <c r="C112" s="11" t="s">
        <v>199</v>
      </c>
      <c r="D112" s="11" t="n">
        <v>1</v>
      </c>
      <c r="E112" s="11" t="s">
        <v>112</v>
      </c>
      <c r="F112" s="12" t="n">
        <v>0.47</v>
      </c>
      <c r="G112" s="13" t="n">
        <f aca="false">IFERROR(F112/D112,0)</f>
        <v>0.47</v>
      </c>
      <c r="H112" s="14" t="s">
        <v>112</v>
      </c>
      <c r="I112" s="14" t="s">
        <v>236</v>
      </c>
    </row>
    <row r="113" customFormat="false" ht="15" hidden="false" customHeight="true" outlineLevel="0" collapsed="false">
      <c r="B113" s="11" t="s">
        <v>237</v>
      </c>
      <c r="C113" s="11" t="s">
        <v>199</v>
      </c>
      <c r="D113" s="11" t="n">
        <v>1</v>
      </c>
      <c r="E113" s="11" t="s">
        <v>112</v>
      </c>
      <c r="F113" s="12" t="n">
        <v>0.44</v>
      </c>
      <c r="G113" s="13" t="n">
        <f aca="false">IFERROR(F113/D113,0)</f>
        <v>0.44</v>
      </c>
      <c r="H113" s="14" t="s">
        <v>112</v>
      </c>
      <c r="I113" s="14" t="s">
        <v>204</v>
      </c>
    </row>
    <row r="114" customFormat="false" ht="15" hidden="false" customHeight="true" outlineLevel="0" collapsed="false">
      <c r="B114" s="11" t="s">
        <v>238</v>
      </c>
      <c r="C114" s="11" t="s">
        <v>199</v>
      </c>
      <c r="D114" s="11" t="n">
        <v>1</v>
      </c>
      <c r="E114" s="11" t="s">
        <v>112</v>
      </c>
      <c r="F114" s="12" t="n">
        <v>0.44</v>
      </c>
      <c r="G114" s="13" t="n">
        <f aca="false">IFERROR(F114/D114,0)</f>
        <v>0.44</v>
      </c>
      <c r="H114" s="14" t="s">
        <v>112</v>
      </c>
      <c r="I114" s="14" t="s">
        <v>239</v>
      </c>
    </row>
    <row r="115" customFormat="false" ht="15" hidden="false" customHeight="true" outlineLevel="0" collapsed="false">
      <c r="B115" s="11" t="s">
        <v>240</v>
      </c>
      <c r="C115" s="11" t="s">
        <v>199</v>
      </c>
      <c r="D115" s="11" t="n">
        <v>1</v>
      </c>
      <c r="E115" s="11" t="s">
        <v>112</v>
      </c>
      <c r="F115" s="12" t="n">
        <v>0.34</v>
      </c>
      <c r="G115" s="13" t="n">
        <f aca="false">IFERROR(F115/D115,0)</f>
        <v>0.34</v>
      </c>
      <c r="H115" s="14" t="s">
        <v>112</v>
      </c>
      <c r="I115" s="14" t="s">
        <v>241</v>
      </c>
    </row>
    <row r="116" customFormat="false" ht="15" hidden="false" customHeight="true" outlineLevel="0" collapsed="false">
      <c r="B116" s="11" t="s">
        <v>242</v>
      </c>
      <c r="C116" s="11" t="s">
        <v>199</v>
      </c>
      <c r="D116" s="11" t="n">
        <v>1</v>
      </c>
      <c r="E116" s="11" t="s">
        <v>112</v>
      </c>
      <c r="F116" s="12" t="n">
        <v>0.28</v>
      </c>
      <c r="G116" s="13" t="n">
        <f aca="false">IFERROR(F116/D116,0)</f>
        <v>0.28</v>
      </c>
      <c r="H116" s="14" t="s">
        <v>112</v>
      </c>
      <c r="I116" s="14" t="s">
        <v>243</v>
      </c>
    </row>
    <row r="117" customFormat="false" ht="15" hidden="false" customHeight="true" outlineLevel="0" collapsed="false">
      <c r="B117" s="11" t="s">
        <v>244</v>
      </c>
      <c r="C117" s="11" t="s">
        <v>199</v>
      </c>
      <c r="D117" s="11" t="n">
        <v>1</v>
      </c>
      <c r="E117" s="11" t="s">
        <v>112</v>
      </c>
      <c r="F117" s="12" t="n">
        <v>0.5</v>
      </c>
      <c r="G117" s="13" t="n">
        <f aca="false">IFERROR(F117/D117,0)</f>
        <v>0.5</v>
      </c>
      <c r="H117" s="14" t="s">
        <v>112</v>
      </c>
      <c r="I117" s="14" t="s">
        <v>245</v>
      </c>
    </row>
    <row r="118" customFormat="false" ht="15" hidden="false" customHeight="true" outlineLevel="0" collapsed="false">
      <c r="B118" s="11" t="s">
        <v>246</v>
      </c>
      <c r="C118" s="11" t="s">
        <v>78</v>
      </c>
      <c r="D118" s="11" t="n">
        <v>18</v>
      </c>
      <c r="E118" s="11" t="s">
        <v>112</v>
      </c>
      <c r="F118" s="12" t="n">
        <v>7.5</v>
      </c>
      <c r="G118" s="13" t="n">
        <f aca="false">IFERROR(F118/D118,0)</f>
        <v>0.416666666666667</v>
      </c>
      <c r="H118" s="14" t="s">
        <v>112</v>
      </c>
      <c r="I118" s="14" t="s">
        <v>247</v>
      </c>
    </row>
    <row r="119" customFormat="false" ht="15" hidden="false" customHeight="true" outlineLevel="0" collapsed="false">
      <c r="B119" s="11" t="s">
        <v>248</v>
      </c>
      <c r="C119" s="11" t="s">
        <v>123</v>
      </c>
      <c r="D119" s="11" t="n">
        <v>1</v>
      </c>
      <c r="E119" s="11" t="s">
        <v>79</v>
      </c>
      <c r="F119" s="17" t="n">
        <v>8.5</v>
      </c>
      <c r="G119" s="18" t="n">
        <f aca="false">IFERROR(F119/D119,0)</f>
        <v>8.5</v>
      </c>
      <c r="H119" s="16" t="s">
        <v>249</v>
      </c>
      <c r="I119" s="19"/>
    </row>
    <row r="120" customFormat="false" ht="15" hidden="false" customHeight="true" outlineLevel="0" collapsed="false">
      <c r="B120" s="11" t="s">
        <v>250</v>
      </c>
      <c r="C120" s="11" t="s">
        <v>123</v>
      </c>
      <c r="D120" s="11" t="n">
        <v>1</v>
      </c>
      <c r="E120" s="11" t="s">
        <v>65</v>
      </c>
      <c r="F120" s="17" t="n">
        <v>1.5</v>
      </c>
      <c r="G120" s="18" t="n">
        <f aca="false">IFERROR(F120/D120,0)</f>
        <v>1.5</v>
      </c>
      <c r="H120" s="16" t="s">
        <v>251</v>
      </c>
      <c r="I120" s="19"/>
    </row>
    <row r="121" customFormat="false" ht="15" hidden="false" customHeight="true" outlineLevel="0" collapsed="false">
      <c r="B121" s="19"/>
      <c r="C121" s="19"/>
      <c r="D121" s="19"/>
      <c r="E121" s="19"/>
      <c r="F121" s="19"/>
      <c r="G121" s="13" t="n">
        <f aca="false">IFERROR(F121/D121,0)</f>
        <v>0</v>
      </c>
      <c r="H121" s="19"/>
      <c r="I121" s="19"/>
    </row>
    <row r="122" customFormat="false" ht="15" hidden="false" customHeight="true" outlineLevel="0" collapsed="false">
      <c r="B122" s="19"/>
      <c r="C122" s="19"/>
      <c r="D122" s="19"/>
      <c r="E122" s="19"/>
      <c r="F122" s="19"/>
      <c r="G122" s="13" t="n">
        <f aca="false">IFERROR(F122/D122,0)</f>
        <v>0</v>
      </c>
      <c r="H122" s="19"/>
      <c r="I122" s="19"/>
    </row>
    <row r="123" customFormat="false" ht="15" hidden="false" customHeight="true" outlineLevel="0" collapsed="false">
      <c r="B123" s="19"/>
      <c r="C123" s="19"/>
      <c r="D123" s="19"/>
      <c r="E123" s="19"/>
      <c r="F123" s="19"/>
      <c r="G123" s="13" t="n">
        <f aca="false">IFERROR(F123/D123,0)</f>
        <v>0</v>
      </c>
      <c r="H123" s="19"/>
      <c r="I123" s="19"/>
    </row>
    <row r="124" customFormat="false" ht="15" hidden="false" customHeight="true" outlineLevel="0" collapsed="false">
      <c r="B124" s="19"/>
      <c r="C124" s="19"/>
      <c r="D124" s="19"/>
      <c r="E124" s="19"/>
      <c r="F124" s="19"/>
      <c r="G124" s="13" t="n">
        <f aca="false">IFERROR(F124/D124,0)</f>
        <v>0</v>
      </c>
      <c r="H124" s="19"/>
      <c r="I124" s="19"/>
    </row>
    <row r="125" customFormat="false" ht="15" hidden="false" customHeight="true" outlineLevel="0" collapsed="false">
      <c r="B125" s="19"/>
      <c r="C125" s="19"/>
      <c r="D125" s="19"/>
      <c r="E125" s="19"/>
      <c r="F125" s="19"/>
      <c r="G125" s="13" t="n">
        <f aca="false">IFERROR(F125/D125,0)</f>
        <v>0</v>
      </c>
      <c r="H125" s="19"/>
      <c r="I125" s="19"/>
    </row>
    <row r="126" customFormat="false" ht="15" hidden="false" customHeight="true" outlineLevel="0" collapsed="false">
      <c r="B126" s="19"/>
      <c r="C126" s="19"/>
      <c r="D126" s="19"/>
      <c r="E126" s="19"/>
      <c r="F126" s="19"/>
      <c r="G126" s="13" t="n">
        <f aca="false">IFERROR(F126/D126,0)</f>
        <v>0</v>
      </c>
      <c r="H126" s="19"/>
      <c r="I126" s="19"/>
    </row>
    <row r="127" customFormat="false" ht="15" hidden="false" customHeight="true" outlineLevel="0" collapsed="false">
      <c r="B127" s="19"/>
      <c r="C127" s="19"/>
      <c r="D127" s="19"/>
      <c r="E127" s="19"/>
      <c r="F127" s="19"/>
      <c r="G127" s="13" t="n">
        <f aca="false">IFERROR(F127/D127,0)</f>
        <v>0</v>
      </c>
      <c r="H127" s="19"/>
      <c r="I127" s="19"/>
    </row>
    <row r="128" customFormat="false" ht="15" hidden="false" customHeight="true" outlineLevel="0" collapsed="false">
      <c r="B128" s="19"/>
      <c r="C128" s="19"/>
      <c r="D128" s="19"/>
      <c r="E128" s="19"/>
      <c r="F128" s="19"/>
      <c r="G128" s="13" t="n">
        <f aca="false">IFERROR(F128/D128,0)</f>
        <v>0</v>
      </c>
      <c r="H128" s="19"/>
      <c r="I128" s="19"/>
    </row>
    <row r="129" customFormat="false" ht="15" hidden="false" customHeight="true" outlineLevel="0" collapsed="false">
      <c r="B129" s="19"/>
      <c r="C129" s="19"/>
      <c r="D129" s="19"/>
      <c r="E129" s="19"/>
      <c r="F129" s="19"/>
      <c r="G129" s="13" t="n">
        <f aca="false">IFERROR(F129/D129,0)</f>
        <v>0</v>
      </c>
      <c r="H129" s="19"/>
      <c r="I129" s="19"/>
    </row>
    <row r="130" customFormat="false" ht="15" hidden="false" customHeight="true" outlineLevel="0" collapsed="false">
      <c r="B130" s="19"/>
      <c r="C130" s="19"/>
      <c r="D130" s="19"/>
      <c r="E130" s="19"/>
      <c r="F130" s="19"/>
      <c r="G130" s="13" t="n">
        <f aca="false">IFERROR(F130/D130,0)</f>
        <v>0</v>
      </c>
      <c r="H130" s="19"/>
      <c r="I130" s="19"/>
    </row>
    <row r="131" customFormat="false" ht="15" hidden="false" customHeight="true" outlineLevel="0" collapsed="false">
      <c r="B131" s="19"/>
      <c r="C131" s="19"/>
      <c r="D131" s="19"/>
      <c r="E131" s="19"/>
      <c r="F131" s="19"/>
      <c r="G131" s="13" t="n">
        <f aca="false">IFERROR(F131/D131,0)</f>
        <v>0</v>
      </c>
      <c r="H131" s="19"/>
      <c r="I131" s="19"/>
    </row>
    <row r="132" customFormat="false" ht="15" hidden="false" customHeight="true" outlineLevel="0" collapsed="false">
      <c r="B132" s="19"/>
      <c r="C132" s="19"/>
      <c r="D132" s="19"/>
      <c r="E132" s="19"/>
      <c r="F132" s="19"/>
      <c r="G132" s="13" t="n">
        <f aca="false">IFERROR(F132/D132,0)</f>
        <v>0</v>
      </c>
      <c r="H132" s="19"/>
      <c r="I132" s="19"/>
    </row>
    <row r="133" customFormat="false" ht="15" hidden="false" customHeight="true" outlineLevel="0" collapsed="false">
      <c r="B133" s="19"/>
      <c r="C133" s="19"/>
      <c r="D133" s="19"/>
      <c r="E133" s="19"/>
      <c r="F133" s="19"/>
      <c r="G133" s="13" t="n">
        <f aca="false">IFERROR(F133/D133,0)</f>
        <v>0</v>
      </c>
      <c r="H133" s="19"/>
      <c r="I133" s="19"/>
    </row>
    <row r="134" customFormat="false" ht="15" hidden="false" customHeight="true" outlineLevel="0" collapsed="false">
      <c r="B134" s="19"/>
      <c r="C134" s="19"/>
      <c r="D134" s="19"/>
      <c r="E134" s="19"/>
      <c r="F134" s="19"/>
      <c r="G134" s="13" t="n">
        <f aca="false">IFERROR(F134/D134,0)</f>
        <v>0</v>
      </c>
      <c r="H134" s="19"/>
      <c r="I134" s="19"/>
    </row>
    <row r="135" customFormat="false" ht="15" hidden="false" customHeight="true" outlineLevel="0" collapsed="false">
      <c r="B135" s="19"/>
      <c r="C135" s="19"/>
      <c r="D135" s="19"/>
      <c r="E135" s="19"/>
      <c r="F135" s="19"/>
      <c r="G135" s="13" t="n">
        <f aca="false">IFERROR(F135/D135,0)</f>
        <v>0</v>
      </c>
      <c r="H135" s="19"/>
      <c r="I135" s="19"/>
    </row>
    <row r="136" customFormat="false" ht="15" hidden="false" customHeight="true" outlineLevel="0" collapsed="false">
      <c r="B136" s="19"/>
      <c r="C136" s="19"/>
      <c r="D136" s="19"/>
      <c r="E136" s="19"/>
      <c r="F136" s="19"/>
      <c r="G136" s="13" t="n">
        <f aca="false">IFERROR(F136/D136,0)</f>
        <v>0</v>
      </c>
      <c r="H136" s="19"/>
      <c r="I136" s="19"/>
    </row>
    <row r="137" customFormat="false" ht="15" hidden="false" customHeight="true" outlineLevel="0" collapsed="false">
      <c r="B137" s="19"/>
      <c r="C137" s="19"/>
      <c r="D137" s="19"/>
      <c r="E137" s="19"/>
      <c r="F137" s="19"/>
      <c r="G137" s="13" t="n">
        <f aca="false">IFERROR(F137/D137,0)</f>
        <v>0</v>
      </c>
      <c r="H137" s="19"/>
      <c r="I137" s="19"/>
    </row>
    <row r="138" customFormat="false" ht="15" hidden="false" customHeight="true" outlineLevel="0" collapsed="false">
      <c r="B138" s="19"/>
      <c r="C138" s="19"/>
      <c r="D138" s="19"/>
      <c r="E138" s="19"/>
      <c r="F138" s="19"/>
      <c r="G138" s="13" t="n">
        <f aca="false">IFERROR(F138/D138,0)</f>
        <v>0</v>
      </c>
      <c r="H138" s="19"/>
      <c r="I138" s="19"/>
    </row>
    <row r="139" customFormat="false" ht="15" hidden="false" customHeight="true" outlineLevel="0" collapsed="false">
      <c r="B139" s="19"/>
      <c r="C139" s="19"/>
      <c r="D139" s="19"/>
      <c r="E139" s="19"/>
      <c r="F139" s="19"/>
      <c r="G139" s="13" t="n">
        <f aca="false">IFERROR(F139/D139,0)</f>
        <v>0</v>
      </c>
      <c r="H139" s="19"/>
      <c r="I139" s="19"/>
    </row>
    <row r="140" customFormat="false" ht="15" hidden="false" customHeight="true" outlineLevel="0" collapsed="false">
      <c r="B140" s="19"/>
      <c r="C140" s="19"/>
      <c r="D140" s="19"/>
      <c r="E140" s="19"/>
      <c r="F140" s="19"/>
      <c r="G140" s="13" t="n">
        <f aca="false">IFERROR(F140/D140,0)</f>
        <v>0</v>
      </c>
      <c r="H140" s="19"/>
      <c r="I140" s="19"/>
    </row>
    <row r="141" customFormat="false" ht="15" hidden="false" customHeight="true" outlineLevel="0" collapsed="false">
      <c r="B141" s="19"/>
      <c r="C141" s="19"/>
      <c r="D141" s="19"/>
      <c r="E141" s="19"/>
      <c r="F141" s="19"/>
      <c r="G141" s="13" t="n">
        <f aca="false">IFERROR(F141/D141,0)</f>
        <v>0</v>
      </c>
      <c r="H141" s="19"/>
      <c r="I141" s="19"/>
    </row>
    <row r="142" customFormat="false" ht="15" hidden="false" customHeight="true" outlineLevel="0" collapsed="false">
      <c r="B142" s="19"/>
      <c r="C142" s="19"/>
      <c r="D142" s="19"/>
      <c r="E142" s="19"/>
      <c r="F142" s="19"/>
      <c r="G142" s="13" t="n">
        <f aca="false">IFERROR(F142/D142,0)</f>
        <v>0</v>
      </c>
      <c r="H142" s="19"/>
      <c r="I142" s="19"/>
    </row>
    <row r="143" customFormat="false" ht="15" hidden="false" customHeight="true" outlineLevel="0" collapsed="false">
      <c r="B143" s="19"/>
      <c r="C143" s="19"/>
      <c r="D143" s="19"/>
      <c r="E143" s="19"/>
      <c r="F143" s="19"/>
      <c r="G143" s="13" t="n">
        <f aca="false">IFERROR(F143/D143,0)</f>
        <v>0</v>
      </c>
      <c r="H143" s="19"/>
      <c r="I143" s="19"/>
    </row>
    <row r="144" customFormat="false" ht="15" hidden="false" customHeight="true" outlineLevel="0" collapsed="false">
      <c r="B144" s="19"/>
      <c r="C144" s="19"/>
      <c r="D144" s="19"/>
      <c r="E144" s="19"/>
      <c r="F144" s="19"/>
      <c r="G144" s="13" t="n">
        <f aca="false">IFERROR(F144/D144,0)</f>
        <v>0</v>
      </c>
      <c r="H144" s="19"/>
      <c r="I144" s="19"/>
    </row>
    <row r="145" customFormat="false" ht="15" hidden="false" customHeight="true" outlineLevel="0" collapsed="false">
      <c r="B145" s="19"/>
      <c r="C145" s="19"/>
      <c r="D145" s="19"/>
      <c r="E145" s="19"/>
      <c r="F145" s="19"/>
      <c r="G145" s="13" t="n">
        <f aca="false">IFERROR(F145/D145,0)</f>
        <v>0</v>
      </c>
      <c r="H145" s="19"/>
      <c r="I145" s="19"/>
    </row>
    <row r="146" customFormat="false" ht="15" hidden="false" customHeight="true" outlineLevel="0" collapsed="false">
      <c r="B146" s="19"/>
      <c r="C146" s="19"/>
      <c r="D146" s="19"/>
      <c r="E146" s="19"/>
      <c r="F146" s="19"/>
      <c r="G146" s="13" t="n">
        <f aca="false">IFERROR(F146/D146,0)</f>
        <v>0</v>
      </c>
      <c r="H146" s="19"/>
      <c r="I146" s="19"/>
    </row>
    <row r="147" customFormat="false" ht="15" hidden="false" customHeight="true" outlineLevel="0" collapsed="false">
      <c r="B147" s="19"/>
      <c r="C147" s="19"/>
      <c r="D147" s="19"/>
      <c r="E147" s="19"/>
      <c r="F147" s="19"/>
      <c r="G147" s="13" t="n">
        <f aca="false">IFERROR(F147/D147,0)</f>
        <v>0</v>
      </c>
      <c r="H147" s="19"/>
      <c r="I147" s="19"/>
    </row>
    <row r="148" customFormat="false" ht="15" hidden="false" customHeight="true" outlineLevel="0" collapsed="false">
      <c r="B148" s="19"/>
      <c r="C148" s="19"/>
      <c r="D148" s="19"/>
      <c r="E148" s="19"/>
      <c r="F148" s="19"/>
      <c r="G148" s="13" t="n">
        <f aca="false">IFERROR(F148/D148,0)</f>
        <v>0</v>
      </c>
      <c r="H148" s="19"/>
      <c r="I148" s="19"/>
    </row>
    <row r="149" customFormat="false" ht="15" hidden="false" customHeight="true" outlineLevel="0" collapsed="false">
      <c r="B149" s="19"/>
      <c r="C149" s="19"/>
      <c r="D149" s="19"/>
      <c r="E149" s="19"/>
      <c r="F149" s="19"/>
      <c r="G149" s="13" t="n">
        <f aca="false">IFERROR(F149/D149,0)</f>
        <v>0</v>
      </c>
      <c r="H149" s="19"/>
      <c r="I149" s="19"/>
    </row>
    <row r="150" customFormat="false" ht="15" hidden="false" customHeight="true" outlineLevel="0" collapsed="false">
      <c r="B150" s="19"/>
      <c r="C150" s="19"/>
      <c r="D150" s="19"/>
      <c r="E150" s="19"/>
      <c r="F150" s="19"/>
      <c r="G150" s="13" t="n">
        <f aca="false">IFERROR(F150/D150,0)</f>
        <v>0</v>
      </c>
      <c r="H150" s="19"/>
      <c r="I150" s="19"/>
    </row>
    <row r="151" customFormat="false" ht="15" hidden="false" customHeight="true" outlineLevel="0" collapsed="false">
      <c r="B151" s="19"/>
      <c r="C151" s="19"/>
      <c r="D151" s="19"/>
      <c r="E151" s="19"/>
      <c r="F151" s="19"/>
      <c r="G151" s="13" t="n">
        <f aca="false">IFERROR(F151/D151,0)</f>
        <v>0</v>
      </c>
      <c r="H151" s="19"/>
      <c r="I151" s="19"/>
    </row>
    <row r="152" customFormat="false" ht="15" hidden="false" customHeight="true" outlineLevel="0" collapsed="false">
      <c r="B152" s="19"/>
      <c r="C152" s="19"/>
      <c r="D152" s="19"/>
      <c r="E152" s="19"/>
      <c r="F152" s="19"/>
      <c r="G152" s="13" t="n">
        <f aca="false">IFERROR(F152/D152,0)</f>
        <v>0</v>
      </c>
      <c r="H152" s="19"/>
      <c r="I152" s="19"/>
    </row>
    <row r="153" customFormat="false" ht="15" hidden="false" customHeight="true" outlineLevel="0" collapsed="false">
      <c r="B153" s="19"/>
      <c r="C153" s="19"/>
      <c r="D153" s="19"/>
      <c r="E153" s="19"/>
      <c r="F153" s="19"/>
      <c r="G153" s="13" t="n">
        <f aca="false">IFERROR(F153/D153,0)</f>
        <v>0</v>
      </c>
      <c r="H153" s="19"/>
      <c r="I153" s="19"/>
    </row>
    <row r="154" customFormat="false" ht="15" hidden="false" customHeight="true" outlineLevel="0" collapsed="false">
      <c r="B154" s="19"/>
      <c r="C154" s="19"/>
      <c r="D154" s="19"/>
      <c r="E154" s="19"/>
      <c r="F154" s="19"/>
      <c r="G154" s="13" t="n">
        <f aca="false">IFERROR(F154/D154,0)</f>
        <v>0</v>
      </c>
      <c r="H154" s="19"/>
      <c r="I154" s="19"/>
    </row>
    <row r="155" customFormat="false" ht="15" hidden="false" customHeight="true" outlineLevel="0" collapsed="false">
      <c r="B155" s="19"/>
      <c r="C155" s="19"/>
      <c r="D155" s="19"/>
      <c r="E155" s="19"/>
      <c r="F155" s="19"/>
      <c r="G155" s="13" t="n">
        <f aca="false">IFERROR(F155/D155,0)</f>
        <v>0</v>
      </c>
      <c r="H155" s="19"/>
      <c r="I155" s="19"/>
    </row>
    <row r="156" customFormat="false" ht="15" hidden="false" customHeight="true" outlineLevel="0" collapsed="false">
      <c r="B156" s="19"/>
      <c r="C156" s="19"/>
      <c r="D156" s="19"/>
      <c r="E156" s="19"/>
      <c r="F156" s="19"/>
      <c r="G156" s="13" t="n">
        <f aca="false">IFERROR(F156/D156,0)</f>
        <v>0</v>
      </c>
      <c r="H156" s="19"/>
      <c r="I156" s="19"/>
    </row>
    <row r="157" customFormat="false" ht="15" hidden="false" customHeight="true" outlineLevel="0" collapsed="false">
      <c r="B157" s="19"/>
      <c r="C157" s="19"/>
      <c r="D157" s="19"/>
      <c r="E157" s="19"/>
      <c r="F157" s="19"/>
      <c r="G157" s="13" t="n">
        <f aca="false">IFERROR(F157/D157,0)</f>
        <v>0</v>
      </c>
      <c r="H157" s="19"/>
      <c r="I157" s="19"/>
    </row>
    <row r="158" customFormat="false" ht="15" hidden="false" customHeight="true" outlineLevel="0" collapsed="false">
      <c r="B158" s="19"/>
      <c r="C158" s="19"/>
      <c r="D158" s="19"/>
      <c r="E158" s="19"/>
      <c r="F158" s="19"/>
      <c r="G158" s="13" t="n">
        <f aca="false">IFERROR(F158/D158,0)</f>
        <v>0</v>
      </c>
      <c r="H158" s="19"/>
      <c r="I158" s="19"/>
    </row>
    <row r="159" customFormat="false" ht="15" hidden="false" customHeight="true" outlineLevel="0" collapsed="false">
      <c r="B159" s="19"/>
      <c r="C159" s="19"/>
      <c r="D159" s="19"/>
      <c r="E159" s="19"/>
      <c r="F159" s="19"/>
      <c r="G159" s="13" t="n">
        <f aca="false">IFERROR(F159/D159,0)</f>
        <v>0</v>
      </c>
      <c r="H159" s="19"/>
      <c r="I159" s="19"/>
    </row>
    <row r="160" customFormat="false" ht="15" hidden="false" customHeight="true" outlineLevel="0" collapsed="false">
      <c r="B160" s="19"/>
      <c r="C160" s="19"/>
      <c r="D160" s="19"/>
      <c r="E160" s="19"/>
      <c r="F160" s="19"/>
      <c r="G160" s="13" t="n">
        <f aca="false">IFERROR(F160/D160,0)</f>
        <v>0</v>
      </c>
      <c r="H160" s="19"/>
      <c r="I160" s="19"/>
    </row>
    <row r="161" customFormat="false" ht="15" hidden="false" customHeight="true" outlineLevel="0" collapsed="false">
      <c r="B161" s="19"/>
      <c r="C161" s="19"/>
      <c r="D161" s="19"/>
      <c r="E161" s="19"/>
      <c r="F161" s="19"/>
      <c r="G161" s="13" t="n">
        <f aca="false">IFERROR(F161/D161,0)</f>
        <v>0</v>
      </c>
      <c r="H161" s="19"/>
      <c r="I161" s="19"/>
    </row>
    <row r="162" customFormat="false" ht="15" hidden="false" customHeight="true" outlineLevel="0" collapsed="false">
      <c r="B162" s="19"/>
      <c r="C162" s="19"/>
      <c r="D162" s="19"/>
      <c r="E162" s="19"/>
      <c r="F162" s="19"/>
      <c r="G162" s="13" t="n">
        <f aca="false">IFERROR(F162/D162,0)</f>
        <v>0</v>
      </c>
      <c r="H162" s="19"/>
      <c r="I162" s="19"/>
    </row>
    <row r="163" customFormat="false" ht="15" hidden="false" customHeight="true" outlineLevel="0" collapsed="false">
      <c r="B163" s="19"/>
      <c r="C163" s="19"/>
      <c r="D163" s="19"/>
      <c r="E163" s="19"/>
      <c r="F163" s="19"/>
      <c r="G163" s="13" t="n">
        <f aca="false">IFERROR(F163/D163,0)</f>
        <v>0</v>
      </c>
      <c r="H163" s="19"/>
      <c r="I163" s="19"/>
    </row>
    <row r="164" customFormat="false" ht="15" hidden="false" customHeight="true" outlineLevel="0" collapsed="false">
      <c r="B164" s="19"/>
      <c r="C164" s="19"/>
      <c r="D164" s="19"/>
      <c r="E164" s="19"/>
      <c r="F164" s="19"/>
      <c r="G164" s="13" t="n">
        <f aca="false">IFERROR(F164/D164,0)</f>
        <v>0</v>
      </c>
      <c r="H164" s="19"/>
      <c r="I164" s="19"/>
    </row>
    <row r="165" customFormat="false" ht="15" hidden="false" customHeight="true" outlineLevel="0" collapsed="false">
      <c r="B165" s="19"/>
      <c r="C165" s="19"/>
      <c r="D165" s="19"/>
      <c r="E165" s="19"/>
      <c r="F165" s="19"/>
      <c r="G165" s="13" t="n">
        <f aca="false">IFERROR(F165/D165,0)</f>
        <v>0</v>
      </c>
      <c r="H165" s="19"/>
      <c r="I165" s="19"/>
    </row>
    <row r="166" customFormat="false" ht="15" hidden="false" customHeight="true" outlineLevel="0" collapsed="false">
      <c r="B166" s="19"/>
      <c r="C166" s="19"/>
      <c r="D166" s="19"/>
      <c r="E166" s="19"/>
      <c r="F166" s="19"/>
      <c r="G166" s="13" t="n">
        <f aca="false">IFERROR(F166/D166,0)</f>
        <v>0</v>
      </c>
      <c r="H166" s="19"/>
      <c r="I166" s="19"/>
    </row>
    <row r="167" customFormat="false" ht="15" hidden="false" customHeight="true" outlineLevel="0" collapsed="false">
      <c r="B167" s="19"/>
      <c r="C167" s="19"/>
      <c r="D167" s="19"/>
      <c r="E167" s="19"/>
      <c r="F167" s="19"/>
      <c r="G167" s="13" t="n">
        <f aca="false">IFERROR(F167/D167,0)</f>
        <v>0</v>
      </c>
      <c r="H167" s="19"/>
      <c r="I167" s="19"/>
    </row>
    <row r="168" customFormat="false" ht="15" hidden="false" customHeight="true" outlineLevel="0" collapsed="false">
      <c r="B168" s="19"/>
      <c r="C168" s="19"/>
      <c r="D168" s="19"/>
      <c r="E168" s="19"/>
      <c r="F168" s="19"/>
      <c r="G168" s="13" t="n">
        <f aca="false">IFERROR(F168/D168,0)</f>
        <v>0</v>
      </c>
      <c r="H168" s="19"/>
      <c r="I168" s="19"/>
    </row>
    <row r="169" customFormat="false" ht="15" hidden="false" customHeight="true" outlineLevel="0" collapsed="false">
      <c r="B169" s="19"/>
      <c r="C169" s="19"/>
      <c r="D169" s="19"/>
      <c r="E169" s="19"/>
      <c r="F169" s="19"/>
      <c r="G169" s="13" t="n">
        <f aca="false">IFERROR(F169/D169,0)</f>
        <v>0</v>
      </c>
      <c r="H169" s="19"/>
      <c r="I169" s="19"/>
    </row>
    <row r="170" customFormat="false" ht="15" hidden="false" customHeight="true" outlineLevel="0" collapsed="false">
      <c r="B170" s="19"/>
      <c r="C170" s="19"/>
      <c r="D170" s="19"/>
      <c r="E170" s="19"/>
      <c r="F170" s="19"/>
      <c r="G170" s="13" t="n">
        <f aca="false">IFERROR(F170/D170,0)</f>
        <v>0</v>
      </c>
      <c r="H170" s="19"/>
      <c r="I170" s="19"/>
    </row>
    <row r="171" customFormat="false" ht="15" hidden="false" customHeight="true" outlineLevel="0" collapsed="false">
      <c r="B171" s="19"/>
      <c r="C171" s="19"/>
      <c r="D171" s="19"/>
      <c r="E171" s="19"/>
      <c r="F171" s="19"/>
      <c r="G171" s="13" t="n">
        <f aca="false">IFERROR(F171/D171,0)</f>
        <v>0</v>
      </c>
      <c r="H171" s="19"/>
      <c r="I171" s="19"/>
    </row>
    <row r="172" customFormat="false" ht="15" hidden="false" customHeight="true" outlineLevel="0" collapsed="false">
      <c r="B172" s="19"/>
      <c r="C172" s="19"/>
      <c r="D172" s="19"/>
      <c r="E172" s="19"/>
      <c r="F172" s="19"/>
      <c r="G172" s="13" t="n">
        <f aca="false">IFERROR(F172/D172,0)</f>
        <v>0</v>
      </c>
      <c r="H172" s="19"/>
      <c r="I172" s="19"/>
    </row>
    <row r="173" customFormat="false" ht="15" hidden="false" customHeight="true" outlineLevel="0" collapsed="false">
      <c r="B173" s="19"/>
      <c r="C173" s="19"/>
      <c r="D173" s="19"/>
      <c r="E173" s="19"/>
      <c r="F173" s="19"/>
      <c r="G173" s="13" t="n">
        <f aca="false">IFERROR(F173/D173,0)</f>
        <v>0</v>
      </c>
      <c r="H173" s="19"/>
      <c r="I173" s="19"/>
    </row>
    <row r="174" customFormat="false" ht="15" hidden="false" customHeight="true" outlineLevel="0" collapsed="false">
      <c r="B174" s="19"/>
      <c r="C174" s="19"/>
      <c r="D174" s="19"/>
      <c r="E174" s="19"/>
      <c r="F174" s="19"/>
      <c r="G174" s="13" t="n">
        <f aca="false">IFERROR(F174/D174,0)</f>
        <v>0</v>
      </c>
      <c r="H174" s="19"/>
      <c r="I174" s="19"/>
    </row>
    <row r="175" customFormat="false" ht="15" hidden="false" customHeight="true" outlineLevel="0" collapsed="false">
      <c r="B175" s="19"/>
      <c r="C175" s="19"/>
      <c r="D175" s="19"/>
      <c r="E175" s="19"/>
      <c r="F175" s="19"/>
      <c r="G175" s="13" t="n">
        <f aca="false">IFERROR(F175/D175,0)</f>
        <v>0</v>
      </c>
      <c r="H175" s="19"/>
      <c r="I175" s="19"/>
    </row>
    <row r="176" customFormat="false" ht="15" hidden="false" customHeight="true" outlineLevel="0" collapsed="false">
      <c r="B176" s="19"/>
      <c r="C176" s="19"/>
      <c r="D176" s="19"/>
      <c r="E176" s="19"/>
      <c r="F176" s="19"/>
      <c r="G176" s="13" t="n">
        <f aca="false">IFERROR(F176/D176,0)</f>
        <v>0</v>
      </c>
      <c r="H176" s="19"/>
      <c r="I176" s="19"/>
    </row>
    <row r="177" customFormat="false" ht="15" hidden="false" customHeight="true" outlineLevel="0" collapsed="false">
      <c r="B177" s="19"/>
      <c r="C177" s="19"/>
      <c r="D177" s="19"/>
      <c r="E177" s="19"/>
      <c r="F177" s="19"/>
      <c r="G177" s="13" t="n">
        <f aca="false">IFERROR(F177/D177,0)</f>
        <v>0</v>
      </c>
      <c r="H177" s="19"/>
      <c r="I177" s="19"/>
    </row>
    <row r="178" customFormat="false" ht="15" hidden="false" customHeight="true" outlineLevel="0" collapsed="false">
      <c r="B178" s="19"/>
      <c r="C178" s="19"/>
      <c r="D178" s="19"/>
      <c r="E178" s="19"/>
      <c r="F178" s="19"/>
      <c r="G178" s="13" t="n">
        <f aca="false">IFERROR(F178/D178,0)</f>
        <v>0</v>
      </c>
      <c r="H178" s="19"/>
      <c r="I178" s="19"/>
    </row>
    <row r="179" customFormat="false" ht="15" hidden="false" customHeight="true" outlineLevel="0" collapsed="false">
      <c r="B179" s="19"/>
      <c r="C179" s="19"/>
      <c r="D179" s="19"/>
      <c r="E179" s="19"/>
      <c r="F179" s="19"/>
      <c r="G179" s="13" t="n">
        <f aca="false">IFERROR(F179/D179,0)</f>
        <v>0</v>
      </c>
      <c r="H179" s="19"/>
      <c r="I179" s="19"/>
    </row>
    <row r="180" customFormat="false" ht="15" hidden="false" customHeight="true" outlineLevel="0" collapsed="false">
      <c r="B180" s="19"/>
      <c r="C180" s="19"/>
      <c r="D180" s="19"/>
      <c r="E180" s="19"/>
      <c r="F180" s="19"/>
      <c r="G180" s="13" t="n">
        <f aca="false">IFERROR(F180/D180,0)</f>
        <v>0</v>
      </c>
      <c r="H180" s="19"/>
      <c r="I180" s="19"/>
    </row>
    <row r="181" customFormat="false" ht="15" hidden="false" customHeight="true" outlineLevel="0" collapsed="false">
      <c r="B181" s="19"/>
      <c r="C181" s="19"/>
      <c r="D181" s="19"/>
      <c r="E181" s="19"/>
      <c r="F181" s="19"/>
      <c r="G181" s="13" t="n">
        <f aca="false">IFERROR(F181/D181,0)</f>
        <v>0</v>
      </c>
      <c r="H181" s="19"/>
      <c r="I181" s="19"/>
    </row>
    <row r="182" customFormat="false" ht="15" hidden="false" customHeight="true" outlineLevel="0" collapsed="false">
      <c r="B182" s="19"/>
      <c r="C182" s="19"/>
      <c r="D182" s="19"/>
      <c r="E182" s="19"/>
      <c r="F182" s="19"/>
      <c r="G182" s="13" t="n">
        <f aca="false">IFERROR(F182/D182,0)</f>
        <v>0</v>
      </c>
      <c r="H182" s="19"/>
      <c r="I182" s="19"/>
    </row>
    <row r="183" customFormat="false" ht="15" hidden="false" customHeight="true" outlineLevel="0" collapsed="false">
      <c r="B183" s="19"/>
      <c r="C183" s="19"/>
      <c r="D183" s="19"/>
      <c r="E183" s="19"/>
      <c r="F183" s="19"/>
      <c r="G183" s="13" t="n">
        <f aca="false">IFERROR(F183/D183,0)</f>
        <v>0</v>
      </c>
      <c r="H183" s="19"/>
      <c r="I183" s="19"/>
    </row>
    <row r="184" customFormat="false" ht="15" hidden="false" customHeight="true" outlineLevel="0" collapsed="false">
      <c r="B184" s="19"/>
      <c r="C184" s="19"/>
      <c r="D184" s="19"/>
      <c r="E184" s="19"/>
      <c r="F184" s="19"/>
      <c r="G184" s="13" t="n">
        <f aca="false">IFERROR(F184/D184,0)</f>
        <v>0</v>
      </c>
      <c r="H184" s="19"/>
      <c r="I184" s="19"/>
    </row>
    <row r="185" customFormat="false" ht="15" hidden="false" customHeight="true" outlineLevel="0" collapsed="false">
      <c r="B185" s="19"/>
      <c r="C185" s="19"/>
      <c r="D185" s="19"/>
      <c r="E185" s="19"/>
      <c r="F185" s="19"/>
      <c r="G185" s="13" t="n">
        <f aca="false">IFERROR(F185/D185,0)</f>
        <v>0</v>
      </c>
      <c r="H185" s="19"/>
      <c r="I185" s="19"/>
    </row>
    <row r="186" customFormat="false" ht="15" hidden="false" customHeight="true" outlineLevel="0" collapsed="false">
      <c r="B186" s="19"/>
      <c r="C186" s="19"/>
      <c r="D186" s="19"/>
      <c r="E186" s="19"/>
      <c r="F186" s="19"/>
      <c r="G186" s="13" t="n">
        <f aca="false">IFERROR(F186/D186,0)</f>
        <v>0</v>
      </c>
      <c r="H186" s="19"/>
      <c r="I186" s="19"/>
    </row>
    <row r="187" customFormat="false" ht="15" hidden="false" customHeight="true" outlineLevel="0" collapsed="false">
      <c r="B187" s="19"/>
      <c r="C187" s="19"/>
      <c r="D187" s="19"/>
      <c r="E187" s="19"/>
      <c r="F187" s="19"/>
      <c r="G187" s="13" t="n">
        <f aca="false">IFERROR(F187/D187,0)</f>
        <v>0</v>
      </c>
      <c r="H187" s="19"/>
      <c r="I187" s="19"/>
    </row>
    <row r="188" customFormat="false" ht="15" hidden="false" customHeight="true" outlineLevel="0" collapsed="false">
      <c r="B188" s="19"/>
      <c r="C188" s="19"/>
      <c r="D188" s="19"/>
      <c r="E188" s="19"/>
      <c r="F188" s="19"/>
      <c r="G188" s="13" t="n">
        <f aca="false">IFERROR(F188/D188,0)</f>
        <v>0</v>
      </c>
      <c r="H188" s="19"/>
      <c r="I188" s="19"/>
    </row>
    <row r="189" customFormat="false" ht="15" hidden="false" customHeight="true" outlineLevel="0" collapsed="false">
      <c r="B189" s="19"/>
      <c r="C189" s="19"/>
      <c r="D189" s="19"/>
      <c r="E189" s="19"/>
      <c r="F189" s="19"/>
      <c r="G189" s="13" t="n">
        <f aca="false">IFERROR(F189/D189,0)</f>
        <v>0</v>
      </c>
      <c r="H189" s="19"/>
      <c r="I189" s="19"/>
    </row>
    <row r="190" customFormat="false" ht="15" hidden="false" customHeight="true" outlineLevel="0" collapsed="false">
      <c r="B190" s="19"/>
      <c r="C190" s="19"/>
      <c r="D190" s="19"/>
      <c r="E190" s="19"/>
      <c r="F190" s="19"/>
      <c r="G190" s="13" t="n">
        <f aca="false">IFERROR(F190/D190,0)</f>
        <v>0</v>
      </c>
      <c r="H190" s="19"/>
      <c r="I190" s="19"/>
    </row>
    <row r="191" customFormat="false" ht="15" hidden="false" customHeight="true" outlineLevel="0" collapsed="false">
      <c r="B191" s="19"/>
      <c r="C191" s="19"/>
      <c r="D191" s="19"/>
      <c r="E191" s="19"/>
      <c r="F191" s="19"/>
      <c r="G191" s="13" t="n">
        <f aca="false">IFERROR(F191/D191,0)</f>
        <v>0</v>
      </c>
      <c r="H191" s="19"/>
      <c r="I191" s="19"/>
    </row>
    <row r="192" customFormat="false" ht="15" hidden="false" customHeight="true" outlineLevel="0" collapsed="false">
      <c r="B192" s="19"/>
      <c r="C192" s="19"/>
      <c r="D192" s="19"/>
      <c r="E192" s="19"/>
      <c r="F192" s="19"/>
      <c r="G192" s="13" t="n">
        <f aca="false">IFERROR(F192/D192,0)</f>
        <v>0</v>
      </c>
      <c r="H192" s="19"/>
      <c r="I192" s="19"/>
    </row>
    <row r="193" customFormat="false" ht="15" hidden="false" customHeight="true" outlineLevel="0" collapsed="false">
      <c r="B193" s="19"/>
      <c r="C193" s="19"/>
      <c r="D193" s="19"/>
      <c r="E193" s="19"/>
      <c r="F193" s="19"/>
      <c r="G193" s="13" t="n">
        <f aca="false">IFERROR(F193/D193,0)</f>
        <v>0</v>
      </c>
      <c r="H193" s="19"/>
      <c r="I193" s="19"/>
    </row>
    <row r="194" customFormat="false" ht="15" hidden="false" customHeight="true" outlineLevel="0" collapsed="false">
      <c r="B194" s="19"/>
      <c r="C194" s="19"/>
      <c r="D194" s="19"/>
      <c r="E194" s="19"/>
      <c r="F194" s="19"/>
      <c r="G194" s="13" t="n">
        <f aca="false">IFERROR(F194/D194,0)</f>
        <v>0</v>
      </c>
      <c r="H194" s="19"/>
      <c r="I194" s="19"/>
    </row>
    <row r="195" customFormat="false" ht="15" hidden="false" customHeight="true" outlineLevel="0" collapsed="false">
      <c r="B195" s="19"/>
      <c r="C195" s="19"/>
      <c r="D195" s="19"/>
      <c r="E195" s="19"/>
      <c r="F195" s="19"/>
      <c r="G195" s="13" t="n">
        <f aca="false">IFERROR(F195/D195,0)</f>
        <v>0</v>
      </c>
      <c r="H195" s="19"/>
      <c r="I195" s="19"/>
    </row>
    <row r="196" customFormat="false" ht="15" hidden="false" customHeight="true" outlineLevel="0" collapsed="false">
      <c r="B196" s="19"/>
      <c r="C196" s="19"/>
      <c r="D196" s="19"/>
      <c r="E196" s="19"/>
      <c r="F196" s="19"/>
      <c r="G196" s="13" t="n">
        <f aca="false">IFERROR(F196/D196,0)</f>
        <v>0</v>
      </c>
      <c r="H196" s="19"/>
      <c r="I196" s="19"/>
    </row>
    <row r="197" customFormat="false" ht="15" hidden="false" customHeight="true" outlineLevel="0" collapsed="false">
      <c r="B197" s="19"/>
      <c r="C197" s="19"/>
      <c r="D197" s="19"/>
      <c r="E197" s="19"/>
      <c r="F197" s="19"/>
      <c r="G197" s="13" t="n">
        <f aca="false">IFERROR(F197/D197,0)</f>
        <v>0</v>
      </c>
      <c r="H197" s="19"/>
      <c r="I197" s="19"/>
    </row>
    <row r="198" customFormat="false" ht="15" hidden="false" customHeight="true" outlineLevel="0" collapsed="false">
      <c r="B198" s="19"/>
      <c r="C198" s="19"/>
      <c r="D198" s="19"/>
      <c r="E198" s="19"/>
      <c r="F198" s="19"/>
      <c r="G198" s="13" t="n">
        <f aca="false">IFERROR(F198/D198,0)</f>
        <v>0</v>
      </c>
      <c r="H198" s="19"/>
      <c r="I198" s="19"/>
    </row>
    <row r="199" customFormat="false" ht="15" hidden="false" customHeight="true" outlineLevel="0" collapsed="false">
      <c r="B199" s="19"/>
      <c r="C199" s="19"/>
      <c r="D199" s="19"/>
      <c r="E199" s="19"/>
      <c r="F199" s="19"/>
      <c r="G199" s="13" t="n">
        <f aca="false">IFERROR(F199/D199,0)</f>
        <v>0</v>
      </c>
      <c r="H199" s="19"/>
      <c r="I199" s="19"/>
    </row>
    <row r="200" customFormat="false" ht="15" hidden="false" customHeight="true" outlineLevel="0" collapsed="false">
      <c r="B200" s="19"/>
      <c r="C200" s="19"/>
      <c r="D200" s="19"/>
      <c r="E200" s="19"/>
      <c r="F200" s="19"/>
      <c r="G200" s="13" t="n">
        <f aca="false">IFERROR(F200/D200,0)</f>
        <v>0</v>
      </c>
      <c r="H200" s="19"/>
      <c r="I200" s="19"/>
    </row>
    <row r="201" customFormat="false" ht="15" hidden="false" customHeight="true" outlineLevel="0" collapsed="false">
      <c r="B201" s="19"/>
      <c r="C201" s="19"/>
      <c r="D201" s="19"/>
      <c r="E201" s="19"/>
      <c r="F201" s="19"/>
      <c r="G201" s="13" t="n">
        <f aca="false">IFERROR(F201/D201,0)</f>
        <v>0</v>
      </c>
      <c r="H201" s="19"/>
      <c r="I201" s="19"/>
    </row>
    <row r="202" customFormat="false" ht="15" hidden="false" customHeight="true" outlineLevel="0" collapsed="false">
      <c r="B202" s="19"/>
      <c r="C202" s="19"/>
      <c r="D202" s="19"/>
      <c r="E202" s="19"/>
      <c r="F202" s="19"/>
      <c r="G202" s="13" t="n">
        <f aca="false">IFERROR(F202/D202,0)</f>
        <v>0</v>
      </c>
      <c r="H202" s="19"/>
      <c r="I202" s="19"/>
    </row>
    <row r="203" customFormat="false" ht="15" hidden="false" customHeight="true" outlineLevel="0" collapsed="false">
      <c r="B203" s="19"/>
      <c r="C203" s="19"/>
      <c r="D203" s="19"/>
      <c r="E203" s="19"/>
      <c r="F203" s="19"/>
      <c r="G203" s="13" t="n">
        <f aca="false">IFERROR(F203/D203,0)</f>
        <v>0</v>
      </c>
      <c r="H203" s="19"/>
      <c r="I203" s="19"/>
    </row>
    <row r="204" customFormat="false" ht="15" hidden="false" customHeight="true" outlineLevel="0" collapsed="false">
      <c r="B204" s="19"/>
      <c r="C204" s="19"/>
      <c r="D204" s="19"/>
      <c r="E204" s="19"/>
      <c r="F204" s="19"/>
      <c r="G204" s="13" t="n">
        <f aca="false">IFERROR(F204/D204,0)</f>
        <v>0</v>
      </c>
      <c r="H204" s="19"/>
      <c r="I204" s="19"/>
    </row>
    <row r="205" customFormat="false" ht="15" hidden="false" customHeight="true" outlineLevel="0" collapsed="false">
      <c r="B205" s="19"/>
      <c r="C205" s="19"/>
      <c r="D205" s="19"/>
      <c r="E205" s="19"/>
      <c r="F205" s="19"/>
      <c r="G205" s="13" t="n">
        <f aca="false">IFERROR(F205/D205,0)</f>
        <v>0</v>
      </c>
      <c r="H205" s="19"/>
      <c r="I205" s="19"/>
    </row>
    <row r="206" customFormat="false" ht="15" hidden="false" customHeight="true" outlineLevel="0" collapsed="false">
      <c r="B206" s="19"/>
      <c r="C206" s="19"/>
      <c r="D206" s="19"/>
      <c r="E206" s="19"/>
      <c r="F206" s="19"/>
      <c r="G206" s="13" t="n">
        <f aca="false">IFERROR(F206/D206,0)</f>
        <v>0</v>
      </c>
      <c r="H206" s="19"/>
      <c r="I206" s="19"/>
    </row>
    <row r="207" customFormat="false" ht="15" hidden="false" customHeight="true" outlineLevel="0" collapsed="false">
      <c r="B207" s="19"/>
      <c r="C207" s="19"/>
      <c r="D207" s="19"/>
      <c r="E207" s="19"/>
      <c r="F207" s="19"/>
      <c r="G207" s="13" t="n">
        <f aca="false">IFERROR(F207/D207,0)</f>
        <v>0</v>
      </c>
      <c r="H207" s="19"/>
      <c r="I207" s="19"/>
    </row>
    <row r="208" customFormat="false" ht="15" hidden="false" customHeight="true" outlineLevel="0" collapsed="false">
      <c r="B208" s="19"/>
      <c r="C208" s="19"/>
      <c r="D208" s="19"/>
      <c r="E208" s="19"/>
      <c r="F208" s="19"/>
      <c r="G208" s="13" t="n">
        <f aca="false">IFERROR(F208/D208,0)</f>
        <v>0</v>
      </c>
      <c r="H208" s="19"/>
      <c r="I208" s="19"/>
    </row>
    <row r="209" customFormat="false" ht="15" hidden="false" customHeight="true" outlineLevel="0" collapsed="false">
      <c r="B209" s="19"/>
      <c r="C209" s="19"/>
      <c r="D209" s="19"/>
      <c r="E209" s="19"/>
      <c r="F209" s="19"/>
      <c r="G209" s="13" t="n">
        <f aca="false">IFERROR(F209/D209,0)</f>
        <v>0</v>
      </c>
      <c r="H209" s="19"/>
      <c r="I209" s="19"/>
    </row>
    <row r="210" customFormat="false" ht="15" hidden="false" customHeight="true" outlineLevel="0" collapsed="false">
      <c r="B210" s="19"/>
      <c r="C210" s="19"/>
      <c r="D210" s="19"/>
      <c r="E210" s="19"/>
      <c r="F210" s="19"/>
      <c r="G210" s="13" t="n">
        <f aca="false">IFERROR(F210/D210,0)</f>
        <v>0</v>
      </c>
      <c r="H210" s="19"/>
      <c r="I210" s="19"/>
    </row>
    <row r="211" customFormat="false" ht="15" hidden="false" customHeight="true" outlineLevel="0" collapsed="false">
      <c r="B211" s="19"/>
      <c r="C211" s="19"/>
      <c r="D211" s="19"/>
      <c r="E211" s="19"/>
      <c r="F211" s="19"/>
      <c r="G211" s="13" t="n">
        <f aca="false">IFERROR(F211/D211,0)</f>
        <v>0</v>
      </c>
      <c r="H211" s="19"/>
      <c r="I211" s="19"/>
    </row>
    <row r="212" customFormat="false" ht="15" hidden="false" customHeight="true" outlineLevel="0" collapsed="false">
      <c r="B212" s="19"/>
      <c r="C212" s="19"/>
      <c r="D212" s="19"/>
      <c r="E212" s="19"/>
      <c r="F212" s="19"/>
      <c r="G212" s="13" t="n">
        <f aca="false">IFERROR(F212/D212,0)</f>
        <v>0</v>
      </c>
      <c r="H212" s="19"/>
      <c r="I212" s="19"/>
    </row>
    <row r="213" customFormat="false" ht="15" hidden="false" customHeight="true" outlineLevel="0" collapsed="false">
      <c r="B213" s="19"/>
      <c r="C213" s="19"/>
      <c r="D213" s="19"/>
      <c r="E213" s="19"/>
      <c r="F213" s="19"/>
      <c r="G213" s="13" t="n">
        <f aca="false">IFERROR(F213/D213,0)</f>
        <v>0</v>
      </c>
      <c r="H213" s="19"/>
      <c r="I213" s="19"/>
    </row>
    <row r="214" customFormat="false" ht="15" hidden="false" customHeight="true" outlineLevel="0" collapsed="false">
      <c r="B214" s="19"/>
      <c r="C214" s="19"/>
      <c r="D214" s="19"/>
      <c r="E214" s="19"/>
      <c r="F214" s="19"/>
      <c r="G214" s="13" t="n">
        <f aca="false">IFERROR(F214/D214,0)</f>
        <v>0</v>
      </c>
      <c r="H214" s="19"/>
      <c r="I214" s="19"/>
    </row>
    <row r="215" customFormat="false" ht="15" hidden="false" customHeight="true" outlineLevel="0" collapsed="false">
      <c r="B215" s="19"/>
      <c r="C215" s="19"/>
      <c r="D215" s="19"/>
      <c r="E215" s="19"/>
      <c r="F215" s="19"/>
      <c r="G215" s="13" t="n">
        <f aca="false">IFERROR(F215/D215,0)</f>
        <v>0</v>
      </c>
      <c r="H215" s="19"/>
      <c r="I215" s="19"/>
    </row>
    <row r="216" customFormat="false" ht="15" hidden="false" customHeight="true" outlineLevel="0" collapsed="false">
      <c r="B216" s="19"/>
      <c r="C216" s="19"/>
      <c r="D216" s="19"/>
      <c r="E216" s="19"/>
      <c r="F216" s="19"/>
      <c r="G216" s="13" t="n">
        <f aca="false">IFERROR(F216/D216,0)</f>
        <v>0</v>
      </c>
      <c r="H216" s="19"/>
      <c r="I216" s="19"/>
    </row>
    <row r="217" customFormat="false" ht="15" hidden="false" customHeight="true" outlineLevel="0" collapsed="false">
      <c r="B217" s="19"/>
      <c r="C217" s="19"/>
      <c r="D217" s="19"/>
      <c r="E217" s="19"/>
      <c r="F217" s="19"/>
      <c r="G217" s="13" t="n">
        <f aca="false">IFERROR(F217/D217,0)</f>
        <v>0</v>
      </c>
      <c r="H217" s="19"/>
      <c r="I217" s="19"/>
    </row>
    <row r="218" customFormat="false" ht="15" hidden="false" customHeight="true" outlineLevel="0" collapsed="false">
      <c r="B218" s="19"/>
      <c r="C218" s="19"/>
      <c r="D218" s="19"/>
      <c r="E218" s="19"/>
      <c r="F218" s="19"/>
      <c r="G218" s="13" t="n">
        <f aca="false">IFERROR(F218/D218,0)</f>
        <v>0</v>
      </c>
      <c r="H218" s="19"/>
      <c r="I218" s="19"/>
    </row>
    <row r="219" customFormat="false" ht="15" hidden="false" customHeight="true" outlineLevel="0" collapsed="false">
      <c r="B219" s="19"/>
      <c r="C219" s="19"/>
      <c r="D219" s="19"/>
      <c r="E219" s="19"/>
      <c r="F219" s="19"/>
      <c r="G219" s="13" t="n">
        <f aca="false">IFERROR(F219/D219,0)</f>
        <v>0</v>
      </c>
      <c r="H219" s="19"/>
      <c r="I219" s="19"/>
    </row>
    <row r="220" customFormat="false" ht="15" hidden="false" customHeight="true" outlineLevel="0" collapsed="false">
      <c r="B220" s="19"/>
      <c r="C220" s="19"/>
      <c r="D220" s="19"/>
      <c r="E220" s="19"/>
      <c r="F220" s="19"/>
      <c r="G220" s="13" t="n">
        <f aca="false">IFERROR(F220/D220,0)</f>
        <v>0</v>
      </c>
      <c r="H220" s="19"/>
      <c r="I220" s="19"/>
    </row>
    <row r="221" customFormat="false" ht="15" hidden="false" customHeight="true" outlineLevel="0" collapsed="false">
      <c r="B221" s="19"/>
      <c r="C221" s="19"/>
      <c r="D221" s="19"/>
      <c r="E221" s="19"/>
      <c r="F221" s="19"/>
      <c r="G221" s="13" t="n">
        <f aca="false">IFERROR(F221/D221,0)</f>
        <v>0</v>
      </c>
      <c r="H221" s="19"/>
      <c r="I221" s="19"/>
    </row>
    <row r="222" customFormat="false" ht="15" hidden="false" customHeight="true" outlineLevel="0" collapsed="false">
      <c r="B222" s="19"/>
      <c r="C222" s="19"/>
      <c r="D222" s="19"/>
      <c r="E222" s="19"/>
      <c r="F222" s="19"/>
      <c r="G222" s="13" t="n">
        <f aca="false">IFERROR(F222/D222,0)</f>
        <v>0</v>
      </c>
      <c r="H222" s="19"/>
      <c r="I222" s="19"/>
    </row>
    <row r="223" customFormat="false" ht="15" hidden="false" customHeight="true" outlineLevel="0" collapsed="false">
      <c r="B223" s="19"/>
      <c r="C223" s="19"/>
      <c r="D223" s="19"/>
      <c r="E223" s="19"/>
      <c r="F223" s="19"/>
      <c r="G223" s="13" t="n">
        <f aca="false">IFERROR(F223/D223,0)</f>
        <v>0</v>
      </c>
      <c r="H223" s="19"/>
      <c r="I223" s="19"/>
    </row>
    <row r="224" customFormat="false" ht="15" hidden="false" customHeight="true" outlineLevel="0" collapsed="false">
      <c r="B224" s="19"/>
      <c r="C224" s="19"/>
      <c r="D224" s="19"/>
      <c r="E224" s="19"/>
      <c r="F224" s="19"/>
      <c r="G224" s="13" t="n">
        <f aca="false">IFERROR(F224/D224,0)</f>
        <v>0</v>
      </c>
      <c r="H224" s="19"/>
      <c r="I224" s="19"/>
    </row>
    <row r="225" customFormat="false" ht="15" hidden="false" customHeight="true" outlineLevel="0" collapsed="false">
      <c r="B225" s="19"/>
      <c r="C225" s="19"/>
      <c r="D225" s="19"/>
      <c r="E225" s="19"/>
      <c r="F225" s="19"/>
      <c r="G225" s="13" t="n">
        <f aca="false">IFERROR(F225/D225,0)</f>
        <v>0</v>
      </c>
      <c r="H225" s="19"/>
      <c r="I225" s="19"/>
    </row>
    <row r="226" customFormat="false" ht="15" hidden="false" customHeight="true" outlineLevel="0" collapsed="false">
      <c r="B226" s="19"/>
      <c r="C226" s="19"/>
      <c r="D226" s="19"/>
      <c r="E226" s="19"/>
      <c r="F226" s="19"/>
      <c r="G226" s="13" t="n">
        <f aca="false">IFERROR(F226/D226,0)</f>
        <v>0</v>
      </c>
      <c r="H226" s="19"/>
      <c r="I226" s="19"/>
    </row>
    <row r="227" customFormat="false" ht="15" hidden="false" customHeight="true" outlineLevel="0" collapsed="false">
      <c r="B227" s="19"/>
      <c r="C227" s="19"/>
      <c r="D227" s="19"/>
      <c r="E227" s="19"/>
      <c r="F227" s="19"/>
      <c r="G227" s="13" t="n">
        <f aca="false">IFERROR(F227/D227,0)</f>
        <v>0</v>
      </c>
      <c r="H227" s="19"/>
      <c r="I227" s="19"/>
    </row>
    <row r="228" customFormat="false" ht="15" hidden="false" customHeight="true" outlineLevel="0" collapsed="false">
      <c r="B228" s="19"/>
      <c r="C228" s="19"/>
      <c r="D228" s="19"/>
      <c r="E228" s="19"/>
      <c r="F228" s="19"/>
      <c r="G228" s="13" t="n">
        <f aca="false">IFERROR(F228/D228,0)</f>
        <v>0</v>
      </c>
      <c r="H228" s="19"/>
      <c r="I228" s="19"/>
    </row>
    <row r="229" customFormat="false" ht="15" hidden="false" customHeight="true" outlineLevel="0" collapsed="false">
      <c r="B229" s="19"/>
      <c r="C229" s="19"/>
      <c r="D229" s="19"/>
      <c r="E229" s="19"/>
      <c r="F229" s="19"/>
      <c r="G229" s="13" t="n">
        <f aca="false">IFERROR(F229/D229,0)</f>
        <v>0</v>
      </c>
      <c r="H229" s="19"/>
      <c r="I229" s="19"/>
    </row>
    <row r="230" customFormat="false" ht="15" hidden="false" customHeight="true" outlineLevel="0" collapsed="false">
      <c r="B230" s="19"/>
      <c r="C230" s="19"/>
      <c r="D230" s="19"/>
      <c r="E230" s="19"/>
      <c r="F230" s="19"/>
      <c r="G230" s="13" t="n">
        <f aca="false">IFERROR(F230/D230,0)</f>
        <v>0</v>
      </c>
      <c r="H230" s="19"/>
      <c r="I230" s="19"/>
    </row>
    <row r="231" customFormat="false" ht="15" hidden="false" customHeight="true" outlineLevel="0" collapsed="false">
      <c r="B231" s="19"/>
      <c r="C231" s="19"/>
      <c r="D231" s="19"/>
      <c r="E231" s="19"/>
      <c r="F231" s="19"/>
      <c r="G231" s="13" t="n">
        <f aca="false">IFERROR(F231/D231,0)</f>
        <v>0</v>
      </c>
      <c r="H231" s="19"/>
      <c r="I231" s="19"/>
    </row>
    <row r="232" customFormat="false" ht="15" hidden="false" customHeight="true" outlineLevel="0" collapsed="false">
      <c r="B232" s="19"/>
      <c r="C232" s="19"/>
      <c r="D232" s="19"/>
      <c r="E232" s="19"/>
      <c r="F232" s="19"/>
      <c r="G232" s="13" t="n">
        <f aca="false">IFERROR(F232/D232,0)</f>
        <v>0</v>
      </c>
      <c r="H232" s="19"/>
      <c r="I232" s="19"/>
    </row>
    <row r="233" customFormat="false" ht="15" hidden="false" customHeight="true" outlineLevel="0" collapsed="false">
      <c r="B233" s="19"/>
      <c r="C233" s="19"/>
      <c r="D233" s="19"/>
      <c r="E233" s="19"/>
      <c r="F233" s="19"/>
      <c r="G233" s="13" t="n">
        <f aca="false">IFERROR(F233/D233,0)</f>
        <v>0</v>
      </c>
      <c r="H233" s="19"/>
      <c r="I233" s="19"/>
    </row>
    <row r="234" customFormat="false" ht="15" hidden="false" customHeight="true" outlineLevel="0" collapsed="false">
      <c r="B234" s="19"/>
      <c r="C234" s="19"/>
      <c r="D234" s="19"/>
      <c r="E234" s="19"/>
      <c r="F234" s="19"/>
      <c r="G234" s="13" t="n">
        <f aca="false">IFERROR(F234/D234,0)</f>
        <v>0</v>
      </c>
      <c r="H234" s="19"/>
      <c r="I234" s="19"/>
    </row>
    <row r="235" customFormat="false" ht="15" hidden="false" customHeight="true" outlineLevel="0" collapsed="false">
      <c r="B235" s="19"/>
      <c r="C235" s="19"/>
      <c r="D235" s="19"/>
      <c r="E235" s="19"/>
      <c r="F235" s="19"/>
      <c r="G235" s="13" t="n">
        <f aca="false">IFERROR(F235/D235,0)</f>
        <v>0</v>
      </c>
      <c r="H235" s="19"/>
      <c r="I235" s="19"/>
    </row>
    <row r="236" customFormat="false" ht="15" hidden="false" customHeight="true" outlineLevel="0" collapsed="false">
      <c r="B236" s="19"/>
      <c r="C236" s="19"/>
      <c r="D236" s="19"/>
      <c r="E236" s="19"/>
      <c r="F236" s="19"/>
      <c r="G236" s="13" t="n">
        <f aca="false">IFERROR(F236/D236,0)</f>
        <v>0</v>
      </c>
      <c r="H236" s="19"/>
      <c r="I236" s="19"/>
    </row>
    <row r="237" customFormat="false" ht="15" hidden="false" customHeight="true" outlineLevel="0" collapsed="false">
      <c r="B237" s="19"/>
      <c r="C237" s="19"/>
      <c r="D237" s="19"/>
      <c r="E237" s="19"/>
      <c r="F237" s="19"/>
      <c r="G237" s="13" t="n">
        <f aca="false">IFERROR(F237/D237,0)</f>
        <v>0</v>
      </c>
      <c r="H237" s="19"/>
      <c r="I237" s="19"/>
    </row>
    <row r="238" customFormat="false" ht="15" hidden="false" customHeight="true" outlineLevel="0" collapsed="false">
      <c r="B238" s="19"/>
      <c r="C238" s="19"/>
      <c r="D238" s="19"/>
      <c r="E238" s="19"/>
      <c r="F238" s="19"/>
      <c r="G238" s="13" t="n">
        <f aca="false">IFERROR(F238/D238,0)</f>
        <v>0</v>
      </c>
      <c r="H238" s="19"/>
      <c r="I238" s="19"/>
    </row>
    <row r="239" customFormat="false" ht="15" hidden="false" customHeight="true" outlineLevel="0" collapsed="false">
      <c r="B239" s="19"/>
      <c r="C239" s="19"/>
      <c r="D239" s="19"/>
      <c r="E239" s="19"/>
      <c r="F239" s="19"/>
      <c r="G239" s="13" t="n">
        <f aca="false">IFERROR(F239/D239,0)</f>
        <v>0</v>
      </c>
      <c r="H239" s="19"/>
      <c r="I239" s="19"/>
    </row>
    <row r="240" customFormat="false" ht="15" hidden="false" customHeight="true" outlineLevel="0" collapsed="false">
      <c r="B240" s="19"/>
      <c r="C240" s="19"/>
      <c r="D240" s="19"/>
      <c r="E240" s="19"/>
      <c r="F240" s="19"/>
      <c r="G240" s="13" t="n">
        <f aca="false">IFERROR(F240/D240,0)</f>
        <v>0</v>
      </c>
      <c r="H240" s="19"/>
      <c r="I240" s="19"/>
    </row>
    <row r="241" customFormat="false" ht="15" hidden="false" customHeight="true" outlineLevel="0" collapsed="false">
      <c r="B241" s="19"/>
      <c r="C241" s="19"/>
      <c r="D241" s="19"/>
      <c r="E241" s="19"/>
      <c r="F241" s="19"/>
      <c r="G241" s="13" t="n">
        <f aca="false">IFERROR(F241/D241,0)</f>
        <v>0</v>
      </c>
      <c r="H241" s="19"/>
      <c r="I241" s="19"/>
    </row>
    <row r="242" customFormat="false" ht="15" hidden="false" customHeight="true" outlineLevel="0" collapsed="false">
      <c r="B242" s="19"/>
      <c r="C242" s="19"/>
      <c r="D242" s="19"/>
      <c r="E242" s="19"/>
      <c r="F242" s="19"/>
      <c r="G242" s="13" t="n">
        <f aca="false">IFERROR(F242/D242,0)</f>
        <v>0</v>
      </c>
      <c r="H242" s="19"/>
      <c r="I242" s="19"/>
    </row>
    <row r="243" customFormat="false" ht="15" hidden="false" customHeight="true" outlineLevel="0" collapsed="false">
      <c r="B243" s="19"/>
      <c r="C243" s="19"/>
      <c r="D243" s="19"/>
      <c r="E243" s="19"/>
      <c r="F243" s="19"/>
      <c r="G243" s="13" t="n">
        <f aca="false">IFERROR(F243/D243,0)</f>
        <v>0</v>
      </c>
      <c r="H243" s="19"/>
      <c r="I243" s="19"/>
    </row>
    <row r="244" customFormat="false" ht="15" hidden="false" customHeight="true" outlineLevel="0" collapsed="false">
      <c r="B244" s="19"/>
      <c r="C244" s="19"/>
      <c r="D244" s="19"/>
      <c r="E244" s="19"/>
      <c r="F244" s="19"/>
      <c r="G244" s="13" t="n">
        <f aca="false">IFERROR(F244/D244,0)</f>
        <v>0</v>
      </c>
      <c r="H244" s="19"/>
      <c r="I244" s="19"/>
    </row>
    <row r="245" customFormat="false" ht="15" hidden="false" customHeight="true" outlineLevel="0" collapsed="false">
      <c r="B245" s="19"/>
      <c r="C245" s="19"/>
      <c r="D245" s="19"/>
      <c r="E245" s="19"/>
      <c r="F245" s="19"/>
      <c r="G245" s="13" t="n">
        <f aca="false">IFERROR(F245/D245,0)</f>
        <v>0</v>
      </c>
      <c r="H245" s="19"/>
      <c r="I245" s="19"/>
    </row>
    <row r="246" customFormat="false" ht="15" hidden="false" customHeight="true" outlineLevel="0" collapsed="false">
      <c r="B246" s="19"/>
      <c r="C246" s="19"/>
      <c r="D246" s="19"/>
      <c r="E246" s="19"/>
      <c r="F246" s="19"/>
      <c r="G246" s="13" t="n">
        <f aca="false">IFERROR(F246/D246,0)</f>
        <v>0</v>
      </c>
      <c r="H246" s="19"/>
      <c r="I246" s="19"/>
    </row>
    <row r="247" customFormat="false" ht="15" hidden="false" customHeight="true" outlineLevel="0" collapsed="false">
      <c r="B247" s="19"/>
      <c r="C247" s="19"/>
      <c r="D247" s="19"/>
      <c r="E247" s="19"/>
      <c r="F247" s="19"/>
      <c r="G247" s="13" t="n">
        <f aca="false">IFERROR(F247/D247,0)</f>
        <v>0</v>
      </c>
      <c r="H247" s="19"/>
      <c r="I247" s="19"/>
    </row>
    <row r="248" customFormat="false" ht="15" hidden="false" customHeight="true" outlineLevel="0" collapsed="false">
      <c r="B248" s="19"/>
      <c r="C248" s="19"/>
      <c r="D248" s="19"/>
      <c r="E248" s="19"/>
      <c r="F248" s="19"/>
      <c r="G248" s="13" t="n">
        <f aca="false">IFERROR(F248/D248,0)</f>
        <v>0</v>
      </c>
      <c r="H248" s="19"/>
      <c r="I248" s="19"/>
    </row>
    <row r="249" customFormat="false" ht="15" hidden="false" customHeight="true" outlineLevel="0" collapsed="false">
      <c r="B249" s="19"/>
      <c r="C249" s="19"/>
      <c r="D249" s="19"/>
      <c r="E249" s="19"/>
      <c r="F249" s="19"/>
      <c r="G249" s="13" t="n">
        <f aca="false">IFERROR(F249/D249,0)</f>
        <v>0</v>
      </c>
      <c r="H249" s="19"/>
      <c r="I249" s="19"/>
    </row>
    <row r="250" customFormat="false" ht="15" hidden="false" customHeight="true" outlineLevel="0" collapsed="false">
      <c r="B250" s="19"/>
      <c r="C250" s="19"/>
      <c r="D250" s="19"/>
      <c r="E250" s="19"/>
      <c r="F250" s="19"/>
      <c r="G250" s="13" t="n">
        <f aca="false">IFERROR(F250/D250,0)</f>
        <v>0</v>
      </c>
      <c r="H250" s="19"/>
      <c r="I250" s="19"/>
    </row>
    <row r="251" customFormat="false" ht="15" hidden="false" customHeight="true" outlineLevel="0" collapsed="false">
      <c r="B251" s="19"/>
      <c r="C251" s="19"/>
      <c r="D251" s="19"/>
      <c r="E251" s="19"/>
      <c r="F251" s="19"/>
      <c r="G251" s="13" t="n">
        <f aca="false">IFERROR(F251/D251,0)</f>
        <v>0</v>
      </c>
      <c r="H251" s="19"/>
      <c r="I251" s="19"/>
    </row>
    <row r="252" customFormat="false" ht="15" hidden="false" customHeight="true" outlineLevel="0" collapsed="false">
      <c r="B252" s="19"/>
      <c r="C252" s="19"/>
      <c r="D252" s="19"/>
      <c r="E252" s="19"/>
      <c r="F252" s="19"/>
      <c r="G252" s="13" t="n">
        <f aca="false">IFERROR(F252/D252,0)</f>
        <v>0</v>
      </c>
      <c r="H252" s="19"/>
      <c r="I252" s="19"/>
    </row>
    <row r="253" customFormat="false" ht="15" hidden="false" customHeight="true" outlineLevel="0" collapsed="false">
      <c r="B253" s="19"/>
      <c r="C253" s="19"/>
      <c r="D253" s="19"/>
      <c r="E253" s="19"/>
      <c r="F253" s="19"/>
      <c r="G253" s="13" t="n">
        <f aca="false">IFERROR(F253/D253,0)</f>
        <v>0</v>
      </c>
      <c r="H253" s="19"/>
      <c r="I253" s="19"/>
    </row>
    <row r="254" customFormat="false" ht="15" hidden="false" customHeight="true" outlineLevel="0" collapsed="false">
      <c r="B254" s="19"/>
      <c r="C254" s="19"/>
      <c r="D254" s="19"/>
      <c r="E254" s="19"/>
      <c r="F254" s="19"/>
      <c r="G254" s="13" t="n">
        <f aca="false">IFERROR(F254/D254,0)</f>
        <v>0</v>
      </c>
      <c r="H254" s="19"/>
      <c r="I254" s="19"/>
    </row>
    <row r="255" customFormat="false" ht="15" hidden="false" customHeight="true" outlineLevel="0" collapsed="false">
      <c r="B255" s="19"/>
      <c r="C255" s="19"/>
      <c r="D255" s="19"/>
      <c r="E255" s="19"/>
      <c r="F255" s="19"/>
      <c r="G255" s="13" t="n">
        <f aca="false">IFERROR(F255/D255,0)</f>
        <v>0</v>
      </c>
      <c r="H255" s="19"/>
      <c r="I255" s="19"/>
    </row>
    <row r="256" customFormat="false" ht="15" hidden="false" customHeight="true" outlineLevel="0" collapsed="false">
      <c r="B256" s="19"/>
      <c r="C256" s="19"/>
      <c r="D256" s="19"/>
      <c r="E256" s="19"/>
      <c r="F256" s="19"/>
      <c r="G256" s="13" t="n">
        <f aca="false">IFERROR(F256/D256,0)</f>
        <v>0</v>
      </c>
      <c r="H256" s="19"/>
      <c r="I256" s="19"/>
    </row>
    <row r="257" customFormat="false" ht="15" hidden="false" customHeight="true" outlineLevel="0" collapsed="false">
      <c r="B257" s="19"/>
      <c r="C257" s="19"/>
      <c r="D257" s="19"/>
      <c r="E257" s="19"/>
      <c r="F257" s="19"/>
      <c r="G257" s="13" t="n">
        <f aca="false">IFERROR(F257/D257,0)</f>
        <v>0</v>
      </c>
      <c r="H257" s="19"/>
      <c r="I257" s="19"/>
    </row>
    <row r="258" customFormat="false" ht="15" hidden="false" customHeight="true" outlineLevel="0" collapsed="false">
      <c r="B258" s="19"/>
      <c r="C258" s="19"/>
      <c r="D258" s="19"/>
      <c r="E258" s="19"/>
      <c r="F258" s="19"/>
      <c r="G258" s="13" t="n">
        <f aca="false">IFERROR(F258/D258,0)</f>
        <v>0</v>
      </c>
      <c r="H258" s="19"/>
      <c r="I258" s="19"/>
    </row>
    <row r="259" customFormat="false" ht="15" hidden="false" customHeight="true" outlineLevel="0" collapsed="false">
      <c r="B259" s="19"/>
      <c r="C259" s="19"/>
      <c r="D259" s="19"/>
      <c r="E259" s="19"/>
      <c r="F259" s="19"/>
      <c r="G259" s="13" t="n">
        <f aca="false">IFERROR(F259/D259,0)</f>
        <v>0</v>
      </c>
      <c r="H259" s="19"/>
      <c r="I259" s="19"/>
    </row>
    <row r="260" customFormat="false" ht="15" hidden="false" customHeight="true" outlineLevel="0" collapsed="false">
      <c r="B260" s="19"/>
      <c r="C260" s="19"/>
      <c r="D260" s="19"/>
      <c r="E260" s="19"/>
      <c r="F260" s="19"/>
      <c r="G260" s="13" t="n">
        <f aca="false">IFERROR(F260/D260,0)</f>
        <v>0</v>
      </c>
      <c r="H260" s="19"/>
      <c r="I260" s="19"/>
    </row>
    <row r="261" customFormat="false" ht="15" hidden="false" customHeight="true" outlineLevel="0" collapsed="false">
      <c r="B261" s="19"/>
      <c r="C261" s="19"/>
      <c r="D261" s="19"/>
      <c r="E261" s="19"/>
      <c r="F261" s="19"/>
      <c r="G261" s="13" t="n">
        <f aca="false">IFERROR(F261/D261,0)</f>
        <v>0</v>
      </c>
      <c r="H261" s="19"/>
      <c r="I261" s="19"/>
    </row>
    <row r="262" customFormat="false" ht="15" hidden="false" customHeight="true" outlineLevel="0" collapsed="false">
      <c r="B262" s="19"/>
      <c r="C262" s="19"/>
      <c r="D262" s="19"/>
      <c r="E262" s="19"/>
      <c r="F262" s="19"/>
      <c r="G262" s="13" t="n">
        <f aca="false">IFERROR(F262/D262,0)</f>
        <v>0</v>
      </c>
      <c r="H262" s="19"/>
      <c r="I262" s="19"/>
    </row>
    <row r="263" customFormat="false" ht="15" hidden="false" customHeight="true" outlineLevel="0" collapsed="false">
      <c r="B263" s="19"/>
      <c r="C263" s="19"/>
      <c r="D263" s="19"/>
      <c r="E263" s="19"/>
      <c r="F263" s="19"/>
      <c r="G263" s="13" t="n">
        <f aca="false">IFERROR(F263/D263,0)</f>
        <v>0</v>
      </c>
      <c r="H263" s="19"/>
      <c r="I263" s="19"/>
    </row>
    <row r="264" customFormat="false" ht="15" hidden="false" customHeight="true" outlineLevel="0" collapsed="false">
      <c r="B264" s="19"/>
      <c r="C264" s="19"/>
      <c r="D264" s="19"/>
      <c r="E264" s="19"/>
      <c r="F264" s="19"/>
      <c r="G264" s="13" t="n">
        <f aca="false">IFERROR(F264/D264,0)</f>
        <v>0</v>
      </c>
      <c r="H264" s="19"/>
      <c r="I264" s="19"/>
    </row>
    <row r="265" customFormat="false" ht="15" hidden="false" customHeight="true" outlineLevel="0" collapsed="false">
      <c r="B265" s="19"/>
      <c r="C265" s="19"/>
      <c r="D265" s="19"/>
      <c r="E265" s="19"/>
      <c r="F265" s="19"/>
      <c r="G265" s="13" t="n">
        <f aca="false">IFERROR(F265/D265,0)</f>
        <v>0</v>
      </c>
      <c r="H265" s="19"/>
      <c r="I265" s="19"/>
    </row>
    <row r="266" customFormat="false" ht="15" hidden="false" customHeight="true" outlineLevel="0" collapsed="false">
      <c r="B266" s="19"/>
      <c r="C266" s="19"/>
      <c r="D266" s="19"/>
      <c r="E266" s="19"/>
      <c r="F266" s="19"/>
      <c r="G266" s="13" t="n">
        <f aca="false">IFERROR(F266/D266,0)</f>
        <v>0</v>
      </c>
      <c r="H266" s="19"/>
      <c r="I266" s="19"/>
    </row>
    <row r="267" customFormat="false" ht="15" hidden="false" customHeight="true" outlineLevel="0" collapsed="false">
      <c r="B267" s="19"/>
      <c r="C267" s="19"/>
      <c r="D267" s="19"/>
      <c r="E267" s="19"/>
      <c r="F267" s="19"/>
      <c r="G267" s="13" t="n">
        <f aca="false">IFERROR(F267/D267,0)</f>
        <v>0</v>
      </c>
      <c r="H267" s="19"/>
      <c r="I267" s="19"/>
    </row>
    <row r="268" customFormat="false" ht="15" hidden="false" customHeight="true" outlineLevel="0" collapsed="false">
      <c r="B268" s="19"/>
      <c r="C268" s="19"/>
      <c r="D268" s="19"/>
      <c r="E268" s="19"/>
      <c r="F268" s="19"/>
      <c r="G268" s="13" t="n">
        <f aca="false">IFERROR(F268/D268,0)</f>
        <v>0</v>
      </c>
      <c r="H268" s="19"/>
      <c r="I268" s="19"/>
    </row>
    <row r="269" customFormat="false" ht="15" hidden="false" customHeight="true" outlineLevel="0" collapsed="false">
      <c r="B269" s="19"/>
      <c r="C269" s="19"/>
      <c r="D269" s="19"/>
      <c r="E269" s="19"/>
      <c r="F269" s="19"/>
      <c r="G269" s="13" t="n">
        <f aca="false">IFERROR(F269/D269,0)</f>
        <v>0</v>
      </c>
      <c r="H269" s="19"/>
      <c r="I269" s="19"/>
    </row>
    <row r="270" customFormat="false" ht="15" hidden="false" customHeight="true" outlineLevel="0" collapsed="false">
      <c r="B270" s="19"/>
      <c r="C270" s="19"/>
      <c r="D270" s="19"/>
      <c r="E270" s="19"/>
      <c r="F270" s="19"/>
      <c r="G270" s="13" t="n">
        <f aca="false">IFERROR(F270/D270,0)</f>
        <v>0</v>
      </c>
      <c r="H270" s="19"/>
      <c r="I270" s="19"/>
    </row>
    <row r="271" customFormat="false" ht="15" hidden="false" customHeight="true" outlineLevel="0" collapsed="false">
      <c r="B271" s="19"/>
      <c r="C271" s="19"/>
      <c r="D271" s="19"/>
      <c r="E271" s="19"/>
      <c r="F271" s="19"/>
      <c r="G271" s="13" t="n">
        <f aca="false">IFERROR(F271/D271,0)</f>
        <v>0</v>
      </c>
      <c r="H271" s="19"/>
      <c r="I271" s="19"/>
    </row>
    <row r="272" customFormat="false" ht="15" hidden="false" customHeight="true" outlineLevel="0" collapsed="false">
      <c r="B272" s="19"/>
      <c r="C272" s="19"/>
      <c r="D272" s="19"/>
      <c r="E272" s="19"/>
      <c r="F272" s="19"/>
      <c r="G272" s="13" t="n">
        <f aca="false">IFERROR(F272/D272,0)</f>
        <v>0</v>
      </c>
      <c r="H272" s="19"/>
      <c r="I272" s="19"/>
    </row>
    <row r="273" customFormat="false" ht="15" hidden="false" customHeight="true" outlineLevel="0" collapsed="false">
      <c r="B273" s="19"/>
      <c r="C273" s="19"/>
      <c r="D273" s="19"/>
      <c r="E273" s="19"/>
      <c r="F273" s="19"/>
      <c r="G273" s="13" t="n">
        <f aca="false">IFERROR(F273/D273,0)</f>
        <v>0</v>
      </c>
      <c r="H273" s="19"/>
      <c r="I273" s="19"/>
    </row>
    <row r="274" customFormat="false" ht="15" hidden="false" customHeight="true" outlineLevel="0" collapsed="false">
      <c r="B274" s="19"/>
      <c r="C274" s="19"/>
      <c r="D274" s="19"/>
      <c r="E274" s="19"/>
      <c r="F274" s="19"/>
      <c r="G274" s="13" t="n">
        <f aca="false">IFERROR(F274/D274,0)</f>
        <v>0</v>
      </c>
      <c r="H274" s="19"/>
      <c r="I274" s="19"/>
    </row>
    <row r="275" customFormat="false" ht="15" hidden="false" customHeight="true" outlineLevel="0" collapsed="false">
      <c r="B275" s="19"/>
      <c r="C275" s="19"/>
      <c r="D275" s="19"/>
      <c r="E275" s="19"/>
      <c r="F275" s="19"/>
      <c r="G275" s="13" t="n">
        <f aca="false">IFERROR(F275/D275,0)</f>
        <v>0</v>
      </c>
      <c r="H275" s="19"/>
      <c r="I275" s="19"/>
    </row>
    <row r="276" customFormat="false" ht="15" hidden="false" customHeight="true" outlineLevel="0" collapsed="false">
      <c r="B276" s="19"/>
      <c r="C276" s="19"/>
      <c r="D276" s="19"/>
      <c r="E276" s="19"/>
      <c r="F276" s="19"/>
      <c r="G276" s="13" t="n">
        <f aca="false">IFERROR(F276/D276,0)</f>
        <v>0</v>
      </c>
      <c r="H276" s="19"/>
      <c r="I276" s="19"/>
    </row>
    <row r="277" customFormat="false" ht="15" hidden="false" customHeight="true" outlineLevel="0" collapsed="false">
      <c r="B277" s="19"/>
      <c r="C277" s="19"/>
      <c r="D277" s="19"/>
      <c r="E277" s="19"/>
      <c r="F277" s="19"/>
      <c r="G277" s="13" t="n">
        <f aca="false">IFERROR(F277/D277,0)</f>
        <v>0</v>
      </c>
      <c r="H277" s="19"/>
      <c r="I277" s="19"/>
    </row>
    <row r="278" customFormat="false" ht="15" hidden="false" customHeight="true" outlineLevel="0" collapsed="false">
      <c r="B278" s="19"/>
      <c r="C278" s="19"/>
      <c r="D278" s="19"/>
      <c r="E278" s="19"/>
      <c r="F278" s="19"/>
      <c r="G278" s="13" t="n">
        <f aca="false">IFERROR(F278/D278,0)</f>
        <v>0</v>
      </c>
      <c r="H278" s="19"/>
      <c r="I278" s="19"/>
    </row>
    <row r="279" customFormat="false" ht="15" hidden="false" customHeight="true" outlineLevel="0" collapsed="false">
      <c r="B279" s="19"/>
      <c r="C279" s="19"/>
      <c r="D279" s="19"/>
      <c r="E279" s="19"/>
      <c r="F279" s="19"/>
      <c r="G279" s="13" t="n">
        <f aca="false">IFERROR(F279/D279,0)</f>
        <v>0</v>
      </c>
      <c r="H279" s="19"/>
      <c r="I279" s="19"/>
    </row>
    <row r="280" customFormat="false" ht="15" hidden="false" customHeight="true" outlineLevel="0" collapsed="false">
      <c r="B280" s="19"/>
      <c r="C280" s="19"/>
      <c r="D280" s="19"/>
      <c r="E280" s="19"/>
      <c r="F280" s="19"/>
      <c r="G280" s="13" t="n">
        <f aca="false">IFERROR(F280/D280,0)</f>
        <v>0</v>
      </c>
      <c r="H280" s="19"/>
      <c r="I280" s="19"/>
    </row>
    <row r="281" customFormat="false" ht="15" hidden="false" customHeight="true" outlineLevel="0" collapsed="false">
      <c r="B281" s="19"/>
      <c r="C281" s="19"/>
      <c r="D281" s="19"/>
      <c r="E281" s="19"/>
      <c r="F281" s="19"/>
      <c r="G281" s="13" t="n">
        <f aca="false">IFERROR(F281/D281,0)</f>
        <v>0</v>
      </c>
      <c r="H281" s="19"/>
      <c r="I281" s="19"/>
    </row>
    <row r="282" customFormat="false" ht="15" hidden="false" customHeight="true" outlineLevel="0" collapsed="false">
      <c r="B282" s="19"/>
      <c r="C282" s="19"/>
      <c r="D282" s="19"/>
      <c r="E282" s="19"/>
      <c r="F282" s="19"/>
      <c r="G282" s="13" t="n">
        <f aca="false">IFERROR(F282/D282,0)</f>
        <v>0</v>
      </c>
      <c r="H282" s="19"/>
      <c r="I282" s="19"/>
    </row>
    <row r="283" customFormat="false" ht="15" hidden="false" customHeight="true" outlineLevel="0" collapsed="false">
      <c r="B283" s="19"/>
      <c r="C283" s="19"/>
      <c r="D283" s="19"/>
      <c r="E283" s="19"/>
      <c r="F283" s="19"/>
      <c r="G283" s="13" t="n">
        <f aca="false">IFERROR(F283/D283,0)</f>
        <v>0</v>
      </c>
      <c r="H283" s="19"/>
      <c r="I283" s="19"/>
    </row>
    <row r="284" customFormat="false" ht="15" hidden="false" customHeight="true" outlineLevel="0" collapsed="false">
      <c r="B284" s="19"/>
      <c r="C284" s="19"/>
      <c r="D284" s="19"/>
      <c r="E284" s="19"/>
      <c r="F284" s="19"/>
      <c r="G284" s="13" t="n">
        <f aca="false">IFERROR(F284/D284,0)</f>
        <v>0</v>
      </c>
      <c r="H284" s="19"/>
      <c r="I284" s="19"/>
    </row>
    <row r="285" customFormat="false" ht="15" hidden="false" customHeight="true" outlineLevel="0" collapsed="false">
      <c r="B285" s="19"/>
      <c r="C285" s="19"/>
      <c r="D285" s="19"/>
      <c r="E285" s="19"/>
      <c r="F285" s="19"/>
      <c r="G285" s="13" t="n">
        <f aca="false">IFERROR(F285/D285,0)</f>
        <v>0</v>
      </c>
      <c r="H285" s="19"/>
      <c r="I285" s="19"/>
    </row>
    <row r="286" customFormat="false" ht="15" hidden="false" customHeight="true" outlineLevel="0" collapsed="false">
      <c r="B286" s="19"/>
      <c r="C286" s="19"/>
      <c r="D286" s="19"/>
      <c r="E286" s="19"/>
      <c r="F286" s="19"/>
      <c r="G286" s="13" t="n">
        <f aca="false">IFERROR(F286/D286,0)</f>
        <v>0</v>
      </c>
      <c r="H286" s="19"/>
      <c r="I286" s="19"/>
    </row>
    <row r="287" customFormat="false" ht="15" hidden="false" customHeight="true" outlineLevel="0" collapsed="false">
      <c r="B287" s="19"/>
      <c r="C287" s="19"/>
      <c r="D287" s="19"/>
      <c r="E287" s="19"/>
      <c r="F287" s="19"/>
      <c r="G287" s="13" t="n">
        <f aca="false">IFERROR(F287/D287,0)</f>
        <v>0</v>
      </c>
      <c r="H287" s="19"/>
      <c r="I287" s="19"/>
    </row>
    <row r="288" customFormat="false" ht="15" hidden="false" customHeight="true" outlineLevel="0" collapsed="false">
      <c r="B288" s="19"/>
      <c r="C288" s="19"/>
      <c r="D288" s="19"/>
      <c r="E288" s="19"/>
      <c r="F288" s="19"/>
      <c r="G288" s="13" t="n">
        <f aca="false">IFERROR(F288/D288,0)</f>
        <v>0</v>
      </c>
      <c r="H288" s="19"/>
      <c r="I288" s="19"/>
    </row>
    <row r="289" customFormat="false" ht="15" hidden="false" customHeight="true" outlineLevel="0" collapsed="false">
      <c r="B289" s="19"/>
      <c r="C289" s="19"/>
      <c r="D289" s="19"/>
      <c r="E289" s="19"/>
      <c r="F289" s="19"/>
      <c r="G289" s="13" t="n">
        <f aca="false">IFERROR(F289/D289,0)</f>
        <v>0</v>
      </c>
      <c r="H289" s="19"/>
      <c r="I289" s="19"/>
    </row>
    <row r="290" customFormat="false" ht="15" hidden="false" customHeight="true" outlineLevel="0" collapsed="false">
      <c r="B290" s="19"/>
      <c r="C290" s="19"/>
      <c r="D290" s="19"/>
      <c r="E290" s="19"/>
      <c r="F290" s="19"/>
      <c r="G290" s="13" t="n">
        <f aca="false">IFERROR(F290/D290,0)</f>
        <v>0</v>
      </c>
      <c r="H290" s="19"/>
      <c r="I290" s="19"/>
    </row>
    <row r="291" customFormat="false" ht="15" hidden="false" customHeight="true" outlineLevel="0" collapsed="false">
      <c r="B291" s="19"/>
      <c r="C291" s="19"/>
      <c r="D291" s="19"/>
      <c r="E291" s="19"/>
      <c r="F291" s="19"/>
      <c r="G291" s="13" t="n">
        <f aca="false">IFERROR(F291/D291,0)</f>
        <v>0</v>
      </c>
      <c r="H291" s="19"/>
      <c r="I291" s="19"/>
    </row>
    <row r="292" customFormat="false" ht="15" hidden="false" customHeight="true" outlineLevel="0" collapsed="false">
      <c r="B292" s="19"/>
      <c r="C292" s="19"/>
      <c r="D292" s="19"/>
      <c r="E292" s="19"/>
      <c r="F292" s="19"/>
      <c r="G292" s="13" t="n">
        <f aca="false">IFERROR(F292/D292,0)</f>
        <v>0</v>
      </c>
      <c r="H292" s="19"/>
      <c r="I292" s="19"/>
    </row>
    <row r="293" customFormat="false" ht="15" hidden="false" customHeight="true" outlineLevel="0" collapsed="false">
      <c r="B293" s="19"/>
      <c r="C293" s="19"/>
      <c r="D293" s="19"/>
      <c r="E293" s="19"/>
      <c r="F293" s="19"/>
      <c r="G293" s="13" t="n">
        <f aca="false">IFERROR(F293/D293,0)</f>
        <v>0</v>
      </c>
      <c r="H293" s="19"/>
      <c r="I293" s="19"/>
    </row>
    <row r="294" customFormat="false" ht="15" hidden="false" customHeight="true" outlineLevel="0" collapsed="false">
      <c r="B294" s="19"/>
      <c r="C294" s="19"/>
      <c r="D294" s="19"/>
      <c r="E294" s="19"/>
      <c r="F294" s="19"/>
      <c r="G294" s="13" t="n">
        <f aca="false">IFERROR(F294/D294,0)</f>
        <v>0</v>
      </c>
      <c r="H294" s="19"/>
      <c r="I294" s="19"/>
    </row>
    <row r="295" customFormat="false" ht="15" hidden="false" customHeight="true" outlineLevel="0" collapsed="false">
      <c r="B295" s="19"/>
      <c r="C295" s="19"/>
      <c r="D295" s="19"/>
      <c r="E295" s="19"/>
      <c r="F295" s="19"/>
      <c r="G295" s="13" t="n">
        <f aca="false">IFERROR(F295/D295,0)</f>
        <v>0</v>
      </c>
      <c r="H295" s="19"/>
      <c r="I295" s="19"/>
    </row>
    <row r="296" customFormat="false" ht="15" hidden="false" customHeight="true" outlineLevel="0" collapsed="false">
      <c r="B296" s="19"/>
      <c r="C296" s="19"/>
      <c r="D296" s="19"/>
      <c r="E296" s="19"/>
      <c r="F296" s="19"/>
      <c r="G296" s="13" t="n">
        <f aca="false">IFERROR(F296/D296,0)</f>
        <v>0</v>
      </c>
      <c r="H296" s="19"/>
      <c r="I296" s="19"/>
    </row>
    <row r="297" customFormat="false" ht="15" hidden="false" customHeight="true" outlineLevel="0" collapsed="false">
      <c r="B297" s="19"/>
      <c r="C297" s="19"/>
      <c r="D297" s="19"/>
      <c r="E297" s="19"/>
      <c r="F297" s="19"/>
      <c r="G297" s="13" t="n">
        <f aca="false">IFERROR(F297/D297,0)</f>
        <v>0</v>
      </c>
      <c r="H297" s="19"/>
      <c r="I297" s="19"/>
    </row>
    <row r="298" customFormat="false" ht="15" hidden="false" customHeight="true" outlineLevel="0" collapsed="false">
      <c r="B298" s="19"/>
      <c r="C298" s="19"/>
      <c r="D298" s="19"/>
      <c r="E298" s="19"/>
      <c r="F298" s="19"/>
      <c r="G298" s="13" t="n">
        <f aca="false">IFERROR(F298/D298,0)</f>
        <v>0</v>
      </c>
      <c r="H298" s="19"/>
      <c r="I298" s="19"/>
    </row>
    <row r="299" customFormat="false" ht="15" hidden="false" customHeight="true" outlineLevel="0" collapsed="false">
      <c r="B299" s="19"/>
      <c r="C299" s="19"/>
      <c r="D299" s="19"/>
      <c r="E299" s="19"/>
      <c r="F299" s="19"/>
      <c r="G299" s="13" t="n">
        <f aca="false">IFERROR(F299/D299,0)</f>
        <v>0</v>
      </c>
      <c r="H299" s="19"/>
      <c r="I299" s="19"/>
    </row>
    <row r="300" customFormat="false" ht="15" hidden="false" customHeight="true" outlineLevel="0" collapsed="false">
      <c r="B300" s="19"/>
      <c r="C300" s="19"/>
      <c r="D300" s="19"/>
      <c r="E300" s="19"/>
      <c r="F300" s="19"/>
      <c r="G300" s="13" t="n">
        <f aca="false">IFERROR(F300/D300,0)</f>
        <v>0</v>
      </c>
      <c r="H300" s="19"/>
      <c r="I300" s="19"/>
    </row>
    <row r="301" customFormat="false" ht="15" hidden="false" customHeight="true" outlineLevel="0" collapsed="false">
      <c r="B301" s="19"/>
      <c r="C301" s="19"/>
      <c r="D301" s="19"/>
      <c r="E301" s="19"/>
      <c r="F301" s="19"/>
      <c r="G301" s="13" t="n">
        <f aca="false">IFERROR(F301/D301,0)</f>
        <v>0</v>
      </c>
      <c r="H301" s="19"/>
      <c r="I301" s="19"/>
    </row>
  </sheetData>
  <mergeCells count="1"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0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9" min="7" style="1" width="18"/>
    <col collapsed="false" customWidth="true" hidden="false" outlineLevel="0" max="10" min="10" style="1" width="15"/>
    <col collapsed="false" customWidth="true" hidden="false" outlineLevel="0" max="11" min="11" style="1" width="50"/>
    <col collapsed="false" customWidth="true" hidden="false" outlineLevel="0" max="12" min="12" style="1" width="11"/>
  </cols>
  <sheetData>
    <row r="2" customFormat="false" ht="17.25" hidden="false" customHeight="true" outlineLevel="0" collapsed="false">
      <c r="B2" s="9" t="s">
        <v>252</v>
      </c>
    </row>
    <row r="3" customFormat="false" ht="15" hidden="false" customHeight="true" outlineLevel="0" collapsed="false">
      <c r="B3" s="3" t="s">
        <v>253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20" t="s">
        <v>254</v>
      </c>
      <c r="C5" s="20"/>
      <c r="D5" s="20"/>
      <c r="E5" s="20"/>
      <c r="F5" s="20"/>
      <c r="G5" s="20"/>
      <c r="H5" s="20"/>
      <c r="I5" s="20"/>
      <c r="J5" s="20"/>
    </row>
    <row r="6" customFormat="false" ht="26.25" hidden="false" customHeight="true" outlineLevel="0" collapsed="false">
      <c r="B6" s="10" t="s">
        <v>255</v>
      </c>
      <c r="C6" s="10" t="s">
        <v>256</v>
      </c>
      <c r="D6" s="10" t="s">
        <v>257</v>
      </c>
      <c r="E6" s="10" t="s">
        <v>56</v>
      </c>
      <c r="F6" s="10" t="s">
        <v>258</v>
      </c>
      <c r="G6" s="10" t="s">
        <v>259</v>
      </c>
      <c r="H6" s="10" t="s">
        <v>260</v>
      </c>
      <c r="I6" s="10" t="s">
        <v>261</v>
      </c>
      <c r="J6" s="10" t="s">
        <v>262</v>
      </c>
      <c r="K6" s="10" t="s">
        <v>263</v>
      </c>
      <c r="L6" s="21" t="s">
        <v>264</v>
      </c>
    </row>
    <row r="7" customFormat="false" ht="15" hidden="false" customHeight="true" outlineLevel="0" collapsed="false">
      <c r="B7" s="14" t="n">
        <v>1</v>
      </c>
      <c r="C7" s="11" t="s">
        <v>265</v>
      </c>
      <c r="D7" s="11" t="s">
        <v>266</v>
      </c>
      <c r="E7" s="14"/>
      <c r="F7" s="22" t="n">
        <v>4.6</v>
      </c>
      <c r="G7" s="13" t="n">
        <f aca="false">IFERROR(SUMIFS(H328:H1942,B328:B1942,B7),0)</f>
        <v>0.939911894273128</v>
      </c>
      <c r="H7" s="13" t="n">
        <f aca="false">F7-G7</f>
        <v>3.66008810572687</v>
      </c>
      <c r="I7" s="23" t="n">
        <f aca="false">IFERROR((F7-G7)/F7,0)</f>
        <v>0.795671327331929</v>
      </c>
      <c r="J7" s="14" t="n">
        <v>5</v>
      </c>
      <c r="K7" s="24" t="s">
        <v>267</v>
      </c>
      <c r="L7" s="25" t="n">
        <f aca="false">IFERROR((F7-G7)/G7,0)</f>
        <v>3.89407574053243</v>
      </c>
    </row>
    <row r="8" customFormat="false" ht="15" hidden="false" customHeight="true" outlineLevel="0" collapsed="false">
      <c r="B8" s="14" t="n">
        <v>2</v>
      </c>
      <c r="C8" s="11" t="s">
        <v>265</v>
      </c>
      <c r="D8" s="11" t="s">
        <v>268</v>
      </c>
      <c r="E8" s="14"/>
      <c r="F8" s="22" t="n">
        <v>4.4</v>
      </c>
      <c r="G8" s="13" t="n">
        <f aca="false">IFERROR(SUMIFS(H328:H1942,B328:B1942,B8),0)</f>
        <v>0.909911894273128</v>
      </c>
      <c r="H8" s="13" t="n">
        <f aca="false">F8-G8</f>
        <v>3.49008810572687</v>
      </c>
      <c r="I8" s="23" t="n">
        <f aca="false">IFERROR((F8-G8)/F8,0)</f>
        <v>0.793201842210653</v>
      </c>
      <c r="J8" s="14" t="n">
        <v>5</v>
      </c>
      <c r="K8" s="24" t="s">
        <v>267</v>
      </c>
      <c r="L8" s="25" t="n">
        <f aca="false">IFERROR((F8-G8)/G8,0)</f>
        <v>3.83563301863956</v>
      </c>
    </row>
    <row r="9" customFormat="false" ht="15" hidden="false" customHeight="true" outlineLevel="0" collapsed="false">
      <c r="B9" s="14" t="n">
        <v>3</v>
      </c>
      <c r="C9" s="11" t="s">
        <v>269</v>
      </c>
      <c r="D9" s="11" t="s">
        <v>266</v>
      </c>
      <c r="E9" s="14"/>
      <c r="F9" s="22" t="n">
        <v>3.2</v>
      </c>
      <c r="G9" s="13" t="n">
        <f aca="false">IFERROR(SUMIFS(H328:H1942,B328:B1942,B9),0)</f>
        <v>1.3</v>
      </c>
      <c r="H9" s="13" t="n">
        <f aca="false">F9-G9</f>
        <v>1.9</v>
      </c>
      <c r="I9" s="23" t="n">
        <f aca="false">IFERROR((F9-G9)/F9,0)</f>
        <v>0.59375</v>
      </c>
      <c r="J9" s="14" t="n">
        <v>1</v>
      </c>
      <c r="K9" s="24" t="s">
        <v>270</v>
      </c>
      <c r="L9" s="25" t="n">
        <f aca="false">IFERROR((F9-G9)/G9,0)</f>
        <v>1.46153846153846</v>
      </c>
    </row>
    <row r="10" customFormat="false" ht="15" hidden="false" customHeight="true" outlineLevel="0" collapsed="false">
      <c r="B10" s="26" t="n">
        <v>4</v>
      </c>
      <c r="C10" s="26" t="s">
        <v>271</v>
      </c>
      <c r="D10" s="26" t="s">
        <v>266</v>
      </c>
      <c r="E10" s="26"/>
      <c r="F10" s="27" t="n">
        <v>0</v>
      </c>
      <c r="G10" s="27" t="n">
        <f aca="false">IFERROR(SUMIFS(H328:H1942,B328:B1942,B10),0)</f>
        <v>0</v>
      </c>
      <c r="H10" s="27" t="n">
        <f aca="false">F10-G10</f>
        <v>0</v>
      </c>
      <c r="I10" s="28" t="n">
        <f aca="false">IFERROR((F10-G10)/F10,0)</f>
        <v>0</v>
      </c>
      <c r="J10" s="26" t="n">
        <v>4</v>
      </c>
      <c r="K10" s="29" t="s">
        <v>272</v>
      </c>
      <c r="L10" s="30" t="n">
        <f aca="false">IFERROR((F10-G10)/G10,0)</f>
        <v>0</v>
      </c>
    </row>
    <row r="11" customFormat="false" ht="15" hidden="false" customHeight="true" outlineLevel="0" collapsed="false">
      <c r="B11" s="26" t="n">
        <v>5</v>
      </c>
      <c r="C11" s="26" t="s">
        <v>271</v>
      </c>
      <c r="D11" s="26" t="s">
        <v>268</v>
      </c>
      <c r="E11" s="26"/>
      <c r="F11" s="27" t="n">
        <v>0</v>
      </c>
      <c r="G11" s="27" t="n">
        <f aca="false">IFERROR(SUMIFS(H328:H1942,B328:B1942,B11),0)</f>
        <v>0</v>
      </c>
      <c r="H11" s="27" t="n">
        <f aca="false">F11-G11</f>
        <v>0</v>
      </c>
      <c r="I11" s="28" t="n">
        <f aca="false">IFERROR((F11-G11)/F11,0)</f>
        <v>0</v>
      </c>
      <c r="J11" s="26" t="n">
        <v>4</v>
      </c>
      <c r="K11" s="29" t="s">
        <v>272</v>
      </c>
      <c r="L11" s="30" t="n">
        <f aca="false">IFERROR((F11-G11)/G11,0)</f>
        <v>0</v>
      </c>
    </row>
    <row r="12" customFormat="false" ht="15" hidden="false" customHeight="true" outlineLevel="0" collapsed="false">
      <c r="B12" s="14" t="n">
        <v>6</v>
      </c>
      <c r="C12" s="11" t="s">
        <v>273</v>
      </c>
      <c r="D12" s="11" t="s">
        <v>274</v>
      </c>
      <c r="E12" s="14" t="s">
        <v>275</v>
      </c>
      <c r="F12" s="22" t="n">
        <v>1.9</v>
      </c>
      <c r="G12" s="13" t="n">
        <f aca="false">IFERROR(SUMIFS(H328:H1942,B328:B1942,B12),0)</f>
        <v>0.199875</v>
      </c>
      <c r="H12" s="13" t="n">
        <f aca="false">F12-G12</f>
        <v>1.700125</v>
      </c>
      <c r="I12" s="23" t="n">
        <f aca="false">IFERROR((F12-G12)/F12,0)</f>
        <v>0.894802631578947</v>
      </c>
      <c r="J12" s="14" t="n">
        <v>3</v>
      </c>
      <c r="K12" s="24" t="s">
        <v>276</v>
      </c>
      <c r="L12" s="25" t="n">
        <f aca="false">IFERROR((F12-G12)/G12,0)</f>
        <v>8.50594121325829</v>
      </c>
    </row>
    <row r="13" customFormat="false" ht="15" hidden="false" customHeight="true" outlineLevel="0" collapsed="false">
      <c r="B13" s="14" t="n">
        <v>7</v>
      </c>
      <c r="C13" s="11" t="s">
        <v>277</v>
      </c>
      <c r="D13" s="11" t="s">
        <v>266</v>
      </c>
      <c r="E13" s="14"/>
      <c r="F13" s="22" t="n">
        <v>3.1</v>
      </c>
      <c r="G13" s="13" t="n">
        <f aca="false">IFERROR(SUMIFS(H328:H1942,B328:B1942,B13),0)</f>
        <v>0.725</v>
      </c>
      <c r="H13" s="13" t="n">
        <f aca="false">F13-G13</f>
        <v>2.375</v>
      </c>
      <c r="I13" s="23" t="n">
        <f aca="false">IFERROR((F13-G13)/F13,0)</f>
        <v>0.766129032258065</v>
      </c>
      <c r="J13" s="14" t="n">
        <v>3</v>
      </c>
      <c r="K13" s="24" t="s">
        <v>278</v>
      </c>
      <c r="L13" s="25" t="n">
        <f aca="false">IFERROR((F13-G13)/G13,0)</f>
        <v>3.27586206896552</v>
      </c>
    </row>
    <row r="14" customFormat="false" ht="15" hidden="false" customHeight="true" outlineLevel="0" collapsed="false">
      <c r="B14" s="14" t="n">
        <v>8</v>
      </c>
      <c r="C14" s="11" t="s">
        <v>277</v>
      </c>
      <c r="D14" s="11" t="s">
        <v>268</v>
      </c>
      <c r="E14" s="14"/>
      <c r="F14" s="22" t="n">
        <v>2.8</v>
      </c>
      <c r="G14" s="13" t="n">
        <f aca="false">IFERROR(SUMIFS(H328:H1942,B328:B1942,B14),0)</f>
        <v>0.705</v>
      </c>
      <c r="H14" s="13" t="n">
        <f aca="false">F14-G14</f>
        <v>2.095</v>
      </c>
      <c r="I14" s="23" t="n">
        <f aca="false">IFERROR((F14-G14)/F14,0)</f>
        <v>0.748214285714286</v>
      </c>
      <c r="J14" s="14" t="n">
        <v>3</v>
      </c>
      <c r="K14" s="24" t="s">
        <v>278</v>
      </c>
      <c r="L14" s="25" t="n">
        <f aca="false">IFERROR((F14-G14)/G14,0)</f>
        <v>2.97163120567376</v>
      </c>
    </row>
    <row r="15" customFormat="false" ht="15" hidden="false" customHeight="true" outlineLevel="0" collapsed="false">
      <c r="B15" s="14" t="n">
        <v>9</v>
      </c>
      <c r="C15" s="11" t="s">
        <v>277</v>
      </c>
      <c r="D15" s="11" t="s">
        <v>279</v>
      </c>
      <c r="E15" s="14"/>
      <c r="F15" s="22" t="n">
        <v>3.4</v>
      </c>
      <c r="G15" s="13" t="n">
        <f aca="false">IFERROR(SUMIFS(H328:H1942,B328:B1942,B15),0)</f>
        <v>1.34</v>
      </c>
      <c r="H15" s="13" t="n">
        <f aca="false">F15-G15</f>
        <v>2.06</v>
      </c>
      <c r="I15" s="23" t="n">
        <f aca="false">IFERROR((F15-G15)/F15,0)</f>
        <v>0.605882352941177</v>
      </c>
      <c r="J15" s="14" t="n">
        <v>3</v>
      </c>
      <c r="K15" s="24" t="s">
        <v>278</v>
      </c>
      <c r="L15" s="25" t="n">
        <f aca="false">IFERROR((F15-G15)/G15,0)</f>
        <v>1.53731343283582</v>
      </c>
    </row>
    <row r="16" customFormat="false" ht="15" hidden="false" customHeight="true" outlineLevel="0" collapsed="false">
      <c r="B16" s="14" t="n">
        <v>10</v>
      </c>
      <c r="C16" s="11" t="s">
        <v>280</v>
      </c>
      <c r="D16" s="11" t="s">
        <v>266</v>
      </c>
      <c r="E16" s="14"/>
      <c r="F16" s="22" t="n">
        <v>4</v>
      </c>
      <c r="G16" s="13" t="n">
        <f aca="false">IFERROR(SUMIFS(H328:H1942,B328:B1942,B16),0)</f>
        <v>0.367875</v>
      </c>
      <c r="H16" s="13" t="n">
        <f aca="false">F16-G16</f>
        <v>3.632125</v>
      </c>
      <c r="I16" s="23" t="n">
        <f aca="false">IFERROR((F16-G16)/F16,0)</f>
        <v>0.90803125</v>
      </c>
      <c r="J16" s="14" t="n">
        <v>4</v>
      </c>
      <c r="K16" s="24" t="s">
        <v>281</v>
      </c>
      <c r="L16" s="25" t="n">
        <f aca="false">IFERROR((F16-G16)/G16,0)</f>
        <v>9.8732585796806</v>
      </c>
    </row>
    <row r="17" customFormat="false" ht="15" hidden="false" customHeight="true" outlineLevel="0" collapsed="false">
      <c r="B17" s="14" t="n">
        <v>11</v>
      </c>
      <c r="C17" s="11" t="s">
        <v>280</v>
      </c>
      <c r="D17" s="11" t="s">
        <v>268</v>
      </c>
      <c r="E17" s="14"/>
      <c r="F17" s="22" t="n">
        <v>3.8</v>
      </c>
      <c r="G17" s="13" t="n">
        <f aca="false">IFERROR(SUMIFS(H328:H1942,B328:B1942,B17),0)</f>
        <v>0.347875</v>
      </c>
      <c r="H17" s="13" t="n">
        <f aca="false">F17-G17</f>
        <v>3.452125</v>
      </c>
      <c r="I17" s="23" t="n">
        <f aca="false">IFERROR((F17-G17)/F17,0)</f>
        <v>0.908453947368421</v>
      </c>
      <c r="J17" s="14" t="n">
        <v>4</v>
      </c>
      <c r="K17" s="24" t="s">
        <v>281</v>
      </c>
      <c r="L17" s="25" t="n">
        <f aca="false">IFERROR((F17-G17)/G17,0)</f>
        <v>9.92346388789077</v>
      </c>
    </row>
    <row r="18" customFormat="false" ht="15" hidden="false" customHeight="true" outlineLevel="0" collapsed="false">
      <c r="B18" s="14" t="n">
        <v>12</v>
      </c>
      <c r="C18" s="11" t="s">
        <v>282</v>
      </c>
      <c r="D18" s="11" t="s">
        <v>266</v>
      </c>
      <c r="E18" s="14" t="s">
        <v>283</v>
      </c>
      <c r="F18" s="22" t="n">
        <v>4.2</v>
      </c>
      <c r="G18" s="13" t="n">
        <f aca="false">IFERROR(SUMIFS(H328:H1942,B328:B1942,B18),0)</f>
        <v>0.78213362701909</v>
      </c>
      <c r="H18" s="13" t="n">
        <f aca="false">F18-G18</f>
        <v>3.41786637298091</v>
      </c>
      <c r="I18" s="23" t="n">
        <f aca="false">IFERROR((F18-G18)/F18,0)</f>
        <v>0.813777707852598</v>
      </c>
      <c r="J18" s="14" t="n">
        <v>5</v>
      </c>
      <c r="K18" s="24" t="s">
        <v>284</v>
      </c>
      <c r="L18" s="25" t="n">
        <f aca="false">IFERROR((F18-G18)/G18,0)</f>
        <v>4.36992638458376</v>
      </c>
    </row>
    <row r="19" customFormat="false" ht="15" hidden="false" customHeight="true" outlineLevel="0" collapsed="false">
      <c r="B19" s="14" t="n">
        <v>13</v>
      </c>
      <c r="C19" s="11" t="s">
        <v>282</v>
      </c>
      <c r="D19" s="11" t="s">
        <v>268</v>
      </c>
      <c r="E19" s="14" t="s">
        <v>283</v>
      </c>
      <c r="F19" s="22" t="n">
        <v>4</v>
      </c>
      <c r="G19" s="13" t="n">
        <f aca="false">IFERROR(SUMIFS(H328:H1942,B328:B1942,B19),0)</f>
        <v>0.674204111600587</v>
      </c>
      <c r="H19" s="13" t="n">
        <f aca="false">F19-G19</f>
        <v>3.32579588839941</v>
      </c>
      <c r="I19" s="23" t="n">
        <f aca="false">IFERROR((F19-G19)/F19,0)</f>
        <v>0.831448972099853</v>
      </c>
      <c r="J19" s="14" t="n">
        <v>5</v>
      </c>
      <c r="K19" s="24" t="s">
        <v>284</v>
      </c>
      <c r="L19" s="25" t="n">
        <f aca="false">IFERROR((F19-G19)/G19,0)</f>
        <v>4.93292139750356</v>
      </c>
    </row>
    <row r="20" customFormat="false" ht="15" hidden="false" customHeight="true" outlineLevel="0" collapsed="false">
      <c r="B20" s="14" t="n">
        <v>14</v>
      </c>
      <c r="C20" s="11" t="s">
        <v>282</v>
      </c>
      <c r="D20" s="11" t="s">
        <v>279</v>
      </c>
      <c r="E20" s="14" t="s">
        <v>283</v>
      </c>
      <c r="F20" s="22" t="n">
        <v>4.6</v>
      </c>
      <c r="G20" s="13" t="n">
        <f aca="false">IFERROR(SUMIFS(H328:H1942,B328:B1942,B20),0)</f>
        <v>0.900063142437592</v>
      </c>
      <c r="H20" s="13" t="n">
        <f aca="false">F20-G20</f>
        <v>3.69993685756241</v>
      </c>
      <c r="I20" s="23" t="n">
        <f aca="false">IFERROR((F20-G20)/F20,0)</f>
        <v>0.804334099470089</v>
      </c>
      <c r="J20" s="14" t="n">
        <v>5</v>
      </c>
      <c r="K20" s="24" t="s">
        <v>284</v>
      </c>
      <c r="L20" s="25" t="n">
        <f aca="false">IFERROR((F20-G20)/G20,0)</f>
        <v>4.11075254958455</v>
      </c>
    </row>
    <row r="21" customFormat="false" ht="15" hidden="false" customHeight="true" outlineLevel="0" collapsed="false">
      <c r="B21" s="14" t="n">
        <v>15</v>
      </c>
      <c r="C21" s="11" t="s">
        <v>285</v>
      </c>
      <c r="D21" s="11" t="s">
        <v>266</v>
      </c>
      <c r="E21" s="14" t="s">
        <v>283</v>
      </c>
      <c r="F21" s="22" t="n">
        <v>4.2</v>
      </c>
      <c r="G21" s="13" t="n">
        <f aca="false">IFERROR(SUMIFS(H328:H1942,B328:B1942,B21),0)</f>
        <v>0.76413362701909</v>
      </c>
      <c r="H21" s="13" t="n">
        <f aca="false">F21-G21</f>
        <v>3.43586637298091</v>
      </c>
      <c r="I21" s="23" t="n">
        <f aca="false">IFERROR((F21-G21)/F21,0)</f>
        <v>0.818063422138312</v>
      </c>
      <c r="J21" s="14" t="n">
        <v>5</v>
      </c>
      <c r="K21" s="24" t="s">
        <v>284</v>
      </c>
      <c r="L21" s="25" t="n">
        <f aca="false">IFERROR((F21-G21)/G21,0)</f>
        <v>4.49642085034831</v>
      </c>
    </row>
    <row r="22" customFormat="false" ht="15" hidden="false" customHeight="true" outlineLevel="0" collapsed="false">
      <c r="B22" s="14" t="n">
        <v>16</v>
      </c>
      <c r="C22" s="11" t="s">
        <v>285</v>
      </c>
      <c r="D22" s="11" t="s">
        <v>268</v>
      </c>
      <c r="E22" s="14" t="s">
        <v>283</v>
      </c>
      <c r="F22" s="22" t="n">
        <v>4</v>
      </c>
      <c r="G22" s="13" t="n">
        <f aca="false">IFERROR(SUMIFS(H328:H1942,B328:B1942,B22),0)</f>
        <v>0.656204111600587</v>
      </c>
      <c r="H22" s="13" t="n">
        <f aca="false">F22-G22</f>
        <v>3.34379588839941</v>
      </c>
      <c r="I22" s="23" t="n">
        <f aca="false">IFERROR((F22-G22)/F22,0)</f>
        <v>0.835948972099853</v>
      </c>
      <c r="J22" s="14" t="n">
        <v>5</v>
      </c>
      <c r="K22" s="24" t="s">
        <v>284</v>
      </c>
      <c r="L22" s="25" t="n">
        <f aca="false">IFERROR((F22-G22)/G22,0)</f>
        <v>5.09566433566434</v>
      </c>
    </row>
    <row r="23" customFormat="false" ht="15" hidden="false" customHeight="true" outlineLevel="0" collapsed="false">
      <c r="B23" s="14" t="n">
        <v>17</v>
      </c>
      <c r="C23" s="11" t="s">
        <v>285</v>
      </c>
      <c r="D23" s="11" t="s">
        <v>279</v>
      </c>
      <c r="E23" s="14" t="s">
        <v>283</v>
      </c>
      <c r="F23" s="22" t="n">
        <v>4.6</v>
      </c>
      <c r="G23" s="13" t="n">
        <f aca="false">IFERROR(SUMIFS(H328:H1942,B328:B1942,B23),0)</f>
        <v>0.882063142437592</v>
      </c>
      <c r="H23" s="13" t="n">
        <f aca="false">F23-G23</f>
        <v>3.71793685756241</v>
      </c>
      <c r="I23" s="23" t="n">
        <f aca="false">IFERROR((F23-G23)/F23,0)</f>
        <v>0.80824714294835</v>
      </c>
      <c r="J23" s="14" t="n">
        <v>5</v>
      </c>
      <c r="K23" s="24" t="s">
        <v>284</v>
      </c>
      <c r="L23" s="25" t="n">
        <f aca="false">IFERROR((F23-G23)/G23,0)</f>
        <v>4.21504615563898</v>
      </c>
    </row>
    <row r="24" customFormat="false" ht="15" hidden="false" customHeight="true" outlineLevel="0" collapsed="false">
      <c r="B24" s="14" t="n">
        <v>18</v>
      </c>
      <c r="C24" s="11" t="s">
        <v>286</v>
      </c>
      <c r="D24" s="11" t="s">
        <v>266</v>
      </c>
      <c r="E24" s="14" t="s">
        <v>283</v>
      </c>
      <c r="F24" s="22" t="n">
        <v>4.2</v>
      </c>
      <c r="G24" s="13" t="n">
        <f aca="false">IFERROR(SUMIFS(H328:H1942,B328:B1942,B24),0)</f>
        <v>0.76413362701909</v>
      </c>
      <c r="H24" s="13" t="n">
        <f aca="false">F24-G24</f>
        <v>3.43586637298091</v>
      </c>
      <c r="I24" s="23" t="n">
        <f aca="false">IFERROR((F24-G24)/F24,0)</f>
        <v>0.818063422138312</v>
      </c>
      <c r="J24" s="14" t="n">
        <v>5</v>
      </c>
      <c r="K24" s="24" t="s">
        <v>284</v>
      </c>
      <c r="L24" s="25" t="n">
        <f aca="false">IFERROR((F24-G24)/G24,0)</f>
        <v>4.49642085034831</v>
      </c>
    </row>
    <row r="25" customFormat="false" ht="15" hidden="false" customHeight="true" outlineLevel="0" collapsed="false">
      <c r="B25" s="14" t="n">
        <v>19</v>
      </c>
      <c r="C25" s="11" t="s">
        <v>286</v>
      </c>
      <c r="D25" s="11" t="s">
        <v>268</v>
      </c>
      <c r="E25" s="14" t="s">
        <v>283</v>
      </c>
      <c r="F25" s="22" t="n">
        <v>4</v>
      </c>
      <c r="G25" s="13" t="n">
        <f aca="false">IFERROR(SUMIFS(H328:H1942,B328:B1942,B25),0)</f>
        <v>0.656204111600587</v>
      </c>
      <c r="H25" s="13" t="n">
        <f aca="false">F25-G25</f>
        <v>3.34379588839941</v>
      </c>
      <c r="I25" s="23" t="n">
        <f aca="false">IFERROR((F25-G25)/F25,0)</f>
        <v>0.835948972099853</v>
      </c>
      <c r="J25" s="14" t="n">
        <v>5</v>
      </c>
      <c r="K25" s="24" t="s">
        <v>284</v>
      </c>
      <c r="L25" s="25" t="n">
        <f aca="false">IFERROR((F25-G25)/G25,0)</f>
        <v>5.09566433566434</v>
      </c>
    </row>
    <row r="26" customFormat="false" ht="15" hidden="false" customHeight="true" outlineLevel="0" collapsed="false">
      <c r="B26" s="14" t="n">
        <v>20</v>
      </c>
      <c r="C26" s="11" t="s">
        <v>286</v>
      </c>
      <c r="D26" s="11" t="s">
        <v>279</v>
      </c>
      <c r="E26" s="14" t="s">
        <v>283</v>
      </c>
      <c r="F26" s="22" t="n">
        <v>4.6</v>
      </c>
      <c r="G26" s="13" t="n">
        <f aca="false">IFERROR(SUMIFS(H328:H1942,B328:B1942,B26),0)</f>
        <v>0.882063142437592</v>
      </c>
      <c r="H26" s="13" t="n">
        <f aca="false">F26-G26</f>
        <v>3.71793685756241</v>
      </c>
      <c r="I26" s="23" t="n">
        <f aca="false">IFERROR((F26-G26)/F26,0)</f>
        <v>0.80824714294835</v>
      </c>
      <c r="J26" s="14" t="n">
        <v>5</v>
      </c>
      <c r="K26" s="24" t="s">
        <v>284</v>
      </c>
      <c r="L26" s="25" t="n">
        <f aca="false">IFERROR((F26-G26)/G26,0)</f>
        <v>4.21504615563898</v>
      </c>
    </row>
    <row r="27" customFormat="false" ht="15" hidden="false" customHeight="true" outlineLevel="0" collapsed="false">
      <c r="B27" s="14" t="n">
        <v>21</v>
      </c>
      <c r="C27" s="11" t="s">
        <v>287</v>
      </c>
      <c r="D27" s="11" t="s">
        <v>266</v>
      </c>
      <c r="E27" s="14" t="s">
        <v>283</v>
      </c>
      <c r="F27" s="22" t="n">
        <v>4.1</v>
      </c>
      <c r="G27" s="13" t="n">
        <f aca="false">IFERROR(SUMIFS(H328:H1942,B328:B1942,B27),0)</f>
        <v>1.09482378854626</v>
      </c>
      <c r="H27" s="13" t="n">
        <f aca="false">F27-G27</f>
        <v>3.00517621145374</v>
      </c>
      <c r="I27" s="23" t="n">
        <f aca="false">IFERROR((F27-G27)/F27,0)</f>
        <v>0.732969807671645</v>
      </c>
      <c r="J27" s="14" t="n">
        <v>5</v>
      </c>
      <c r="K27" s="24" t="s">
        <v>288</v>
      </c>
      <c r="L27" s="25" t="n">
        <f aca="false">IFERROR((F27-G27)/G27,0)</f>
        <v>2.74489487979077</v>
      </c>
    </row>
    <row r="28" customFormat="false" ht="15" hidden="false" customHeight="true" outlineLevel="0" collapsed="false">
      <c r="B28" s="14" t="n">
        <v>22</v>
      </c>
      <c r="C28" s="11" t="s">
        <v>287</v>
      </c>
      <c r="D28" s="11" t="s">
        <v>268</v>
      </c>
      <c r="E28" s="14" t="s">
        <v>283</v>
      </c>
      <c r="F28" s="22" t="n">
        <v>3.9</v>
      </c>
      <c r="G28" s="13" t="n">
        <f aca="false">IFERROR(SUMIFS(H328:H1942,B328:B1942,B28),0)</f>
        <v>0.986894273127753</v>
      </c>
      <c r="H28" s="13" t="n">
        <f aca="false">F28-G28</f>
        <v>2.91310572687225</v>
      </c>
      <c r="I28" s="23" t="n">
        <f aca="false">IFERROR((F28-G28)/F28,0)</f>
        <v>0.746950186377499</v>
      </c>
      <c r="J28" s="14" t="n">
        <v>5</v>
      </c>
      <c r="K28" s="24" t="s">
        <v>288</v>
      </c>
      <c r="L28" s="25" t="n">
        <f aca="false">IFERROR((F28-G28)/G28,0)</f>
        <v>2.95179109474389</v>
      </c>
    </row>
    <row r="29" customFormat="false" ht="15" hidden="false" customHeight="true" outlineLevel="0" collapsed="false">
      <c r="B29" s="14" t="n">
        <v>23</v>
      </c>
      <c r="C29" s="11" t="s">
        <v>287</v>
      </c>
      <c r="D29" s="11" t="s">
        <v>279</v>
      </c>
      <c r="E29" s="14" t="s">
        <v>283</v>
      </c>
      <c r="F29" s="22" t="n">
        <v>4.3</v>
      </c>
      <c r="G29" s="13" t="n">
        <f aca="false">IFERROR(SUMIFS(H328:H1942,B328:B1942,B29),0)</f>
        <v>1.75378854625551</v>
      </c>
      <c r="H29" s="13" t="n">
        <f aca="false">F29-G29</f>
        <v>2.54621145374449</v>
      </c>
      <c r="I29" s="23" t="n">
        <f aca="false">IFERROR((F29-G29)/F29,0)</f>
        <v>0.592142198545231</v>
      </c>
      <c r="J29" s="14" t="n">
        <v>5</v>
      </c>
      <c r="K29" s="24" t="s">
        <v>288</v>
      </c>
      <c r="L29" s="25" t="n">
        <f aca="false">IFERROR((F29-G29)/G29,0)</f>
        <v>1.45183491999699</v>
      </c>
    </row>
    <row r="30" customFormat="false" ht="15" hidden="false" customHeight="true" outlineLevel="0" collapsed="false">
      <c r="B30" s="14" t="n">
        <v>24</v>
      </c>
      <c r="C30" s="11" t="s">
        <v>289</v>
      </c>
      <c r="D30" s="11" t="s">
        <v>266</v>
      </c>
      <c r="E30" s="14"/>
      <c r="F30" s="22" t="n">
        <v>4.2</v>
      </c>
      <c r="G30" s="13" t="n">
        <f aca="false">IFERROR(SUMIFS(H328:H1942,B328:B1942,B30),0)</f>
        <v>0.59913362701909</v>
      </c>
      <c r="H30" s="13" t="n">
        <f aca="false">F30-G30</f>
        <v>3.60086637298091</v>
      </c>
      <c r="I30" s="23" t="n">
        <f aca="false">IFERROR((F30-G30)/F30,0)</f>
        <v>0.857349136424026</v>
      </c>
      <c r="J30" s="14" t="n">
        <v>4</v>
      </c>
      <c r="K30" s="24" t="s">
        <v>290</v>
      </c>
      <c r="L30" s="25" t="n">
        <f aca="false">IFERROR((F30-G30)/G30,0)</f>
        <v>6.010122300924</v>
      </c>
    </row>
    <row r="31" customFormat="false" ht="15" hidden="false" customHeight="true" outlineLevel="0" collapsed="false">
      <c r="B31" s="14" t="n">
        <v>25</v>
      </c>
      <c r="C31" s="11" t="s">
        <v>289</v>
      </c>
      <c r="D31" s="11" t="s">
        <v>268</v>
      </c>
      <c r="E31" s="14"/>
      <c r="F31" s="22" t="n">
        <v>4</v>
      </c>
      <c r="G31" s="13" t="n">
        <f aca="false">IFERROR(SUMIFS(H328:H1942,B328:B1942,B31),0)</f>
        <v>0.421204111600587</v>
      </c>
      <c r="H31" s="13" t="n">
        <f aca="false">F31-G31</f>
        <v>3.57879588839941</v>
      </c>
      <c r="I31" s="23" t="n">
        <f aca="false">IFERROR((F31-G31)/F31,0)</f>
        <v>0.894698972099853</v>
      </c>
      <c r="J31" s="14" t="n">
        <v>4</v>
      </c>
      <c r="K31" s="24" t="s">
        <v>290</v>
      </c>
      <c r="L31" s="25" t="n">
        <f aca="false">IFERROR((F31-G31)/G31,0)</f>
        <v>8.49658346116302</v>
      </c>
    </row>
    <row r="32" customFormat="false" ht="15" hidden="false" customHeight="true" outlineLevel="0" collapsed="false">
      <c r="B32" s="14" t="n">
        <v>26</v>
      </c>
      <c r="C32" s="11" t="s">
        <v>289</v>
      </c>
      <c r="D32" s="11" t="s">
        <v>279</v>
      </c>
      <c r="E32" s="14"/>
      <c r="F32" s="22" t="n">
        <v>4.4</v>
      </c>
      <c r="G32" s="13" t="n">
        <f aca="false">IFERROR(SUMIFS(H328:H1942,B328:B1942,B32),0)</f>
        <v>0.787063142437592</v>
      </c>
      <c r="H32" s="13" t="n">
        <f aca="false">F32-G32</f>
        <v>3.61293685756241</v>
      </c>
      <c r="I32" s="23" t="n">
        <f aca="false">IFERROR((F32-G32)/F32,0)</f>
        <v>0.821122013082366</v>
      </c>
      <c r="J32" s="14" t="n">
        <v>4</v>
      </c>
      <c r="K32" s="24" t="s">
        <v>290</v>
      </c>
      <c r="L32" s="25" t="n">
        <f aca="false">IFERROR((F32-G32)/G32,0)</f>
        <v>4.5904028060225</v>
      </c>
    </row>
    <row r="33" customFormat="false" ht="15" hidden="false" customHeight="true" outlineLevel="0" collapsed="false">
      <c r="B33" s="14" t="n">
        <v>27</v>
      </c>
      <c r="C33" s="11" t="s">
        <v>291</v>
      </c>
      <c r="D33" s="11" t="s">
        <v>266</v>
      </c>
      <c r="E33" s="14"/>
      <c r="F33" s="22" t="n">
        <v>3.5</v>
      </c>
      <c r="G33" s="13" t="n">
        <f aca="false">IFERROR(SUMIFS(H328:H1942,B328:B1942,B33),0)</f>
        <v>0.944823788546256</v>
      </c>
      <c r="H33" s="13" t="n">
        <f aca="false">F33-G33</f>
        <v>2.55517621145374</v>
      </c>
      <c r="I33" s="23" t="n">
        <f aca="false">IFERROR((F33-G33)/F33,0)</f>
        <v>0.730050346129641</v>
      </c>
      <c r="J33" s="14" t="n">
        <v>4</v>
      </c>
      <c r="K33" s="24" t="s">
        <v>291</v>
      </c>
      <c r="L33" s="25" t="n">
        <f aca="false">IFERROR((F33-G33)/G33,0)</f>
        <v>2.70439445156778</v>
      </c>
    </row>
    <row r="34" customFormat="false" ht="15" hidden="false" customHeight="true" outlineLevel="0" collapsed="false">
      <c r="B34" s="14" t="n">
        <v>28</v>
      </c>
      <c r="C34" s="11" t="s">
        <v>291</v>
      </c>
      <c r="D34" s="11" t="s">
        <v>268</v>
      </c>
      <c r="E34" s="14"/>
      <c r="F34" s="22" t="n">
        <v>3.2</v>
      </c>
      <c r="G34" s="13" t="n">
        <f aca="false">IFERROR(SUMIFS(H328:H1942,B328:B1942,B34),0)</f>
        <v>0.836894273127753</v>
      </c>
      <c r="H34" s="13" t="n">
        <f aca="false">F34-G34</f>
        <v>2.36310572687225</v>
      </c>
      <c r="I34" s="23" t="n">
        <f aca="false">IFERROR((F34-G34)/F34,0)</f>
        <v>0.738470539647577</v>
      </c>
      <c r="J34" s="14" t="n">
        <v>4</v>
      </c>
      <c r="K34" s="24" t="s">
        <v>291</v>
      </c>
      <c r="L34" s="25" t="n">
        <f aca="false">IFERROR((F34-G34)/G34,0)</f>
        <v>2.82366100802737</v>
      </c>
    </row>
    <row r="35" customFormat="false" ht="15" hidden="false" customHeight="true" outlineLevel="0" collapsed="false">
      <c r="B35" s="14" t="n">
        <v>29</v>
      </c>
      <c r="C35" s="11" t="s">
        <v>291</v>
      </c>
      <c r="D35" s="11" t="s">
        <v>279</v>
      </c>
      <c r="E35" s="14"/>
      <c r="F35" s="22" t="n">
        <v>3.8</v>
      </c>
      <c r="G35" s="13" t="n">
        <f aca="false">IFERROR(SUMIFS(H328:H1942,B328:B1942,B35),0)</f>
        <v>1.60378854625551</v>
      </c>
      <c r="H35" s="13" t="n">
        <f aca="false">F35-G35</f>
        <v>2.19621145374449</v>
      </c>
      <c r="I35" s="23" t="n">
        <f aca="false">IFERROR((F35-G35)/F35,0)</f>
        <v>0.57795038256434</v>
      </c>
      <c r="J35" s="14" t="n">
        <v>4</v>
      </c>
      <c r="K35" s="24" t="s">
        <v>291</v>
      </c>
      <c r="L35" s="25" t="n">
        <f aca="false">IFERROR((F35-G35)/G35,0)</f>
        <v>1.36938966104488</v>
      </c>
    </row>
    <row r="36" customFormat="false" ht="15" hidden="false" customHeight="true" outlineLevel="0" collapsed="false">
      <c r="B36" s="14" t="n">
        <v>30</v>
      </c>
      <c r="C36" s="11" t="s">
        <v>292</v>
      </c>
      <c r="D36" s="11" t="s">
        <v>266</v>
      </c>
      <c r="E36" s="14"/>
      <c r="F36" s="22" t="n">
        <v>3.7</v>
      </c>
      <c r="G36" s="13" t="n">
        <f aca="false">IFERROR(SUMIFS(H328:H1942,B328:B1942,B36),0)</f>
        <v>0.78784140969163</v>
      </c>
      <c r="H36" s="13" t="n">
        <f aca="false">F36-G36</f>
        <v>2.91215859030837</v>
      </c>
      <c r="I36" s="23" t="n">
        <f aca="false">IFERROR((F36-G36)/F36,0)</f>
        <v>0.787069889272532</v>
      </c>
      <c r="J36" s="14" t="n">
        <v>4</v>
      </c>
      <c r="K36" s="24" t="s">
        <v>293</v>
      </c>
      <c r="L36" s="25" t="n">
        <f aca="false">IFERROR((F36-G36)/G36,0)</f>
        <v>3.69637664951912</v>
      </c>
    </row>
    <row r="37" customFormat="false" ht="15" hidden="false" customHeight="true" outlineLevel="0" collapsed="false">
      <c r="B37" s="14" t="n">
        <v>31</v>
      </c>
      <c r="C37" s="11" t="s">
        <v>292</v>
      </c>
      <c r="D37" s="11" t="s">
        <v>268</v>
      </c>
      <c r="E37" s="14"/>
      <c r="F37" s="22" t="n">
        <v>3.4</v>
      </c>
      <c r="G37" s="13" t="n">
        <f aca="false">IFERROR(SUMIFS(H328:H1942,B328:B1942,B37),0)</f>
        <v>0.551894273127753</v>
      </c>
      <c r="H37" s="13" t="n">
        <f aca="false">F37-G37</f>
        <v>2.84810572687225</v>
      </c>
      <c r="I37" s="23" t="n">
        <f aca="false">IFERROR((F37-G37)/F37,0)</f>
        <v>0.837678154962426</v>
      </c>
      <c r="J37" s="14" t="n">
        <v>4</v>
      </c>
      <c r="K37" s="24" t="s">
        <v>293</v>
      </c>
      <c r="L37" s="25" t="n">
        <f aca="false">IFERROR((F37-G37)/G37,0)</f>
        <v>5.16060025542784</v>
      </c>
    </row>
    <row r="38" customFormat="false" ht="15" hidden="false" customHeight="true" outlineLevel="0" collapsed="false">
      <c r="B38" s="14" t="n">
        <v>32</v>
      </c>
      <c r="C38" s="11" t="s">
        <v>292</v>
      </c>
      <c r="D38" s="11" t="s">
        <v>279</v>
      </c>
      <c r="E38" s="14"/>
      <c r="F38" s="22" t="n">
        <v>4</v>
      </c>
      <c r="G38" s="13" t="n">
        <f aca="false">IFERROR(SUMIFS(H328:H1942,B328:B1942,B38),0)</f>
        <v>1.03378854625551</v>
      </c>
      <c r="H38" s="13" t="n">
        <f aca="false">F38-G38</f>
        <v>2.96621145374449</v>
      </c>
      <c r="I38" s="23" t="n">
        <f aca="false">IFERROR((F38-G38)/F38,0)</f>
        <v>0.741552863436123</v>
      </c>
      <c r="J38" s="14" t="n">
        <v>4</v>
      </c>
      <c r="K38" s="24" t="s">
        <v>293</v>
      </c>
      <c r="L38" s="25" t="n">
        <f aca="false">IFERROR((F38-G38)/G38,0)</f>
        <v>2.86926322069289</v>
      </c>
    </row>
    <row r="39" customFormat="false" ht="15" hidden="false" customHeight="true" outlineLevel="0" collapsed="false">
      <c r="B39" s="14" t="n">
        <v>33</v>
      </c>
      <c r="C39" s="11" t="s">
        <v>294</v>
      </c>
      <c r="D39" s="11" t="s">
        <v>266</v>
      </c>
      <c r="E39" s="14"/>
      <c r="F39" s="22" t="n">
        <v>4.6</v>
      </c>
      <c r="G39" s="13" t="n">
        <f aca="false">IFERROR(SUMIFS(H328:H1942,B328:B1942,B39),0)</f>
        <v>1.29241189427313</v>
      </c>
      <c r="H39" s="13" t="n">
        <f aca="false">F39-G39</f>
        <v>3.30758810572687</v>
      </c>
      <c r="I39" s="23" t="n">
        <f aca="false">IFERROR((F39-G39)/F39,0)</f>
        <v>0.71904089254932</v>
      </c>
      <c r="J39" s="14" t="n">
        <v>6</v>
      </c>
      <c r="K39" s="24" t="s">
        <v>267</v>
      </c>
      <c r="L39" s="25" t="n">
        <f aca="false">IFERROR((F39-G39)/G39,0)</f>
        <v>2.55923681945616</v>
      </c>
    </row>
    <row r="40" customFormat="false" ht="15" hidden="false" customHeight="true" outlineLevel="0" collapsed="false">
      <c r="B40" s="14" t="n">
        <v>34</v>
      </c>
      <c r="C40" s="11" t="s">
        <v>294</v>
      </c>
      <c r="D40" s="11" t="s">
        <v>268</v>
      </c>
      <c r="E40" s="14"/>
      <c r="F40" s="22" t="n">
        <v>4.4</v>
      </c>
      <c r="G40" s="13" t="n">
        <f aca="false">IFERROR(SUMIFS(H328:H1942,B328:B1942,B40),0)</f>
        <v>1.26241189427313</v>
      </c>
      <c r="H40" s="13" t="n">
        <f aca="false">F40-G40</f>
        <v>3.13758810572687</v>
      </c>
      <c r="I40" s="23" t="n">
        <f aca="false">IFERROR((F40-G40)/F40,0)</f>
        <v>0.713088205847017</v>
      </c>
      <c r="J40" s="14" t="n">
        <v>6</v>
      </c>
      <c r="K40" s="24" t="s">
        <v>267</v>
      </c>
      <c r="L40" s="25" t="n">
        <f aca="false">IFERROR((F40-G40)/G40,0)</f>
        <v>2.48539174888988</v>
      </c>
    </row>
    <row r="41" customFormat="false" ht="15" hidden="false" customHeight="true" outlineLevel="0" collapsed="false">
      <c r="B41" s="14" t="n">
        <v>35</v>
      </c>
      <c r="C41" s="11" t="s">
        <v>295</v>
      </c>
      <c r="D41" s="11" t="s">
        <v>266</v>
      </c>
      <c r="E41" s="14"/>
      <c r="F41" s="22" t="n">
        <v>4.6</v>
      </c>
      <c r="G41" s="13" t="n">
        <f aca="false">IFERROR(SUMIFS(H328:H1942,B328:B1942,B41),0)</f>
        <v>0.999911894273128</v>
      </c>
      <c r="H41" s="13" t="n">
        <f aca="false">F41-G41</f>
        <v>3.60008810572687</v>
      </c>
      <c r="I41" s="23" t="n">
        <f aca="false">IFERROR((F41-G41)/F41,0)</f>
        <v>0.782627849071059</v>
      </c>
      <c r="J41" s="14" t="n">
        <v>5</v>
      </c>
      <c r="K41" s="24" t="s">
        <v>267</v>
      </c>
      <c r="L41" s="25" t="n">
        <f aca="false">IFERROR((F41-G41)/G41,0)</f>
        <v>3.60040532205481</v>
      </c>
    </row>
    <row r="42" customFormat="false" ht="15" hidden="false" customHeight="true" outlineLevel="0" collapsed="false">
      <c r="B42" s="14" t="n">
        <v>36</v>
      </c>
      <c r="C42" s="11" t="s">
        <v>295</v>
      </c>
      <c r="D42" s="11" t="s">
        <v>268</v>
      </c>
      <c r="E42" s="14"/>
      <c r="F42" s="22" t="n">
        <v>4.2</v>
      </c>
      <c r="G42" s="13" t="n">
        <f aca="false">IFERROR(SUMIFS(H328:H1942,B328:B1942,B42),0)</f>
        <v>0.969911894273128</v>
      </c>
      <c r="H42" s="13" t="n">
        <f aca="false">F42-G42</f>
        <v>3.23008810572687</v>
      </c>
      <c r="I42" s="23" t="n">
        <f aca="false">IFERROR((F42-G42)/F42,0)</f>
        <v>0.769068596601636</v>
      </c>
      <c r="J42" s="14" t="n">
        <v>5</v>
      </c>
      <c r="K42" s="24" t="s">
        <v>267</v>
      </c>
      <c r="L42" s="25" t="n">
        <f aca="false">IFERROR((F42-G42)/G42,0)</f>
        <v>3.3302902302766</v>
      </c>
    </row>
    <row r="43" customFormat="false" ht="15" hidden="false" customHeight="true" outlineLevel="0" collapsed="false">
      <c r="B43" s="14" t="n">
        <v>37</v>
      </c>
      <c r="C43" s="11" t="s">
        <v>296</v>
      </c>
      <c r="D43" s="11" t="s">
        <v>266</v>
      </c>
      <c r="E43" s="14"/>
      <c r="F43" s="22" t="n">
        <v>3</v>
      </c>
      <c r="G43" s="13" t="n">
        <f aca="false">IFERROR(SUMIFS(H328:H1942,B328:B1942,B43),0)</f>
        <v>1.74</v>
      </c>
      <c r="H43" s="13" t="n">
        <f aca="false">F43-G43</f>
        <v>1.26</v>
      </c>
      <c r="I43" s="23" t="n">
        <f aca="false">IFERROR((F43-G43)/F43,0)</f>
        <v>0.42</v>
      </c>
      <c r="J43" s="14" t="n">
        <v>1</v>
      </c>
      <c r="K43" s="24" t="s">
        <v>270</v>
      </c>
      <c r="L43" s="25" t="n">
        <f aca="false">IFERROR((F43-G43)/G43,0)</f>
        <v>0.724137931034483</v>
      </c>
    </row>
    <row r="44" customFormat="false" ht="15" hidden="false" customHeight="true" outlineLevel="0" collapsed="false">
      <c r="B44" s="14" t="n">
        <v>38</v>
      </c>
      <c r="C44" s="11" t="s">
        <v>297</v>
      </c>
      <c r="D44" s="11" t="s">
        <v>266</v>
      </c>
      <c r="E44" s="14"/>
      <c r="F44" s="22" t="n">
        <v>4.2</v>
      </c>
      <c r="G44" s="13" t="n">
        <f aca="false">IFERROR(SUMIFS(H328:H1942,B328:B1942,B44),0)</f>
        <v>0.59913362701909</v>
      </c>
      <c r="H44" s="13" t="n">
        <f aca="false">F44-G44</f>
        <v>3.60086637298091</v>
      </c>
      <c r="I44" s="23" t="n">
        <f aca="false">IFERROR((F44-G44)/F44,0)</f>
        <v>0.857349136424026</v>
      </c>
      <c r="J44" s="14" t="n">
        <v>4</v>
      </c>
      <c r="K44" s="24" t="s">
        <v>290</v>
      </c>
      <c r="L44" s="25" t="n">
        <f aca="false">IFERROR((F44-G44)/G44,0)</f>
        <v>6.010122300924</v>
      </c>
    </row>
    <row r="45" customFormat="false" ht="15" hidden="false" customHeight="true" outlineLevel="0" collapsed="false">
      <c r="B45" s="14" t="n">
        <v>39</v>
      </c>
      <c r="C45" s="11" t="s">
        <v>297</v>
      </c>
      <c r="D45" s="11" t="s">
        <v>268</v>
      </c>
      <c r="E45" s="14"/>
      <c r="F45" s="22" t="n">
        <v>4</v>
      </c>
      <c r="G45" s="13" t="n">
        <f aca="false">IFERROR(SUMIFS(H328:H1942,B328:B1942,B45),0)</f>
        <v>0.421204111600587</v>
      </c>
      <c r="H45" s="13" t="n">
        <f aca="false">F45-G45</f>
        <v>3.57879588839941</v>
      </c>
      <c r="I45" s="23" t="n">
        <f aca="false">IFERROR((F45-G45)/F45,0)</f>
        <v>0.894698972099853</v>
      </c>
      <c r="J45" s="14" t="n">
        <v>4</v>
      </c>
      <c r="K45" s="24" t="s">
        <v>290</v>
      </c>
      <c r="L45" s="25" t="n">
        <f aca="false">IFERROR((F45-G45)/G45,0)</f>
        <v>8.49658346116302</v>
      </c>
    </row>
    <row r="46" customFormat="false" ht="15" hidden="false" customHeight="true" outlineLevel="0" collapsed="false">
      <c r="B46" s="14" t="n">
        <v>40</v>
      </c>
      <c r="C46" s="11" t="s">
        <v>297</v>
      </c>
      <c r="D46" s="11" t="s">
        <v>279</v>
      </c>
      <c r="E46" s="14"/>
      <c r="F46" s="22" t="n">
        <v>4.6</v>
      </c>
      <c r="G46" s="13" t="n">
        <f aca="false">IFERROR(SUMIFS(H328:H1942,B328:B1942,B46),0)</f>
        <v>0.787063142437592</v>
      </c>
      <c r="H46" s="13" t="n">
        <f aca="false">F46-G46</f>
        <v>3.81293685756241</v>
      </c>
      <c r="I46" s="23" t="n">
        <f aca="false">IFERROR((F46-G46)/F46,0)</f>
        <v>0.828899316861393</v>
      </c>
      <c r="J46" s="14" t="n">
        <v>4</v>
      </c>
      <c r="K46" s="24" t="s">
        <v>290</v>
      </c>
      <c r="L46" s="25" t="n">
        <f aca="false">IFERROR((F46-G46)/G46,0)</f>
        <v>4.84451202447807</v>
      </c>
    </row>
    <row r="47" customFormat="false" ht="15" hidden="false" customHeight="true" outlineLevel="0" collapsed="false">
      <c r="B47" s="14" t="n">
        <v>41</v>
      </c>
      <c r="C47" s="11" t="s">
        <v>298</v>
      </c>
      <c r="D47" s="11" t="s">
        <v>266</v>
      </c>
      <c r="E47" s="14"/>
      <c r="F47" s="22" t="n">
        <v>4.1</v>
      </c>
      <c r="G47" s="13" t="n">
        <f aca="false">IFERROR(SUMIFS(H328:H1942,B328:B1942,B47),0)</f>
        <v>0.944823788546256</v>
      </c>
      <c r="H47" s="13" t="n">
        <f aca="false">F47-G47</f>
        <v>3.15517621145374</v>
      </c>
      <c r="I47" s="23" t="n">
        <f aca="false">IFERROR((F47-G47)/F47,0)</f>
        <v>0.769555173525304</v>
      </c>
      <c r="J47" s="14" t="n">
        <v>4</v>
      </c>
      <c r="K47" s="24" t="s">
        <v>299</v>
      </c>
      <c r="L47" s="25" t="n">
        <f aca="false">IFERROR((F47-G47)/G47,0)</f>
        <v>3.33943350040797</v>
      </c>
    </row>
    <row r="48" customFormat="false" ht="15" hidden="false" customHeight="true" outlineLevel="0" collapsed="false">
      <c r="B48" s="14" t="n">
        <v>42</v>
      </c>
      <c r="C48" s="11" t="s">
        <v>298</v>
      </c>
      <c r="D48" s="11" t="s">
        <v>268</v>
      </c>
      <c r="E48" s="14"/>
      <c r="F48" s="22" t="n">
        <v>3.9</v>
      </c>
      <c r="G48" s="13" t="n">
        <f aca="false">IFERROR(SUMIFS(H328:H1942,B328:B1942,B48),0)</f>
        <v>0.836894273127753</v>
      </c>
      <c r="H48" s="13" t="n">
        <f aca="false">F48-G48</f>
        <v>3.06310572687225</v>
      </c>
      <c r="I48" s="23" t="n">
        <f aca="false">IFERROR((F48-G48)/F48,0)</f>
        <v>0.785411724839038</v>
      </c>
      <c r="J48" s="14" t="n">
        <v>4</v>
      </c>
      <c r="K48" s="24" t="s">
        <v>299</v>
      </c>
      <c r="L48" s="25" t="n">
        <f aca="false">IFERROR((F48-G48)/G48,0)</f>
        <v>3.66008685353336</v>
      </c>
    </row>
    <row r="49" customFormat="false" ht="15" hidden="false" customHeight="true" outlineLevel="0" collapsed="false">
      <c r="B49" s="14" t="n">
        <v>43</v>
      </c>
      <c r="C49" s="11" t="s">
        <v>298</v>
      </c>
      <c r="D49" s="11" t="s">
        <v>279</v>
      </c>
      <c r="E49" s="14"/>
      <c r="F49" s="22" t="n">
        <v>4.5</v>
      </c>
      <c r="G49" s="13" t="n">
        <f aca="false">IFERROR(SUMIFS(H328:H1942,B328:B1942,B49),0)</f>
        <v>1.60378854625551</v>
      </c>
      <c r="H49" s="13" t="n">
        <f aca="false">F49-G49</f>
        <v>2.89621145374449</v>
      </c>
      <c r="I49" s="23" t="n">
        <f aca="false">IFERROR((F49-G49)/F49,0)</f>
        <v>0.643602545276554</v>
      </c>
      <c r="J49" s="14" t="n">
        <v>4</v>
      </c>
      <c r="K49" s="24" t="s">
        <v>299</v>
      </c>
      <c r="L49" s="25" t="n">
        <f aca="false">IFERROR((F49-G49)/G49,0)</f>
        <v>1.80585617755315</v>
      </c>
    </row>
    <row r="50" customFormat="false" ht="15" hidden="false" customHeight="true" outlineLevel="0" collapsed="false">
      <c r="B50" s="14" t="n">
        <v>44</v>
      </c>
      <c r="C50" s="11" t="s">
        <v>300</v>
      </c>
      <c r="D50" s="11" t="s">
        <v>266</v>
      </c>
      <c r="E50" s="14"/>
      <c r="F50" s="22" t="n">
        <v>4.5</v>
      </c>
      <c r="G50" s="13" t="n">
        <f aca="false">IFERROR(SUMIFS(H328:H1942,B328:B1942,B50),0)</f>
        <v>1.08241189427313</v>
      </c>
      <c r="H50" s="13" t="n">
        <f aca="false">F50-G50</f>
        <v>3.41758810572687</v>
      </c>
      <c r="I50" s="23" t="n">
        <f aca="false">IFERROR((F50-G50)/F50,0)</f>
        <v>0.75946402349486</v>
      </c>
      <c r="J50" s="14" t="n">
        <v>5</v>
      </c>
      <c r="K50" s="24" t="s">
        <v>267</v>
      </c>
      <c r="L50" s="25" t="n">
        <f aca="false">IFERROR((F50-G50)/G50,0)</f>
        <v>3.15738225328897</v>
      </c>
    </row>
    <row r="51" customFormat="false" ht="15" hidden="false" customHeight="true" outlineLevel="0" collapsed="false">
      <c r="B51" s="14" t="n">
        <v>45</v>
      </c>
      <c r="C51" s="11" t="s">
        <v>300</v>
      </c>
      <c r="D51" s="11" t="s">
        <v>268</v>
      </c>
      <c r="E51" s="14"/>
      <c r="F51" s="22" t="n">
        <v>4.1</v>
      </c>
      <c r="G51" s="13" t="n">
        <f aca="false">IFERROR(SUMIFS(H328:H1942,B328:B1942,B51),0)</f>
        <v>1.05241189427313</v>
      </c>
      <c r="H51" s="13" t="n">
        <f aca="false">F51-G51</f>
        <v>3.04758810572687</v>
      </c>
      <c r="I51" s="23" t="n">
        <f aca="false">IFERROR((F51-G51)/F51,0)</f>
        <v>0.743314172128505</v>
      </c>
      <c r="J51" s="14" t="n">
        <v>5</v>
      </c>
      <c r="K51" s="24" t="s">
        <v>267</v>
      </c>
      <c r="L51" s="25" t="n">
        <f aca="false">IFERROR((F51-G51)/G51,0)</f>
        <v>2.8958130579014</v>
      </c>
    </row>
    <row r="52" customFormat="false" ht="15" hidden="false" customHeight="true" outlineLevel="0" collapsed="false">
      <c r="B52" s="14" t="n">
        <v>46</v>
      </c>
      <c r="C52" s="11" t="s">
        <v>301</v>
      </c>
      <c r="D52" s="11" t="s">
        <v>274</v>
      </c>
      <c r="E52" s="14"/>
      <c r="F52" s="22" t="n">
        <v>3.1</v>
      </c>
      <c r="G52" s="13" t="n">
        <f aca="false">IFERROR(SUMIFS(H328:H1942,B328:B1942,B52),0)</f>
        <v>0.836894273127753</v>
      </c>
      <c r="H52" s="13" t="n">
        <f aca="false">F52-G52</f>
        <v>2.26310572687225</v>
      </c>
      <c r="I52" s="23" t="n">
        <f aca="false">IFERROR((F52-G52)/F52,0)</f>
        <v>0.73003410544266</v>
      </c>
      <c r="J52" s="14" t="n">
        <v>4</v>
      </c>
      <c r="K52" s="24" t="s">
        <v>301</v>
      </c>
      <c r="L52" s="25" t="n">
        <f aca="false">IFERROR((F52-G52)/G52,0)</f>
        <v>2.70417160152652</v>
      </c>
    </row>
    <row r="53" customFormat="false" ht="15" hidden="false" customHeight="true" outlineLevel="0" collapsed="false">
      <c r="B53" s="14" t="n">
        <v>47</v>
      </c>
      <c r="C53" s="11" t="s">
        <v>302</v>
      </c>
      <c r="D53" s="11" t="s">
        <v>274</v>
      </c>
      <c r="E53" s="14" t="s">
        <v>275</v>
      </c>
      <c r="F53" s="22" t="n">
        <v>1.9</v>
      </c>
      <c r="G53" s="13" t="n">
        <f aca="false">IFERROR(SUMIFS(H328:H1942,B328:B1942,B53),0)</f>
        <v>0.199875</v>
      </c>
      <c r="H53" s="13" t="n">
        <f aca="false">F53-G53</f>
        <v>1.700125</v>
      </c>
      <c r="I53" s="23" t="n">
        <f aca="false">IFERROR((F53-G53)/F53,0)</f>
        <v>0.894802631578947</v>
      </c>
      <c r="J53" s="14" t="n">
        <v>3</v>
      </c>
      <c r="K53" s="24" t="s">
        <v>276</v>
      </c>
      <c r="L53" s="25" t="n">
        <f aca="false">IFERROR((F53-G53)/G53,0)</f>
        <v>8.50594121325829</v>
      </c>
    </row>
    <row r="54" customFormat="false" ht="15" hidden="false" customHeight="true" outlineLevel="0" collapsed="false">
      <c r="B54" s="14" t="n">
        <v>48</v>
      </c>
      <c r="C54" s="11" t="s">
        <v>303</v>
      </c>
      <c r="D54" s="11" t="s">
        <v>274</v>
      </c>
      <c r="E54" s="14"/>
      <c r="F54" s="22" t="n">
        <v>2</v>
      </c>
      <c r="G54" s="13" t="n">
        <f aca="false">IFERROR(SUMIFS(H328:H1942,B328:B1942,B54),0)</f>
        <v>0.705</v>
      </c>
      <c r="H54" s="13" t="n">
        <f aca="false">F54-G54</f>
        <v>1.295</v>
      </c>
      <c r="I54" s="23" t="n">
        <f aca="false">IFERROR((F54-G54)/F54,0)</f>
        <v>0.6475</v>
      </c>
      <c r="J54" s="14" t="n">
        <v>3</v>
      </c>
      <c r="K54" s="24" t="s">
        <v>304</v>
      </c>
      <c r="L54" s="25" t="n">
        <f aca="false">IFERROR((F54-G54)/G54,0)</f>
        <v>1.83687943262411</v>
      </c>
    </row>
    <row r="55" customFormat="false" ht="15" hidden="false" customHeight="true" outlineLevel="0" collapsed="false">
      <c r="B55" s="14" t="n">
        <v>49</v>
      </c>
      <c r="C55" s="11" t="s">
        <v>305</v>
      </c>
      <c r="D55" s="11" t="s">
        <v>274</v>
      </c>
      <c r="E55" s="14"/>
      <c r="F55" s="22" t="n">
        <v>2.4</v>
      </c>
      <c r="G55" s="13" t="n">
        <f aca="false">IFERROR(SUMIFS(H328:H1942,B328:B1942,B55),0)</f>
        <v>0.841</v>
      </c>
      <c r="H55" s="13" t="n">
        <f aca="false">F55-G55</f>
        <v>1.559</v>
      </c>
      <c r="I55" s="23" t="n">
        <f aca="false">IFERROR((F55-G55)/F55,0)</f>
        <v>0.649583333333333</v>
      </c>
      <c r="J55" s="14" t="n">
        <v>4</v>
      </c>
      <c r="K55" s="24" t="s">
        <v>306</v>
      </c>
      <c r="L55" s="25" t="n">
        <f aca="false">IFERROR((F55-G55)/G55,0)</f>
        <v>1.85374554102259</v>
      </c>
    </row>
    <row r="56" customFormat="false" ht="15" hidden="false" customHeight="true" outlineLevel="0" collapsed="false">
      <c r="B56" s="14" t="n">
        <v>50</v>
      </c>
      <c r="C56" s="11" t="s">
        <v>307</v>
      </c>
      <c r="D56" s="11" t="s">
        <v>274</v>
      </c>
      <c r="E56" s="14"/>
      <c r="F56" s="22" t="n">
        <v>2.1</v>
      </c>
      <c r="G56" s="13" t="n">
        <f aca="false">IFERROR(SUMIFS(H328:H1942,B328:B1942,B56),0)</f>
        <v>0.814911894273128</v>
      </c>
      <c r="H56" s="13" t="n">
        <f aca="false">F56-G56</f>
        <v>1.28508810572687</v>
      </c>
      <c r="I56" s="23" t="n">
        <f aca="false">IFERROR((F56-G56)/F56,0)</f>
        <v>0.611946717012796</v>
      </c>
      <c r="J56" s="14" t="n">
        <v>4</v>
      </c>
      <c r="K56" s="24" t="s">
        <v>308</v>
      </c>
      <c r="L56" s="25" t="n">
        <f aca="false">IFERROR((F56-G56)/G56,0)</f>
        <v>1.57696569992162</v>
      </c>
    </row>
    <row r="57" customFormat="false" ht="15" hidden="false" customHeight="true" outlineLevel="0" collapsed="false">
      <c r="B57" s="14" t="n">
        <v>51</v>
      </c>
      <c r="C57" s="11" t="s">
        <v>309</v>
      </c>
      <c r="D57" s="11" t="s">
        <v>274</v>
      </c>
      <c r="E57" s="14" t="s">
        <v>275</v>
      </c>
      <c r="F57" s="22" t="n">
        <v>1.9</v>
      </c>
      <c r="G57" s="13" t="n">
        <f aca="false">IFERROR(SUMIFS(H328:H1942,B328:B1942,B57),0)</f>
        <v>0.199875</v>
      </c>
      <c r="H57" s="13" t="n">
        <f aca="false">F57-G57</f>
        <v>1.700125</v>
      </c>
      <c r="I57" s="23" t="n">
        <f aca="false">IFERROR((F57-G57)/F57,0)</f>
        <v>0.894802631578947</v>
      </c>
      <c r="J57" s="14" t="n">
        <v>3</v>
      </c>
      <c r="K57" s="24" t="s">
        <v>276</v>
      </c>
      <c r="L57" s="25" t="n">
        <f aca="false">IFERROR((F57-G57)/G57,0)</f>
        <v>8.50594121325829</v>
      </c>
    </row>
    <row r="58" customFormat="false" ht="15" hidden="false" customHeight="true" outlineLevel="0" collapsed="false">
      <c r="B58" s="26" t="n">
        <v>52</v>
      </c>
      <c r="C58" s="26" t="s">
        <v>310</v>
      </c>
      <c r="D58" s="26" t="s">
        <v>266</v>
      </c>
      <c r="E58" s="26"/>
      <c r="F58" s="27" t="n">
        <v>0</v>
      </c>
      <c r="G58" s="27" t="n">
        <f aca="false">IFERROR(SUMIFS(H328:H1942,B328:B1942,B58),0)</f>
        <v>0</v>
      </c>
      <c r="H58" s="27" t="n">
        <f aca="false">F58-G58</f>
        <v>0</v>
      </c>
      <c r="I58" s="28" t="n">
        <f aca="false">IFERROR((F58-G58)/F58,0)</f>
        <v>0</v>
      </c>
      <c r="J58" s="26" t="n">
        <v>5</v>
      </c>
      <c r="K58" s="29" t="s">
        <v>311</v>
      </c>
      <c r="L58" s="30" t="n">
        <f aca="false">IFERROR((F58-G58)/G58,0)</f>
        <v>0</v>
      </c>
    </row>
    <row r="59" customFormat="false" ht="15" hidden="false" customHeight="true" outlineLevel="0" collapsed="false">
      <c r="B59" s="26" t="n">
        <v>53</v>
      </c>
      <c r="C59" s="26" t="s">
        <v>310</v>
      </c>
      <c r="D59" s="26" t="s">
        <v>268</v>
      </c>
      <c r="E59" s="26"/>
      <c r="F59" s="27" t="n">
        <v>0</v>
      </c>
      <c r="G59" s="27" t="n">
        <f aca="false">IFERROR(SUMIFS(H328:H1942,B328:B1942,B59),0)</f>
        <v>0</v>
      </c>
      <c r="H59" s="27" t="n">
        <f aca="false">F59-G59</f>
        <v>0</v>
      </c>
      <c r="I59" s="28" t="n">
        <f aca="false">IFERROR((F59-G59)/F59,0)</f>
        <v>0</v>
      </c>
      <c r="J59" s="26" t="n">
        <v>5</v>
      </c>
      <c r="K59" s="29" t="s">
        <v>311</v>
      </c>
      <c r="L59" s="30" t="n">
        <f aca="false">IFERROR((F59-G59)/G59,0)</f>
        <v>0</v>
      </c>
    </row>
    <row r="60" customFormat="false" ht="15" hidden="false" customHeight="true" outlineLevel="0" collapsed="false">
      <c r="B60" s="14" t="n">
        <v>54</v>
      </c>
      <c r="C60" s="11" t="s">
        <v>312</v>
      </c>
      <c r="D60" s="11" t="s">
        <v>274</v>
      </c>
      <c r="E60" s="14" t="s">
        <v>275</v>
      </c>
      <c r="F60" s="22" t="n">
        <v>1.9</v>
      </c>
      <c r="G60" s="13" t="n">
        <f aca="false">IFERROR(SUMIFS(H328:H1942,B328:B1942,B60),0)</f>
        <v>0.199875</v>
      </c>
      <c r="H60" s="13" t="n">
        <f aca="false">F60-G60</f>
        <v>1.700125</v>
      </c>
      <c r="I60" s="23" t="n">
        <f aca="false">IFERROR((F60-G60)/F60,0)</f>
        <v>0.894802631578947</v>
      </c>
      <c r="J60" s="14" t="n">
        <v>3</v>
      </c>
      <c r="K60" s="24" t="s">
        <v>276</v>
      </c>
      <c r="L60" s="25" t="n">
        <f aca="false">IFERROR((F60-G60)/G60,0)</f>
        <v>8.50594121325829</v>
      </c>
    </row>
    <row r="61" customFormat="false" ht="15" hidden="false" customHeight="true" outlineLevel="0" collapsed="false">
      <c r="B61" s="14" t="n">
        <v>55</v>
      </c>
      <c r="C61" s="11" t="s">
        <v>313</v>
      </c>
      <c r="D61" s="11" t="s">
        <v>266</v>
      </c>
      <c r="E61" s="14"/>
      <c r="F61" s="22" t="n">
        <v>3.7</v>
      </c>
      <c r="G61" s="13" t="n">
        <f aca="false">IFERROR(SUMIFS(H328:H1942,B328:B1942,B61),0)</f>
        <v>1.58833333333333</v>
      </c>
      <c r="H61" s="13" t="n">
        <f aca="false">F61-G61</f>
        <v>2.11166666666667</v>
      </c>
      <c r="I61" s="23" t="n">
        <f aca="false">IFERROR((F61-G61)/F61,0)</f>
        <v>0.570720720720721</v>
      </c>
      <c r="J61" s="14" t="n">
        <v>4</v>
      </c>
      <c r="K61" s="24" t="s">
        <v>314</v>
      </c>
      <c r="L61" s="25" t="n">
        <f aca="false">IFERROR((F61-G61)/G61,0)</f>
        <v>1.32948583420777</v>
      </c>
    </row>
    <row r="62" customFormat="false" ht="15" hidden="false" customHeight="true" outlineLevel="0" collapsed="false">
      <c r="B62" s="14" t="n">
        <v>56</v>
      </c>
      <c r="C62" s="11" t="s">
        <v>313</v>
      </c>
      <c r="D62" s="11" t="s">
        <v>268</v>
      </c>
      <c r="E62" s="14"/>
      <c r="F62" s="22" t="n">
        <v>3.5</v>
      </c>
      <c r="G62" s="13" t="n">
        <f aca="false">IFERROR(SUMIFS(H328:H1942,B328:B1942,B62),0)</f>
        <v>1.55833333333333</v>
      </c>
      <c r="H62" s="13" t="n">
        <f aca="false">F62-G62</f>
        <v>1.94166666666667</v>
      </c>
      <c r="I62" s="23" t="n">
        <f aca="false">IFERROR((F62-G62)/F62,0)</f>
        <v>0.554761904761905</v>
      </c>
      <c r="J62" s="14" t="n">
        <v>4</v>
      </c>
      <c r="K62" s="24" t="s">
        <v>314</v>
      </c>
      <c r="L62" s="25" t="n">
        <f aca="false">IFERROR((F62-G62)/G62,0)</f>
        <v>1.24598930481283</v>
      </c>
    </row>
    <row r="63" customFormat="false" ht="15" hidden="false" customHeight="true" outlineLevel="0" collapsed="false">
      <c r="B63" s="14" t="n">
        <v>57</v>
      </c>
      <c r="C63" s="11" t="s">
        <v>315</v>
      </c>
      <c r="D63" s="11" t="s">
        <v>274</v>
      </c>
      <c r="E63" s="14"/>
      <c r="F63" s="22" t="n">
        <v>3.25</v>
      </c>
      <c r="G63" s="13" t="n">
        <f aca="false">IFERROR(SUMIFS(H328:H1942,B328:B1942,B63),0)</f>
        <v>0.836894273127753</v>
      </c>
      <c r="H63" s="13" t="n">
        <f aca="false">F63-G63</f>
        <v>2.41310572687225</v>
      </c>
      <c r="I63" s="23" t="n">
        <f aca="false">IFERROR((F63-G63)/F63,0)</f>
        <v>0.742494069806845</v>
      </c>
      <c r="J63" s="14" t="n">
        <v>4</v>
      </c>
      <c r="K63" s="24" t="s">
        <v>316</v>
      </c>
      <c r="L63" s="25" t="n">
        <f aca="false">IFERROR((F63-G63)/G63,0)</f>
        <v>2.8834057112778</v>
      </c>
    </row>
    <row r="64" customFormat="false" ht="15" hidden="false" customHeight="true" outlineLevel="0" collapsed="false">
      <c r="B64" s="14" t="n">
        <v>58</v>
      </c>
      <c r="C64" s="11" t="s">
        <v>317</v>
      </c>
      <c r="D64" s="11" t="s">
        <v>274</v>
      </c>
      <c r="E64" s="14"/>
      <c r="F64" s="22" t="n">
        <v>2</v>
      </c>
      <c r="G64" s="13" t="n">
        <f aca="false">IFERROR(SUMIFS(H328:H1942,B328:B1942,B64),0)</f>
        <v>0.199875</v>
      </c>
      <c r="H64" s="13" t="n">
        <f aca="false">F64-G64</f>
        <v>1.800125</v>
      </c>
      <c r="I64" s="23" t="n">
        <f aca="false">IFERROR((F64-G64)/F64,0)</f>
        <v>0.9000625</v>
      </c>
      <c r="J64" s="14" t="n">
        <v>3</v>
      </c>
      <c r="K64" s="24" t="s">
        <v>276</v>
      </c>
      <c r="L64" s="25" t="n">
        <f aca="false">IFERROR((F64-G64)/G64,0)</f>
        <v>9.00625390869293</v>
      </c>
    </row>
    <row r="65" customFormat="false" ht="15" hidden="false" customHeight="true" outlineLevel="0" collapsed="false">
      <c r="B65" s="14" t="n">
        <v>59</v>
      </c>
      <c r="C65" s="11" t="s">
        <v>318</v>
      </c>
      <c r="D65" s="11" t="s">
        <v>274</v>
      </c>
      <c r="E65" s="14"/>
      <c r="F65" s="22" t="n">
        <v>2</v>
      </c>
      <c r="G65" s="13" t="n">
        <f aca="false">IFERROR(SUMIFS(H328:H1942,B328:B1942,B65),0)</f>
        <v>0.199875</v>
      </c>
      <c r="H65" s="13" t="n">
        <f aca="false">F65-G65</f>
        <v>1.800125</v>
      </c>
      <c r="I65" s="23" t="n">
        <f aca="false">IFERROR((F65-G65)/F65,0)</f>
        <v>0.9000625</v>
      </c>
      <c r="J65" s="14" t="n">
        <v>3</v>
      </c>
      <c r="K65" s="24" t="s">
        <v>276</v>
      </c>
      <c r="L65" s="25" t="n">
        <f aca="false">IFERROR((F65-G65)/G65,0)</f>
        <v>9.00625390869293</v>
      </c>
    </row>
    <row r="66" customFormat="false" ht="15" hidden="false" customHeight="true" outlineLevel="0" collapsed="false">
      <c r="B66" s="14" t="n">
        <v>60</v>
      </c>
      <c r="C66" s="11" t="s">
        <v>319</v>
      </c>
      <c r="D66" s="11" t="s">
        <v>274</v>
      </c>
      <c r="E66" s="14" t="s">
        <v>275</v>
      </c>
      <c r="F66" s="22" t="n">
        <v>1.9</v>
      </c>
      <c r="G66" s="13" t="n">
        <f aca="false">IFERROR(SUMIFS(H328:H1942,B328:B1942,B66),0)</f>
        <v>0.199875</v>
      </c>
      <c r="H66" s="13" t="n">
        <f aca="false">F66-G66</f>
        <v>1.700125</v>
      </c>
      <c r="I66" s="23" t="n">
        <f aca="false">IFERROR((F66-G66)/F66,0)</f>
        <v>0.894802631578947</v>
      </c>
      <c r="J66" s="14" t="n">
        <v>3</v>
      </c>
      <c r="K66" s="24" t="s">
        <v>276</v>
      </c>
      <c r="L66" s="25" t="n">
        <f aca="false">IFERROR((F66-G66)/G66,0)</f>
        <v>8.50594121325829</v>
      </c>
    </row>
    <row r="67" customFormat="false" ht="15" hidden="false" customHeight="true" outlineLevel="0" collapsed="false">
      <c r="B67" s="14" t="n">
        <v>61</v>
      </c>
      <c r="C67" s="11" t="s">
        <v>320</v>
      </c>
      <c r="D67" s="11" t="s">
        <v>266</v>
      </c>
      <c r="E67" s="14"/>
      <c r="F67" s="22" t="n">
        <v>4.8</v>
      </c>
      <c r="G67" s="13" t="n">
        <f aca="false">IFERROR(SUMIFS(H328:H1942,B328:B1942,B67),0)</f>
        <v>0.58529919236417</v>
      </c>
      <c r="H67" s="13" t="n">
        <f aca="false">F67-G67</f>
        <v>4.21470080763583</v>
      </c>
      <c r="I67" s="23" t="n">
        <f aca="false">IFERROR((F67-G67)/F67,0)</f>
        <v>0.878062668257464</v>
      </c>
      <c r="J67" s="14" t="n">
        <v>5</v>
      </c>
      <c r="K67" s="24" t="s">
        <v>321</v>
      </c>
      <c r="L67" s="25" t="n">
        <f aca="false">IFERROR((F67-G67)/G67,0)</f>
        <v>7.20093391998645</v>
      </c>
    </row>
    <row r="68" customFormat="false" ht="15" hidden="false" customHeight="true" outlineLevel="0" collapsed="false">
      <c r="B68" s="14" t="n">
        <v>62</v>
      </c>
      <c r="C68" s="11" t="s">
        <v>320</v>
      </c>
      <c r="D68" s="11" t="s">
        <v>268</v>
      </c>
      <c r="E68" s="14"/>
      <c r="F68" s="22" t="n">
        <v>4.4</v>
      </c>
      <c r="G68" s="13" t="n">
        <f aca="false">IFERROR(SUMIFS(H328:H1942,B328:B1942,B68),0)</f>
        <v>0.55529919236417</v>
      </c>
      <c r="H68" s="13" t="n">
        <f aca="false">F68-G68</f>
        <v>3.84470080763583</v>
      </c>
      <c r="I68" s="23" t="n">
        <f aca="false">IFERROR((F68-G68)/F68,0)</f>
        <v>0.873795638099052</v>
      </c>
      <c r="J68" s="14" t="n">
        <v>5</v>
      </c>
      <c r="K68" s="24" t="s">
        <v>321</v>
      </c>
      <c r="L68" s="25" t="n">
        <f aca="false">IFERROR((F68-G68)/G68,0)</f>
        <v>6.92365640091628</v>
      </c>
    </row>
    <row r="69" customFormat="false" ht="15" hidden="false" customHeight="true" outlineLevel="0" collapsed="false">
      <c r="B69" s="14" t="n">
        <v>63</v>
      </c>
      <c r="C69" s="11" t="s">
        <v>322</v>
      </c>
      <c r="D69" s="11" t="s">
        <v>266</v>
      </c>
      <c r="E69" s="14"/>
      <c r="F69" s="22" t="n">
        <v>4.8</v>
      </c>
      <c r="G69" s="13" t="n">
        <f aca="false">IFERROR(SUMIFS(H328:H1942,B328:B1942,B69),0)</f>
        <v>0.77129919236417</v>
      </c>
      <c r="H69" s="13" t="n">
        <f aca="false">F69-G69</f>
        <v>4.02870080763583</v>
      </c>
      <c r="I69" s="23" t="n">
        <f aca="false">IFERROR((F69-G69)/F69,0)</f>
        <v>0.839312668257464</v>
      </c>
      <c r="J69" s="14" t="n">
        <v>5</v>
      </c>
      <c r="K69" s="24" t="s">
        <v>321</v>
      </c>
      <c r="L69" s="25" t="n">
        <f aca="false">IFERROR((F69-G69)/G69,0)</f>
        <v>5.22326594857067</v>
      </c>
    </row>
    <row r="70" customFormat="false" ht="15" hidden="false" customHeight="true" outlineLevel="0" collapsed="false">
      <c r="B70" s="14" t="n">
        <v>64</v>
      </c>
      <c r="C70" s="11" t="s">
        <v>322</v>
      </c>
      <c r="D70" s="11" t="s">
        <v>268</v>
      </c>
      <c r="E70" s="14"/>
      <c r="F70" s="22" t="n">
        <v>4.4</v>
      </c>
      <c r="G70" s="13" t="n">
        <f aca="false">IFERROR(SUMIFS(H328:H1942,B328:B1942,B70),0)</f>
        <v>0.74129919236417</v>
      </c>
      <c r="H70" s="13" t="n">
        <f aca="false">F70-G70</f>
        <v>3.65870080763583</v>
      </c>
      <c r="I70" s="23" t="n">
        <f aca="false">IFERROR((F70-G70)/F70,0)</f>
        <v>0.831522910826325</v>
      </c>
      <c r="J70" s="14" t="n">
        <v>5</v>
      </c>
      <c r="K70" s="24" t="s">
        <v>321</v>
      </c>
      <c r="L70" s="25" t="n">
        <f aca="false">IFERROR((F70-G70)/G70,0)</f>
        <v>4.93552515006445</v>
      </c>
    </row>
    <row r="71" customFormat="false" ht="15" hidden="false" customHeight="true" outlineLevel="0" collapsed="false">
      <c r="B71" s="14" t="n">
        <v>65</v>
      </c>
      <c r="C71" s="11" t="s">
        <v>323</v>
      </c>
      <c r="D71" s="11" t="s">
        <v>266</v>
      </c>
      <c r="E71" s="14" t="s">
        <v>283</v>
      </c>
      <c r="F71" s="22" t="n">
        <v>4.1</v>
      </c>
      <c r="G71" s="13" t="n">
        <f aca="false">IFERROR(SUMIFS(H328:H1942,B328:B1942,B71),0)</f>
        <v>1.18782378854626</v>
      </c>
      <c r="H71" s="13" t="n">
        <f aca="false">F71-G71</f>
        <v>2.91217621145374</v>
      </c>
      <c r="I71" s="23" t="n">
        <f aca="false">IFERROR((F71-G71)/F71,0)</f>
        <v>0.710286880842377</v>
      </c>
      <c r="J71" s="14" t="n">
        <v>6</v>
      </c>
      <c r="K71" s="24" t="s">
        <v>324</v>
      </c>
      <c r="L71" s="25" t="n">
        <f aca="false">IFERROR((F71-G71)/G71,0)</f>
        <v>2.4516904270943</v>
      </c>
    </row>
    <row r="72" customFormat="false" ht="15" hidden="false" customHeight="true" outlineLevel="0" collapsed="false">
      <c r="B72" s="14" t="n">
        <v>66</v>
      </c>
      <c r="C72" s="11" t="s">
        <v>323</v>
      </c>
      <c r="D72" s="11" t="s">
        <v>268</v>
      </c>
      <c r="E72" s="14" t="s">
        <v>283</v>
      </c>
      <c r="F72" s="22" t="n">
        <v>3.9</v>
      </c>
      <c r="G72" s="13" t="n">
        <f aca="false">IFERROR(SUMIFS(H328:H1942,B328:B1942,B72),0)</f>
        <v>1.07989427312775</v>
      </c>
      <c r="H72" s="13" t="n">
        <f aca="false">F72-G72</f>
        <v>2.82010572687225</v>
      </c>
      <c r="I72" s="23" t="n">
        <f aca="false">IFERROR((F72-G72)/F72,0)</f>
        <v>0.723104032531345</v>
      </c>
      <c r="J72" s="14" t="n">
        <v>6</v>
      </c>
      <c r="K72" s="24" t="s">
        <v>324</v>
      </c>
      <c r="L72" s="25" t="n">
        <f aca="false">IFERROR((F72-G72)/G72,0)</f>
        <v>2.61146465635402</v>
      </c>
    </row>
    <row r="73" customFormat="false" ht="15" hidden="false" customHeight="true" outlineLevel="0" collapsed="false">
      <c r="B73" s="14" t="n">
        <v>67</v>
      </c>
      <c r="C73" s="11" t="s">
        <v>323</v>
      </c>
      <c r="D73" s="11" t="s">
        <v>279</v>
      </c>
      <c r="E73" s="14" t="s">
        <v>283</v>
      </c>
      <c r="F73" s="22" t="n">
        <v>4.3</v>
      </c>
      <c r="G73" s="13" t="n">
        <f aca="false">IFERROR(SUMIFS(H328:H1942,B328:B1942,B73),0)</f>
        <v>1.84678854625551</v>
      </c>
      <c r="H73" s="13" t="n">
        <f aca="false">F73-G73</f>
        <v>2.45321145374449</v>
      </c>
      <c r="I73" s="23" t="n">
        <f aca="false">IFERROR((F73-G73)/F73,0)</f>
        <v>0.570514291568487</v>
      </c>
      <c r="J73" s="14" t="n">
        <v>6</v>
      </c>
      <c r="K73" s="24" t="s">
        <v>324</v>
      </c>
      <c r="L73" s="25" t="n">
        <f aca="false">IFERROR((F73-G73)/G73,0)</f>
        <v>1.32836618394594</v>
      </c>
    </row>
    <row r="74" customFormat="false" ht="15" hidden="false" customHeight="true" outlineLevel="0" collapsed="false">
      <c r="B74" s="14" t="n">
        <v>68</v>
      </c>
      <c r="C74" s="11" t="s">
        <v>325</v>
      </c>
      <c r="D74" s="11" t="s">
        <v>266</v>
      </c>
      <c r="E74" s="14"/>
      <c r="F74" s="22" t="n">
        <v>3.7</v>
      </c>
      <c r="G74" s="13" t="n">
        <f aca="false">IFERROR(SUMIFS(H328:H1942,B328:B1942,B74),0)</f>
        <v>0.59913362701909</v>
      </c>
      <c r="H74" s="13" t="n">
        <f aca="false">F74-G74</f>
        <v>3.10086637298091</v>
      </c>
      <c r="I74" s="23" t="n">
        <f aca="false">IFERROR((F74-G74)/F74,0)</f>
        <v>0.838071992697543</v>
      </c>
      <c r="J74" s="14" t="n">
        <v>4</v>
      </c>
      <c r="K74" s="24" t="s">
        <v>290</v>
      </c>
      <c r="L74" s="25" t="n">
        <f aca="false">IFERROR((F74-G74)/G74,0)</f>
        <v>5.17558393176638</v>
      </c>
    </row>
    <row r="75" customFormat="false" ht="15" hidden="false" customHeight="true" outlineLevel="0" collapsed="false">
      <c r="B75" s="14" t="n">
        <v>69</v>
      </c>
      <c r="C75" s="11" t="s">
        <v>325</v>
      </c>
      <c r="D75" s="11" t="s">
        <v>268</v>
      </c>
      <c r="E75" s="14"/>
      <c r="F75" s="22" t="n">
        <v>3.4</v>
      </c>
      <c r="G75" s="13" t="n">
        <f aca="false">IFERROR(SUMIFS(H328:H1942,B328:B1942,B75),0)</f>
        <v>0.421204111600587</v>
      </c>
      <c r="H75" s="13" t="n">
        <f aca="false">F75-G75</f>
        <v>2.97879588839941</v>
      </c>
      <c r="I75" s="23" t="n">
        <f aca="false">IFERROR((F75-G75)/F75,0)</f>
        <v>0.876116437764533</v>
      </c>
      <c r="J75" s="14" t="n">
        <v>4</v>
      </c>
      <c r="K75" s="24" t="s">
        <v>290</v>
      </c>
      <c r="L75" s="25" t="n">
        <f aca="false">IFERROR((F75-G75)/G75,0)</f>
        <v>7.07209594198857</v>
      </c>
    </row>
    <row r="76" customFormat="false" ht="15" hidden="false" customHeight="true" outlineLevel="0" collapsed="false">
      <c r="B76" s="14" t="n">
        <v>70</v>
      </c>
      <c r="C76" s="11" t="s">
        <v>325</v>
      </c>
      <c r="D76" s="11" t="s">
        <v>279</v>
      </c>
      <c r="E76" s="14"/>
      <c r="F76" s="22" t="n">
        <v>4</v>
      </c>
      <c r="G76" s="13" t="n">
        <f aca="false">IFERROR(SUMIFS(H328:H1942,B328:B1942,B76),0)</f>
        <v>0.787063142437592</v>
      </c>
      <c r="H76" s="13" t="n">
        <f aca="false">F76-G76</f>
        <v>3.21293685756241</v>
      </c>
      <c r="I76" s="23" t="n">
        <f aca="false">IFERROR((F76-G76)/F76,0)</f>
        <v>0.803234214390602</v>
      </c>
      <c r="J76" s="14" t="n">
        <v>4</v>
      </c>
      <c r="K76" s="24" t="s">
        <v>290</v>
      </c>
      <c r="L76" s="25" t="n">
        <f aca="false">IFERROR((F76-G76)/G76,0)</f>
        <v>4.08218436911136</v>
      </c>
    </row>
    <row r="77" customFormat="false" ht="15" hidden="false" customHeight="true" outlineLevel="0" collapsed="false">
      <c r="B77" s="14" t="n">
        <v>71</v>
      </c>
      <c r="C77" s="11" t="s">
        <v>326</v>
      </c>
      <c r="D77" s="11" t="s">
        <v>266</v>
      </c>
      <c r="E77" s="14"/>
      <c r="F77" s="22" t="n">
        <v>3.9</v>
      </c>
      <c r="G77" s="13" t="n">
        <f aca="false">IFERROR(SUMIFS(H328:H1942,B328:B1942,B77),0)</f>
        <v>1.04062341476438</v>
      </c>
      <c r="H77" s="13" t="n">
        <f aca="false">F77-G77</f>
        <v>2.85937658523562</v>
      </c>
      <c r="I77" s="23" t="n">
        <f aca="false">IFERROR((F77-G77)/F77,0)</f>
        <v>0.733173483393748</v>
      </c>
      <c r="J77" s="14" t="n">
        <v>5</v>
      </c>
      <c r="K77" s="24" t="s">
        <v>327</v>
      </c>
      <c r="L77" s="25" t="n">
        <f aca="false">IFERROR((F77-G77)/G77,0)</f>
        <v>2.74775345688626</v>
      </c>
    </row>
    <row r="78" customFormat="false" ht="15" hidden="false" customHeight="true" outlineLevel="0" collapsed="false">
      <c r="B78" s="14" t="n">
        <v>72</v>
      </c>
      <c r="C78" s="11" t="s">
        <v>326</v>
      </c>
      <c r="D78" s="11" t="s">
        <v>268</v>
      </c>
      <c r="E78" s="14"/>
      <c r="F78" s="22" t="n">
        <v>3.6</v>
      </c>
      <c r="G78" s="13" t="n">
        <f aca="false">IFERROR(SUMIFS(H328:H1942,B328:B1942,B78),0)</f>
        <v>0.947348818582299</v>
      </c>
      <c r="H78" s="13" t="n">
        <f aca="false">F78-G78</f>
        <v>2.6526511814177</v>
      </c>
      <c r="I78" s="23" t="n">
        <f aca="false">IFERROR((F78-G78)/F78,0)</f>
        <v>0.736847550393806</v>
      </c>
      <c r="J78" s="14" t="n">
        <v>5</v>
      </c>
      <c r="K78" s="24" t="s">
        <v>327</v>
      </c>
      <c r="L78" s="25" t="n">
        <f aca="false">IFERROR((F78-G78)/G78,0)</f>
        <v>2.80007862931352</v>
      </c>
    </row>
    <row r="79" customFormat="false" ht="15" hidden="false" customHeight="true" outlineLevel="0" collapsed="false">
      <c r="B79" s="14" t="n">
        <v>73</v>
      </c>
      <c r="C79" s="11" t="s">
        <v>326</v>
      </c>
      <c r="D79" s="11" t="s">
        <v>279</v>
      </c>
      <c r="E79" s="14"/>
      <c r="F79" s="22" t="n">
        <v>4.2</v>
      </c>
      <c r="G79" s="13" t="n">
        <f aca="false">IFERROR(SUMIFS(H328:H1942,B328:B1942,B79),0)</f>
        <v>1.14389801094647</v>
      </c>
      <c r="H79" s="13" t="n">
        <f aca="false">F79-G79</f>
        <v>3.05610198905353</v>
      </c>
      <c r="I79" s="23" t="n">
        <f aca="false">IFERROR((F79-G79)/F79,0)</f>
        <v>0.727643330727031</v>
      </c>
      <c r="J79" s="14" t="n">
        <v>5</v>
      </c>
      <c r="K79" s="24" t="s">
        <v>327</v>
      </c>
      <c r="L79" s="25" t="n">
        <f aca="false">IFERROR((F79-G79)/G79,0)</f>
        <v>2.67165600412653</v>
      </c>
    </row>
    <row r="80" customFormat="false" ht="15" hidden="false" customHeight="true" outlineLevel="0" collapsed="false">
      <c r="B80" s="14" t="n">
        <v>74</v>
      </c>
      <c r="C80" s="11" t="s">
        <v>328</v>
      </c>
      <c r="D80" s="11" t="s">
        <v>266</v>
      </c>
      <c r="E80" s="14"/>
      <c r="F80" s="22" t="n">
        <v>3.7</v>
      </c>
      <c r="G80" s="13" t="n">
        <f aca="false">IFERROR(SUMIFS(H328:H1942,B328:B1942,B80),0)</f>
        <v>0.890623414764384</v>
      </c>
      <c r="H80" s="13" t="n">
        <f aca="false">F80-G80</f>
        <v>2.80937658523562</v>
      </c>
      <c r="I80" s="23" t="n">
        <f aca="false">IFERROR((F80-G80)/F80,0)</f>
        <v>0.759290968982599</v>
      </c>
      <c r="J80" s="14" t="n">
        <v>4</v>
      </c>
      <c r="K80" s="24" t="s">
        <v>327</v>
      </c>
      <c r="L80" s="25" t="n">
        <f aca="false">IFERROR((F80-G80)/G80,0)</f>
        <v>3.15439335937383</v>
      </c>
    </row>
    <row r="81" customFormat="false" ht="15" hidden="false" customHeight="true" outlineLevel="0" collapsed="false">
      <c r="B81" s="14" t="n">
        <v>75</v>
      </c>
      <c r="C81" s="11" t="s">
        <v>328</v>
      </c>
      <c r="D81" s="11" t="s">
        <v>268</v>
      </c>
      <c r="E81" s="14"/>
      <c r="F81" s="22" t="n">
        <v>3.4</v>
      </c>
      <c r="G81" s="13" t="n">
        <f aca="false">IFERROR(SUMIFS(H328:H1942,B328:B1942,B81),0)</f>
        <v>0.797348818582299</v>
      </c>
      <c r="H81" s="13" t="n">
        <f aca="false">F81-G81</f>
        <v>2.6026511814177</v>
      </c>
      <c r="I81" s="23" t="n">
        <f aca="false">IFERROR((F81-G81)/F81,0)</f>
        <v>0.765485641593442</v>
      </c>
      <c r="J81" s="14" t="n">
        <v>4</v>
      </c>
      <c r="K81" s="24" t="s">
        <v>327</v>
      </c>
      <c r="L81" s="25" t="n">
        <f aca="false">IFERROR((F81-G81)/G81,0)</f>
        <v>3.26413123185567</v>
      </c>
    </row>
    <row r="82" customFormat="false" ht="15" hidden="false" customHeight="true" outlineLevel="0" collapsed="false">
      <c r="B82" s="14" t="n">
        <v>76</v>
      </c>
      <c r="C82" s="11" t="s">
        <v>328</v>
      </c>
      <c r="D82" s="11" t="s">
        <v>279</v>
      </c>
      <c r="E82" s="14"/>
      <c r="F82" s="22" t="n">
        <v>3.9</v>
      </c>
      <c r="G82" s="13" t="n">
        <f aca="false">IFERROR(SUMIFS(H328:H1942,B328:B1942,B82),0)</f>
        <v>0.993898010946469</v>
      </c>
      <c r="H82" s="13" t="n">
        <f aca="false">F82-G82</f>
        <v>2.90610198905353</v>
      </c>
      <c r="I82" s="23" t="n">
        <f aca="false">IFERROR((F82-G82)/F82,0)</f>
        <v>0.745154356167572</v>
      </c>
      <c r="J82" s="14" t="n">
        <v>4</v>
      </c>
      <c r="K82" s="24" t="s">
        <v>327</v>
      </c>
      <c r="L82" s="25" t="n">
        <f aca="false">IFERROR((F82-G82)/G82,0)</f>
        <v>2.92394386249562</v>
      </c>
    </row>
    <row r="83" customFormat="false" ht="15" hidden="false" customHeight="true" outlineLevel="0" collapsed="false">
      <c r="B83" s="14" t="n">
        <v>77</v>
      </c>
      <c r="C83" s="11" t="s">
        <v>329</v>
      </c>
      <c r="D83" s="11" t="s">
        <v>266</v>
      </c>
      <c r="E83" s="14"/>
      <c r="F83" s="22" t="n">
        <v>3.9</v>
      </c>
      <c r="G83" s="13" t="n">
        <f aca="false">IFERROR(SUMIFS(H328:H1942,B328:B1942,B83),0)</f>
        <v>1.04062341476438</v>
      </c>
      <c r="H83" s="13" t="n">
        <f aca="false">F83-G83</f>
        <v>2.85937658523562</v>
      </c>
      <c r="I83" s="23" t="n">
        <f aca="false">IFERROR((F83-G83)/F83,0)</f>
        <v>0.733173483393748</v>
      </c>
      <c r="J83" s="14" t="n">
        <v>5</v>
      </c>
      <c r="K83" s="24" t="s">
        <v>327</v>
      </c>
      <c r="L83" s="25" t="n">
        <f aca="false">IFERROR((F83-G83)/G83,0)</f>
        <v>2.74775345688626</v>
      </c>
    </row>
    <row r="84" customFormat="false" ht="15" hidden="false" customHeight="true" outlineLevel="0" collapsed="false">
      <c r="B84" s="14" t="n">
        <v>78</v>
      </c>
      <c r="C84" s="11" t="s">
        <v>329</v>
      </c>
      <c r="D84" s="11" t="s">
        <v>268</v>
      </c>
      <c r="E84" s="14"/>
      <c r="F84" s="22" t="n">
        <v>3.6</v>
      </c>
      <c r="G84" s="13" t="n">
        <f aca="false">IFERROR(SUMIFS(H328:H1942,B328:B1942,B84),0)</f>
        <v>0.947348818582299</v>
      </c>
      <c r="H84" s="13" t="n">
        <f aca="false">F84-G84</f>
        <v>2.6526511814177</v>
      </c>
      <c r="I84" s="23" t="n">
        <f aca="false">IFERROR((F84-G84)/F84,0)</f>
        <v>0.736847550393806</v>
      </c>
      <c r="J84" s="14" t="n">
        <v>5</v>
      </c>
      <c r="K84" s="24" t="s">
        <v>327</v>
      </c>
      <c r="L84" s="25" t="n">
        <f aca="false">IFERROR((F84-G84)/G84,0)</f>
        <v>2.80007862931352</v>
      </c>
    </row>
    <row r="85" customFormat="false" ht="15" hidden="false" customHeight="true" outlineLevel="0" collapsed="false">
      <c r="B85" s="14" t="n">
        <v>79</v>
      </c>
      <c r="C85" s="11" t="s">
        <v>329</v>
      </c>
      <c r="D85" s="11" t="s">
        <v>279</v>
      </c>
      <c r="E85" s="14"/>
      <c r="F85" s="22" t="n">
        <v>4.2</v>
      </c>
      <c r="G85" s="13" t="n">
        <f aca="false">IFERROR(SUMIFS(H328:H1942,B328:B1942,B85),0)</f>
        <v>1.14389801094647</v>
      </c>
      <c r="H85" s="13" t="n">
        <f aca="false">F85-G85</f>
        <v>3.05610198905353</v>
      </c>
      <c r="I85" s="23" t="n">
        <f aca="false">IFERROR((F85-G85)/F85,0)</f>
        <v>0.727643330727031</v>
      </c>
      <c r="J85" s="14" t="n">
        <v>5</v>
      </c>
      <c r="K85" s="24" t="s">
        <v>327</v>
      </c>
      <c r="L85" s="25" t="n">
        <f aca="false">IFERROR((F85-G85)/G85,0)</f>
        <v>2.67165600412653</v>
      </c>
    </row>
    <row r="86" customFormat="false" ht="15" hidden="false" customHeight="true" outlineLevel="0" collapsed="false">
      <c r="B86" s="14" t="n">
        <v>80</v>
      </c>
      <c r="C86" s="11" t="s">
        <v>330</v>
      </c>
      <c r="D86" s="11" t="s">
        <v>266</v>
      </c>
      <c r="E86" s="14"/>
      <c r="F86" s="22" t="n">
        <v>3.9</v>
      </c>
      <c r="G86" s="13" t="n">
        <f aca="false">IFERROR(SUMIFS(H328:H1942,B328:B1942,B86),0)</f>
        <v>1.04062341476438</v>
      </c>
      <c r="H86" s="13" t="n">
        <f aca="false">F86-G86</f>
        <v>2.85937658523562</v>
      </c>
      <c r="I86" s="23" t="n">
        <f aca="false">IFERROR((F86-G86)/F86,0)</f>
        <v>0.733173483393748</v>
      </c>
      <c r="J86" s="14" t="n">
        <v>5</v>
      </c>
      <c r="K86" s="24" t="s">
        <v>327</v>
      </c>
      <c r="L86" s="25" t="n">
        <f aca="false">IFERROR((F86-G86)/G86,0)</f>
        <v>2.74775345688626</v>
      </c>
    </row>
    <row r="87" customFormat="false" ht="15" hidden="false" customHeight="true" outlineLevel="0" collapsed="false">
      <c r="B87" s="14" t="n">
        <v>81</v>
      </c>
      <c r="C87" s="11" t="s">
        <v>330</v>
      </c>
      <c r="D87" s="11" t="s">
        <v>268</v>
      </c>
      <c r="E87" s="14"/>
      <c r="F87" s="22" t="n">
        <v>3.6</v>
      </c>
      <c r="G87" s="13" t="n">
        <f aca="false">IFERROR(SUMIFS(H328:H1942,B328:B1942,B87),0)</f>
        <v>0.947348818582299</v>
      </c>
      <c r="H87" s="13" t="n">
        <f aca="false">F87-G87</f>
        <v>2.6526511814177</v>
      </c>
      <c r="I87" s="23" t="n">
        <f aca="false">IFERROR((F87-G87)/F87,0)</f>
        <v>0.736847550393806</v>
      </c>
      <c r="J87" s="14" t="n">
        <v>5</v>
      </c>
      <c r="K87" s="24" t="s">
        <v>327</v>
      </c>
      <c r="L87" s="25" t="n">
        <f aca="false">IFERROR((F87-G87)/G87,0)</f>
        <v>2.80007862931352</v>
      </c>
    </row>
    <row r="88" customFormat="false" ht="15" hidden="false" customHeight="true" outlineLevel="0" collapsed="false">
      <c r="B88" s="14" t="n">
        <v>82</v>
      </c>
      <c r="C88" s="11" t="s">
        <v>330</v>
      </c>
      <c r="D88" s="11" t="s">
        <v>279</v>
      </c>
      <c r="E88" s="14"/>
      <c r="F88" s="22" t="n">
        <v>4.2</v>
      </c>
      <c r="G88" s="13" t="n">
        <f aca="false">IFERROR(SUMIFS(H328:H1942,B328:B1942,B88),0)</f>
        <v>1.14389801094647</v>
      </c>
      <c r="H88" s="13" t="n">
        <f aca="false">F88-G88</f>
        <v>3.05610198905353</v>
      </c>
      <c r="I88" s="23" t="n">
        <f aca="false">IFERROR((F88-G88)/F88,0)</f>
        <v>0.727643330727031</v>
      </c>
      <c r="J88" s="14" t="n">
        <v>5</v>
      </c>
      <c r="K88" s="24" t="s">
        <v>327</v>
      </c>
      <c r="L88" s="25" t="n">
        <f aca="false">IFERROR((F88-G88)/G88,0)</f>
        <v>2.67165600412653</v>
      </c>
    </row>
    <row r="89" customFormat="false" ht="15" hidden="false" customHeight="true" outlineLevel="0" collapsed="false">
      <c r="B89" s="14" t="n">
        <v>83</v>
      </c>
      <c r="C89" s="11" t="s">
        <v>331</v>
      </c>
      <c r="D89" s="11" t="s">
        <v>266</v>
      </c>
      <c r="E89" s="14"/>
      <c r="F89" s="22" t="n">
        <v>3.9</v>
      </c>
      <c r="G89" s="13" t="n">
        <f aca="false">IFERROR(SUMIFS(H328:H1942,B328:B1942,B89),0)</f>
        <v>1.04062341476438</v>
      </c>
      <c r="H89" s="13" t="n">
        <f aca="false">F89-G89</f>
        <v>2.85937658523562</v>
      </c>
      <c r="I89" s="23" t="n">
        <f aca="false">IFERROR((F89-G89)/F89,0)</f>
        <v>0.733173483393748</v>
      </c>
      <c r="J89" s="14" t="n">
        <v>5</v>
      </c>
      <c r="K89" s="24" t="s">
        <v>327</v>
      </c>
      <c r="L89" s="25" t="n">
        <f aca="false">IFERROR((F89-G89)/G89,0)</f>
        <v>2.74775345688626</v>
      </c>
    </row>
    <row r="90" customFormat="false" ht="15" hidden="false" customHeight="true" outlineLevel="0" collapsed="false">
      <c r="B90" s="14" t="n">
        <v>84</v>
      </c>
      <c r="C90" s="11" t="s">
        <v>331</v>
      </c>
      <c r="D90" s="11" t="s">
        <v>268</v>
      </c>
      <c r="E90" s="14"/>
      <c r="F90" s="22" t="n">
        <v>3.6</v>
      </c>
      <c r="G90" s="13" t="n">
        <f aca="false">IFERROR(SUMIFS(H328:H1942,B328:B1942,B90),0)</f>
        <v>0.947348818582299</v>
      </c>
      <c r="H90" s="13" t="n">
        <f aca="false">F90-G90</f>
        <v>2.6526511814177</v>
      </c>
      <c r="I90" s="23" t="n">
        <f aca="false">IFERROR((F90-G90)/F90,0)</f>
        <v>0.736847550393806</v>
      </c>
      <c r="J90" s="14" t="n">
        <v>5</v>
      </c>
      <c r="K90" s="24" t="s">
        <v>327</v>
      </c>
      <c r="L90" s="25" t="n">
        <f aca="false">IFERROR((F90-G90)/G90,0)</f>
        <v>2.80007862931352</v>
      </c>
    </row>
    <row r="91" customFormat="false" ht="15" hidden="false" customHeight="true" outlineLevel="0" collapsed="false">
      <c r="B91" s="14" t="n">
        <v>85</v>
      </c>
      <c r="C91" s="11" t="s">
        <v>331</v>
      </c>
      <c r="D91" s="11" t="s">
        <v>279</v>
      </c>
      <c r="E91" s="14"/>
      <c r="F91" s="22" t="n">
        <v>4.2</v>
      </c>
      <c r="G91" s="13" t="n">
        <f aca="false">IFERROR(SUMIFS(H328:H1942,B328:B1942,B91),0)</f>
        <v>1.14389801094647</v>
      </c>
      <c r="H91" s="13" t="n">
        <f aca="false">F91-G91</f>
        <v>3.05610198905353</v>
      </c>
      <c r="I91" s="23" t="n">
        <f aca="false">IFERROR((F91-G91)/F91,0)</f>
        <v>0.727643330727031</v>
      </c>
      <c r="J91" s="14" t="n">
        <v>5</v>
      </c>
      <c r="K91" s="24" t="s">
        <v>327</v>
      </c>
      <c r="L91" s="25" t="n">
        <f aca="false">IFERROR((F91-G91)/G91,0)</f>
        <v>2.67165600412653</v>
      </c>
    </row>
    <row r="92" customFormat="false" ht="15" hidden="false" customHeight="true" outlineLevel="0" collapsed="false">
      <c r="B92" s="14" t="n">
        <v>86</v>
      </c>
      <c r="C92" s="11" t="s">
        <v>332</v>
      </c>
      <c r="D92" s="11" t="s">
        <v>266</v>
      </c>
      <c r="E92" s="14"/>
      <c r="F92" s="22" t="n">
        <v>3.9</v>
      </c>
      <c r="G92" s="13" t="n">
        <f aca="false">IFERROR(SUMIFS(H328:H1942,B328:B1942,B92),0)</f>
        <v>0.890623414764384</v>
      </c>
      <c r="H92" s="13" t="n">
        <f aca="false">F92-G92</f>
        <v>3.00937658523562</v>
      </c>
      <c r="I92" s="23" t="n">
        <f aca="false">IFERROR((F92-G92)/F92,0)</f>
        <v>0.771635021855286</v>
      </c>
      <c r="J92" s="14" t="n">
        <v>4</v>
      </c>
      <c r="K92" s="24" t="s">
        <v>327</v>
      </c>
      <c r="L92" s="25" t="n">
        <f aca="false">IFERROR((F92-G92)/G92,0)</f>
        <v>3.37895516258323</v>
      </c>
    </row>
    <row r="93" customFormat="false" ht="15" hidden="false" customHeight="true" outlineLevel="0" collapsed="false">
      <c r="B93" s="14" t="n">
        <v>87</v>
      </c>
      <c r="C93" s="11" t="s">
        <v>332</v>
      </c>
      <c r="D93" s="11" t="s">
        <v>268</v>
      </c>
      <c r="E93" s="14"/>
      <c r="F93" s="22" t="n">
        <v>3.6</v>
      </c>
      <c r="G93" s="13" t="n">
        <f aca="false">IFERROR(SUMIFS(H328:H1942,B328:B1942,B93),0)</f>
        <v>0.797348818582299</v>
      </c>
      <c r="H93" s="13" t="n">
        <f aca="false">F93-G93</f>
        <v>2.8026511814177</v>
      </c>
      <c r="I93" s="23" t="n">
        <f aca="false">IFERROR((F93-G93)/F93,0)</f>
        <v>0.778514217060473</v>
      </c>
      <c r="J93" s="14" t="n">
        <v>4</v>
      </c>
      <c r="K93" s="24" t="s">
        <v>327</v>
      </c>
      <c r="L93" s="25" t="n">
        <f aca="false">IFERROR((F93-G93)/G93,0)</f>
        <v>3.51496248078836</v>
      </c>
    </row>
    <row r="94" customFormat="false" ht="15" hidden="false" customHeight="true" outlineLevel="0" collapsed="false">
      <c r="B94" s="14" t="n">
        <v>88</v>
      </c>
      <c r="C94" s="11" t="s">
        <v>332</v>
      </c>
      <c r="D94" s="11" t="s">
        <v>279</v>
      </c>
      <c r="E94" s="14"/>
      <c r="F94" s="22" t="n">
        <v>4.2</v>
      </c>
      <c r="G94" s="13" t="n">
        <f aca="false">IFERROR(SUMIFS(H328:H1942,B328:B1942,B94),0)</f>
        <v>0.993898010946469</v>
      </c>
      <c r="H94" s="13" t="n">
        <f aca="false">F94-G94</f>
        <v>3.20610198905353</v>
      </c>
      <c r="I94" s="23" t="n">
        <f aca="false">IFERROR((F94-G94)/F94,0)</f>
        <v>0.763357616441317</v>
      </c>
      <c r="J94" s="14" t="n">
        <v>4</v>
      </c>
      <c r="K94" s="24" t="s">
        <v>327</v>
      </c>
      <c r="L94" s="25" t="n">
        <f aca="false">IFERROR((F94-G94)/G94,0)</f>
        <v>3.2257856980722</v>
      </c>
    </row>
    <row r="95" customFormat="false" ht="15" hidden="false" customHeight="true" outlineLevel="0" collapsed="false">
      <c r="B95" s="14" t="n">
        <v>89</v>
      </c>
      <c r="C95" s="11" t="s">
        <v>333</v>
      </c>
      <c r="D95" s="11" t="s">
        <v>266</v>
      </c>
      <c r="E95" s="14"/>
      <c r="F95" s="22" t="n">
        <v>4.1</v>
      </c>
      <c r="G95" s="13" t="n">
        <f aca="false">IFERROR(SUMIFS(H328:H1942,B328:B1942,B95),0)</f>
        <v>0.90154919236417</v>
      </c>
      <c r="H95" s="13" t="n">
        <f aca="false">F95-G95</f>
        <v>3.19845080763583</v>
      </c>
      <c r="I95" s="23" t="n">
        <f aca="false">IFERROR((F95-G95)/F95,0)</f>
        <v>0.78010995308191</v>
      </c>
      <c r="J95" s="14" t="n">
        <v>4</v>
      </c>
      <c r="K95" s="24" t="s">
        <v>334</v>
      </c>
      <c r="L95" s="25" t="n">
        <f aca="false">IFERROR((F95-G95)/G95,0)</f>
        <v>3.54772743930744</v>
      </c>
    </row>
    <row r="96" customFormat="false" ht="15" hidden="false" customHeight="true" outlineLevel="0" collapsed="false">
      <c r="B96" s="14" t="n">
        <v>90</v>
      </c>
      <c r="C96" s="11" t="s">
        <v>333</v>
      </c>
      <c r="D96" s="11" t="s">
        <v>268</v>
      </c>
      <c r="E96" s="14"/>
      <c r="F96" s="22" t="n">
        <v>3.9</v>
      </c>
      <c r="G96" s="13" t="n">
        <f aca="false">IFERROR(SUMIFS(H328:H1942,B328:B1942,B96),0)</f>
        <v>0.834911894273128</v>
      </c>
      <c r="H96" s="13" t="n">
        <f aca="false">F96-G96</f>
        <v>3.06508810572687</v>
      </c>
      <c r="I96" s="23" t="n">
        <f aca="false">IFERROR((F96-G96)/F96,0)</f>
        <v>0.785920027109454</v>
      </c>
      <c r="J96" s="14" t="n">
        <v>4</v>
      </c>
      <c r="K96" s="24" t="s">
        <v>334</v>
      </c>
      <c r="L96" s="25" t="n">
        <f aca="false">IFERROR((F96-G96)/G96,0)</f>
        <v>3.67115156311832</v>
      </c>
    </row>
    <row r="97" customFormat="false" ht="15" hidden="false" customHeight="true" outlineLevel="0" collapsed="false">
      <c r="B97" s="14" t="n">
        <v>91</v>
      </c>
      <c r="C97" s="11" t="s">
        <v>335</v>
      </c>
      <c r="D97" s="11" t="s">
        <v>266</v>
      </c>
      <c r="E97" s="14"/>
      <c r="F97" s="22" t="n">
        <v>4.1</v>
      </c>
      <c r="G97" s="13" t="n">
        <f aca="false">IFERROR(SUMIFS(H328:H1942,B328:B1942,B97),0)</f>
        <v>0.90154919236417</v>
      </c>
      <c r="H97" s="13" t="n">
        <f aca="false">F97-G97</f>
        <v>3.19845080763583</v>
      </c>
      <c r="I97" s="23" t="n">
        <f aca="false">IFERROR((F97-G97)/F97,0)</f>
        <v>0.78010995308191</v>
      </c>
      <c r="J97" s="14" t="n">
        <v>4</v>
      </c>
      <c r="K97" s="24" t="s">
        <v>334</v>
      </c>
      <c r="L97" s="25" t="n">
        <f aca="false">IFERROR((F97-G97)/G97,0)</f>
        <v>3.54772743930744</v>
      </c>
    </row>
    <row r="98" customFormat="false" ht="15" hidden="false" customHeight="true" outlineLevel="0" collapsed="false">
      <c r="B98" s="14" t="n">
        <v>92</v>
      </c>
      <c r="C98" s="11" t="s">
        <v>335</v>
      </c>
      <c r="D98" s="11" t="s">
        <v>268</v>
      </c>
      <c r="E98" s="14"/>
      <c r="F98" s="22" t="n">
        <v>3.9</v>
      </c>
      <c r="G98" s="13" t="n">
        <f aca="false">IFERROR(SUMIFS(H328:H1942,B328:B1942,B98),0)</f>
        <v>0.834911894273128</v>
      </c>
      <c r="H98" s="13" t="n">
        <f aca="false">F98-G98</f>
        <v>3.06508810572687</v>
      </c>
      <c r="I98" s="23" t="n">
        <f aca="false">IFERROR((F98-G98)/F98,0)</f>
        <v>0.785920027109454</v>
      </c>
      <c r="J98" s="14" t="n">
        <v>4</v>
      </c>
      <c r="K98" s="24" t="s">
        <v>334</v>
      </c>
      <c r="L98" s="25" t="n">
        <f aca="false">IFERROR((F98-G98)/G98,0)</f>
        <v>3.67115156311832</v>
      </c>
    </row>
    <row r="99" customFormat="false" ht="15" hidden="false" customHeight="true" outlineLevel="0" collapsed="false">
      <c r="B99" s="14" t="n">
        <v>93</v>
      </c>
      <c r="C99" s="11" t="s">
        <v>336</v>
      </c>
      <c r="D99" s="11" t="s">
        <v>266</v>
      </c>
      <c r="E99" s="14" t="s">
        <v>283</v>
      </c>
      <c r="F99" s="22" t="n">
        <v>4.8</v>
      </c>
      <c r="G99" s="13" t="n">
        <f aca="false">IFERROR(SUMIFS(H328:H1942,B328:B1942,B99),0)</f>
        <v>0.720859030837004</v>
      </c>
      <c r="H99" s="13" t="n">
        <f aca="false">F99-G99</f>
        <v>4.079140969163</v>
      </c>
      <c r="I99" s="23" t="n">
        <f aca="false">IFERROR((F99-G99)/F99,0)</f>
        <v>0.849821035242291</v>
      </c>
      <c r="J99" s="14" t="n">
        <v>5</v>
      </c>
      <c r="K99" s="24" t="s">
        <v>337</v>
      </c>
      <c r="L99" s="25" t="n">
        <f aca="false">IFERROR((F99-G99)/G99,0)</f>
        <v>5.65872215601797</v>
      </c>
    </row>
    <row r="100" customFormat="false" ht="15" hidden="false" customHeight="true" outlineLevel="0" collapsed="false">
      <c r="B100" s="14" t="n">
        <v>94</v>
      </c>
      <c r="C100" s="11" t="s">
        <v>336</v>
      </c>
      <c r="D100" s="11" t="s">
        <v>268</v>
      </c>
      <c r="E100" s="14" t="s">
        <v>283</v>
      </c>
      <c r="F100" s="22" t="n">
        <v>4.6</v>
      </c>
      <c r="G100" s="13" t="n">
        <f aca="false">IFERROR(SUMIFS(H328:H1942,B328:B1942,B100),0)</f>
        <v>0.646894273127753</v>
      </c>
      <c r="H100" s="13" t="n">
        <f aca="false">F100-G100</f>
        <v>3.95310572687225</v>
      </c>
      <c r="I100" s="23" t="n">
        <f aca="false">IFERROR((F100-G100)/F100,0)</f>
        <v>0.859370810189619</v>
      </c>
      <c r="J100" s="14" t="n">
        <v>5</v>
      </c>
      <c r="K100" s="24" t="s">
        <v>337</v>
      </c>
      <c r="L100" s="25" t="n">
        <f aca="false">IFERROR((F100-G100)/G100,0)</f>
        <v>6.11089924750587</v>
      </c>
    </row>
    <row r="101" customFormat="false" ht="15" hidden="false" customHeight="true" outlineLevel="0" collapsed="false">
      <c r="B101" s="14" t="n">
        <v>95</v>
      </c>
      <c r="C101" s="11" t="s">
        <v>338</v>
      </c>
      <c r="D101" s="11" t="s">
        <v>266</v>
      </c>
      <c r="E101" s="14" t="s">
        <v>283</v>
      </c>
      <c r="F101" s="22" t="n">
        <v>4.8</v>
      </c>
      <c r="G101" s="13" t="n">
        <f aca="false">IFERROR(SUMIFS(H328:H1942,B328:B1942,B101),0)</f>
        <v>0.720859030837004</v>
      </c>
      <c r="H101" s="13" t="n">
        <f aca="false">F101-G101</f>
        <v>4.079140969163</v>
      </c>
      <c r="I101" s="23" t="n">
        <f aca="false">IFERROR((F101-G101)/F101,0)</f>
        <v>0.849821035242291</v>
      </c>
      <c r="J101" s="14" t="n">
        <v>5</v>
      </c>
      <c r="K101" s="24" t="s">
        <v>337</v>
      </c>
      <c r="L101" s="25" t="n">
        <f aca="false">IFERROR((F101-G101)/G101,0)</f>
        <v>5.65872215601797</v>
      </c>
    </row>
    <row r="102" customFormat="false" ht="15" hidden="false" customHeight="true" outlineLevel="0" collapsed="false">
      <c r="B102" s="14" t="n">
        <v>96</v>
      </c>
      <c r="C102" s="11" t="s">
        <v>338</v>
      </c>
      <c r="D102" s="11" t="s">
        <v>268</v>
      </c>
      <c r="E102" s="14" t="s">
        <v>283</v>
      </c>
      <c r="F102" s="22" t="n">
        <v>4.6</v>
      </c>
      <c r="G102" s="13" t="n">
        <f aca="false">IFERROR(SUMIFS(H328:H1942,B328:B1942,B102),0)</f>
        <v>0.646894273127753</v>
      </c>
      <c r="H102" s="13" t="n">
        <f aca="false">F102-G102</f>
        <v>3.95310572687225</v>
      </c>
      <c r="I102" s="23" t="n">
        <f aca="false">IFERROR((F102-G102)/F102,0)</f>
        <v>0.859370810189619</v>
      </c>
      <c r="J102" s="14" t="n">
        <v>5</v>
      </c>
      <c r="K102" s="24" t="s">
        <v>337</v>
      </c>
      <c r="L102" s="25" t="n">
        <f aca="false">IFERROR((F102-G102)/G102,0)</f>
        <v>6.11089924750587</v>
      </c>
    </row>
    <row r="103" customFormat="false" ht="15" hidden="false" customHeight="true" outlineLevel="0" collapsed="false">
      <c r="B103" s="14" t="n">
        <v>97</v>
      </c>
      <c r="C103" s="11" t="s">
        <v>339</v>
      </c>
      <c r="D103" s="11" t="s">
        <v>266</v>
      </c>
      <c r="E103" s="14" t="s">
        <v>283</v>
      </c>
      <c r="F103" s="22" t="n">
        <v>4.5</v>
      </c>
      <c r="G103" s="13" t="n">
        <f aca="false">IFERROR(SUMIFS(H328:H1942,B328:B1942,B103),0)</f>
        <v>1.05154919236417</v>
      </c>
      <c r="H103" s="13" t="n">
        <f aca="false">F103-G103</f>
        <v>3.44845080763583</v>
      </c>
      <c r="I103" s="23" t="n">
        <f aca="false">IFERROR((F103-G103)/F103,0)</f>
        <v>0.766322401696851</v>
      </c>
      <c r="J103" s="14" t="n">
        <v>5</v>
      </c>
      <c r="K103" s="24" t="s">
        <v>334</v>
      </c>
      <c r="L103" s="25" t="n">
        <f aca="false">IFERROR((F103-G103)/G103,0)</f>
        <v>3.27940036726458</v>
      </c>
    </row>
    <row r="104" customFormat="false" ht="15" hidden="false" customHeight="true" outlineLevel="0" collapsed="false">
      <c r="B104" s="14" t="n">
        <v>98</v>
      </c>
      <c r="C104" s="11" t="s">
        <v>339</v>
      </c>
      <c r="D104" s="11" t="s">
        <v>268</v>
      </c>
      <c r="E104" s="14" t="s">
        <v>283</v>
      </c>
      <c r="F104" s="22" t="n">
        <v>4.2</v>
      </c>
      <c r="G104" s="13" t="n">
        <f aca="false">IFERROR(SUMIFS(H328:H1942,B328:B1942,B104),0)</f>
        <v>0.984911894273128</v>
      </c>
      <c r="H104" s="13" t="n">
        <f aca="false">F104-G104</f>
        <v>3.21508810572687</v>
      </c>
      <c r="I104" s="23" t="n">
        <f aca="false">IFERROR((F104-G104)/F104,0)</f>
        <v>0.765497168030208</v>
      </c>
      <c r="J104" s="14" t="n">
        <v>5</v>
      </c>
      <c r="K104" s="24" t="s">
        <v>334</v>
      </c>
      <c r="L104" s="25" t="n">
        <f aca="false">IFERROR((F104-G104)/G104,0)</f>
        <v>3.26434082522643</v>
      </c>
    </row>
    <row r="105" customFormat="false" ht="15" hidden="false" customHeight="true" outlineLevel="0" collapsed="false">
      <c r="B105" s="14" t="n">
        <v>99</v>
      </c>
      <c r="C105" s="11" t="s">
        <v>340</v>
      </c>
      <c r="D105" s="11" t="s">
        <v>266</v>
      </c>
      <c r="E105" s="14" t="s">
        <v>283</v>
      </c>
      <c r="F105" s="22" t="n">
        <v>4.8</v>
      </c>
      <c r="G105" s="13" t="n">
        <f aca="false">IFERROR(SUMIFS(H328:H1942,B328:B1942,B105),0)</f>
        <v>0.738859030837004</v>
      </c>
      <c r="H105" s="13" t="n">
        <f aca="false">F105-G105</f>
        <v>4.061140969163</v>
      </c>
      <c r="I105" s="23" t="n">
        <f aca="false">IFERROR((F105-G105)/F105,0)</f>
        <v>0.846071035242291</v>
      </c>
      <c r="J105" s="14" t="n">
        <v>5</v>
      </c>
      <c r="K105" s="24" t="s">
        <v>337</v>
      </c>
      <c r="L105" s="25" t="n">
        <f aca="false">IFERROR((F105-G105)/G105,0)</f>
        <v>5.49650312125494</v>
      </c>
    </row>
    <row r="106" customFormat="false" ht="15" hidden="false" customHeight="true" outlineLevel="0" collapsed="false">
      <c r="B106" s="14" t="n">
        <v>100</v>
      </c>
      <c r="C106" s="11" t="s">
        <v>340</v>
      </c>
      <c r="D106" s="11" t="s">
        <v>268</v>
      </c>
      <c r="E106" s="14" t="s">
        <v>283</v>
      </c>
      <c r="F106" s="22" t="n">
        <v>4.6</v>
      </c>
      <c r="G106" s="13" t="n">
        <f aca="false">IFERROR(SUMIFS(H328:H1942,B328:B1942,B106),0)</f>
        <v>0.664894273127753</v>
      </c>
      <c r="H106" s="13" t="n">
        <f aca="false">F106-G106</f>
        <v>3.93510572687225</v>
      </c>
      <c r="I106" s="23" t="n">
        <f aca="false">IFERROR((F106-G106)/F106,0)</f>
        <v>0.855457766711358</v>
      </c>
      <c r="J106" s="14" t="n">
        <v>5</v>
      </c>
      <c r="K106" s="24" t="s">
        <v>337</v>
      </c>
      <c r="L106" s="25" t="n">
        <f aca="false">IFERROR((F106-G106)/G106,0)</f>
        <v>5.91839317303934</v>
      </c>
    </row>
    <row r="107" customFormat="false" ht="15" hidden="false" customHeight="true" outlineLevel="0" collapsed="false">
      <c r="B107" s="14" t="n">
        <v>101</v>
      </c>
      <c r="C107" s="11" t="s">
        <v>341</v>
      </c>
      <c r="D107" s="11" t="s">
        <v>266</v>
      </c>
      <c r="E107" s="14" t="s">
        <v>283</v>
      </c>
      <c r="F107" s="22" t="n">
        <v>4.5</v>
      </c>
      <c r="G107" s="13" t="n">
        <f aca="false">IFERROR(SUMIFS(H328:H1942,B328:B1942,B107),0)</f>
        <v>1.14454919236417</v>
      </c>
      <c r="H107" s="13" t="n">
        <f aca="false">F107-G107</f>
        <v>3.35545080763583</v>
      </c>
      <c r="I107" s="23" t="n">
        <f aca="false">IFERROR((F107-G107)/F107,0)</f>
        <v>0.745655735030184</v>
      </c>
      <c r="J107" s="14" t="n">
        <v>6</v>
      </c>
      <c r="K107" s="24" t="s">
        <v>334</v>
      </c>
      <c r="L107" s="25" t="n">
        <f aca="false">IFERROR((F107-G107)/G107,0)</f>
        <v>2.93167897895663</v>
      </c>
    </row>
    <row r="108" customFormat="false" ht="15" hidden="false" customHeight="true" outlineLevel="0" collapsed="false">
      <c r="B108" s="14" t="n">
        <v>102</v>
      </c>
      <c r="C108" s="11" t="s">
        <v>341</v>
      </c>
      <c r="D108" s="11" t="s">
        <v>268</v>
      </c>
      <c r="E108" s="14" t="s">
        <v>283</v>
      </c>
      <c r="F108" s="22" t="n">
        <v>4.2</v>
      </c>
      <c r="G108" s="13" t="n">
        <f aca="false">IFERROR(SUMIFS(H328:H1942,B328:B1942,B108),0)</f>
        <v>1.07791189427313</v>
      </c>
      <c r="H108" s="13" t="n">
        <f aca="false">F108-G108</f>
        <v>3.12208810572687</v>
      </c>
      <c r="I108" s="23" t="n">
        <f aca="false">IFERROR((F108-G108)/F108,0)</f>
        <v>0.743354310887351</v>
      </c>
      <c r="J108" s="14" t="n">
        <v>6</v>
      </c>
      <c r="K108" s="24" t="s">
        <v>334</v>
      </c>
      <c r="L108" s="25" t="n">
        <f aca="false">IFERROR((F108-G108)/G108,0)</f>
        <v>2.89642235354699</v>
      </c>
    </row>
    <row r="109" customFormat="false" ht="15" hidden="false" customHeight="true" outlineLevel="0" collapsed="false">
      <c r="B109" s="14" t="n">
        <v>103</v>
      </c>
      <c r="C109" s="11" t="s">
        <v>342</v>
      </c>
      <c r="D109" s="11" t="s">
        <v>266</v>
      </c>
      <c r="E109" s="14" t="s">
        <v>283</v>
      </c>
      <c r="F109" s="22" t="n">
        <v>4.6</v>
      </c>
      <c r="G109" s="13" t="n">
        <f aca="false">IFERROR(SUMIFS(H328:H1942,B328:B1942,B109),0)</f>
        <v>0.720859030837004</v>
      </c>
      <c r="H109" s="13" t="n">
        <f aca="false">F109-G109</f>
        <v>3.879140969163</v>
      </c>
      <c r="I109" s="23" t="n">
        <f aca="false">IFERROR((F109-G109)/F109,0)</f>
        <v>0.843291515035434</v>
      </c>
      <c r="J109" s="14" t="n">
        <v>5</v>
      </c>
      <c r="K109" s="24" t="s">
        <v>337</v>
      </c>
      <c r="L109" s="25" t="n">
        <f aca="false">IFERROR((F109-G109)/G109,0)</f>
        <v>5.38127539951722</v>
      </c>
    </row>
    <row r="110" customFormat="false" ht="15" hidden="false" customHeight="true" outlineLevel="0" collapsed="false">
      <c r="B110" s="14" t="n">
        <v>104</v>
      </c>
      <c r="C110" s="11" t="s">
        <v>342</v>
      </c>
      <c r="D110" s="11" t="s">
        <v>268</v>
      </c>
      <c r="E110" s="14" t="s">
        <v>283</v>
      </c>
      <c r="F110" s="22" t="n">
        <v>4.2</v>
      </c>
      <c r="G110" s="13" t="n">
        <f aca="false">IFERROR(SUMIFS(H328:H1942,B328:B1942,B110),0)</f>
        <v>0.646894273127753</v>
      </c>
      <c r="H110" s="13" t="n">
        <f aca="false">F110-G110</f>
        <v>3.55310572687225</v>
      </c>
      <c r="I110" s="23" t="n">
        <f aca="false">IFERROR((F110-G110)/F110,0)</f>
        <v>0.845977554017202</v>
      </c>
      <c r="J110" s="14" t="n">
        <v>5</v>
      </c>
      <c r="K110" s="24" t="s">
        <v>337</v>
      </c>
      <c r="L110" s="25" t="n">
        <f aca="false">IFERROR((F110-G110)/G110,0)</f>
        <v>5.49256018250536</v>
      </c>
    </row>
    <row r="111" customFormat="false" ht="15" hidden="false" customHeight="true" outlineLevel="0" collapsed="false">
      <c r="B111" s="14" t="n">
        <v>105</v>
      </c>
      <c r="C111" s="11" t="s">
        <v>343</v>
      </c>
      <c r="D111" s="11" t="s">
        <v>266</v>
      </c>
      <c r="E111" s="14" t="s">
        <v>283</v>
      </c>
      <c r="F111" s="22" t="n">
        <v>4.1</v>
      </c>
      <c r="G111" s="13" t="n">
        <f aca="false">IFERROR(SUMIFS(H328:H1942,B328:B1942,B111),0)</f>
        <v>1.05154919236417</v>
      </c>
      <c r="H111" s="13" t="n">
        <f aca="false">F111-G111</f>
        <v>3.04845080763583</v>
      </c>
      <c r="I111" s="23" t="n">
        <f aca="false">IFERROR((F111-G111)/F111,0)</f>
        <v>0.743524587228251</v>
      </c>
      <c r="J111" s="14" t="n">
        <v>5</v>
      </c>
      <c r="K111" s="24" t="s">
        <v>334</v>
      </c>
      <c r="L111" s="25" t="n">
        <f aca="false">IFERROR((F111-G111)/G111,0)</f>
        <v>2.89900922350773</v>
      </c>
    </row>
    <row r="112" customFormat="false" ht="15" hidden="false" customHeight="true" outlineLevel="0" collapsed="false">
      <c r="B112" s="14" t="n">
        <v>106</v>
      </c>
      <c r="C112" s="11" t="s">
        <v>343</v>
      </c>
      <c r="D112" s="11" t="s">
        <v>268</v>
      </c>
      <c r="E112" s="14" t="s">
        <v>283</v>
      </c>
      <c r="F112" s="22" t="n">
        <v>3.9</v>
      </c>
      <c r="G112" s="13" t="n">
        <f aca="false">IFERROR(SUMIFS(H328:H1942,B328:B1942,B112),0)</f>
        <v>0.984911894273128</v>
      </c>
      <c r="H112" s="13" t="n">
        <f aca="false">F112-G112</f>
        <v>2.91508810572687</v>
      </c>
      <c r="I112" s="23" t="n">
        <f aca="false">IFERROR((F112-G112)/F112,0)</f>
        <v>0.747458488647916</v>
      </c>
      <c r="J112" s="14" t="n">
        <v>5</v>
      </c>
      <c r="K112" s="24" t="s">
        <v>334</v>
      </c>
      <c r="L112" s="25" t="n">
        <f aca="false">IFERROR((F112-G112)/G112,0)</f>
        <v>2.95974505199597</v>
      </c>
    </row>
    <row r="113" customFormat="false" ht="15" hidden="false" customHeight="true" outlineLevel="0" collapsed="false">
      <c r="B113" s="14" t="n">
        <v>107</v>
      </c>
      <c r="C113" s="11" t="s">
        <v>344</v>
      </c>
      <c r="D113" s="11" t="s">
        <v>266</v>
      </c>
      <c r="E113" s="14"/>
      <c r="F113" s="22" t="n">
        <v>4.4</v>
      </c>
      <c r="G113" s="13" t="n">
        <f aca="false">IFERROR(SUMIFS(H328:H1942,B328:B1942,B113),0)</f>
        <v>1.01200373781872</v>
      </c>
      <c r="H113" s="13" t="n">
        <f aca="false">F113-G113</f>
        <v>3.38799626218128</v>
      </c>
      <c r="I113" s="23" t="n">
        <f aca="false">IFERROR((F113-G113)/F113,0)</f>
        <v>0.769999150495746</v>
      </c>
      <c r="J113" s="14" t="n">
        <v>5</v>
      </c>
      <c r="K113" s="24" t="s">
        <v>345</v>
      </c>
      <c r="L113" s="25" t="n">
        <f aca="false">IFERROR((F113-G113)/G113,0)</f>
        <v>3.34781002833429</v>
      </c>
    </row>
    <row r="114" customFormat="false" ht="15" hidden="false" customHeight="true" outlineLevel="0" collapsed="false">
      <c r="B114" s="14" t="n">
        <v>108</v>
      </c>
      <c r="C114" s="11" t="s">
        <v>344</v>
      </c>
      <c r="D114" s="11" t="s">
        <v>268</v>
      </c>
      <c r="E114" s="14"/>
      <c r="F114" s="22" t="n">
        <v>4</v>
      </c>
      <c r="G114" s="13" t="n">
        <f aca="false">IFERROR(SUMIFS(H328:H1942,B328:B1942,B114),0)</f>
        <v>0.930711520491256</v>
      </c>
      <c r="H114" s="13" t="n">
        <f aca="false">F114-G114</f>
        <v>3.06928847950874</v>
      </c>
      <c r="I114" s="23" t="n">
        <f aca="false">IFERROR((F114-G114)/F114,0)</f>
        <v>0.767322119877186</v>
      </c>
      <c r="J114" s="14" t="n">
        <v>5</v>
      </c>
      <c r="K114" s="24" t="s">
        <v>345</v>
      </c>
      <c r="L114" s="25" t="n">
        <f aca="false">IFERROR((F114-G114)/G114,0)</f>
        <v>3.29778713589866</v>
      </c>
    </row>
    <row r="115" customFormat="false" ht="15" hidden="false" customHeight="true" outlineLevel="0" collapsed="false">
      <c r="B115" s="14" t="n">
        <v>109</v>
      </c>
      <c r="C115" s="11" t="s">
        <v>346</v>
      </c>
      <c r="D115" s="11" t="s">
        <v>266</v>
      </c>
      <c r="E115" s="14"/>
      <c r="F115" s="22" t="n">
        <v>4.1</v>
      </c>
      <c r="G115" s="13" t="n">
        <f aca="false">IFERROR(SUMIFS(H328:H1942,B328:B1942,B115),0)</f>
        <v>0.90154919236417</v>
      </c>
      <c r="H115" s="13" t="n">
        <f aca="false">F115-G115</f>
        <v>3.19845080763583</v>
      </c>
      <c r="I115" s="23" t="n">
        <f aca="false">IFERROR((F115-G115)/F115,0)</f>
        <v>0.78010995308191</v>
      </c>
      <c r="J115" s="14" t="n">
        <v>4</v>
      </c>
      <c r="K115" s="24" t="s">
        <v>334</v>
      </c>
      <c r="L115" s="25" t="n">
        <f aca="false">IFERROR((F115-G115)/G115,0)</f>
        <v>3.54772743930744</v>
      </c>
    </row>
    <row r="116" customFormat="false" ht="15" hidden="false" customHeight="true" outlineLevel="0" collapsed="false">
      <c r="B116" s="14" t="n">
        <v>110</v>
      </c>
      <c r="C116" s="11" t="s">
        <v>346</v>
      </c>
      <c r="D116" s="11" t="s">
        <v>268</v>
      </c>
      <c r="E116" s="14"/>
      <c r="F116" s="22" t="n">
        <v>3.9</v>
      </c>
      <c r="G116" s="13" t="n">
        <f aca="false">IFERROR(SUMIFS(H328:H1942,B328:B1942,B116),0)</f>
        <v>0.834911894273128</v>
      </c>
      <c r="H116" s="13" t="n">
        <f aca="false">F116-G116</f>
        <v>3.06508810572687</v>
      </c>
      <c r="I116" s="23" t="n">
        <f aca="false">IFERROR((F116-G116)/F116,0)</f>
        <v>0.785920027109454</v>
      </c>
      <c r="J116" s="14" t="n">
        <v>4</v>
      </c>
      <c r="K116" s="24" t="s">
        <v>334</v>
      </c>
      <c r="L116" s="25" t="n">
        <f aca="false">IFERROR((F116-G116)/G116,0)</f>
        <v>3.67115156311832</v>
      </c>
    </row>
    <row r="117" customFormat="false" ht="15" hidden="false" customHeight="true" outlineLevel="0" collapsed="false">
      <c r="B117" s="14" t="n">
        <v>111</v>
      </c>
      <c r="C117" s="11" t="s">
        <v>347</v>
      </c>
      <c r="D117" s="11" t="s">
        <v>266</v>
      </c>
      <c r="E117" s="14"/>
      <c r="F117" s="22" t="n">
        <v>4.1</v>
      </c>
      <c r="G117" s="13" t="n">
        <f aca="false">IFERROR(SUMIFS(H328:H1942,B328:B1942,B117),0)</f>
        <v>0.90154919236417</v>
      </c>
      <c r="H117" s="13" t="n">
        <f aca="false">F117-G117</f>
        <v>3.19845080763583</v>
      </c>
      <c r="I117" s="23" t="n">
        <f aca="false">IFERROR((F117-G117)/F117,0)</f>
        <v>0.78010995308191</v>
      </c>
      <c r="J117" s="14" t="n">
        <v>4</v>
      </c>
      <c r="K117" s="24" t="s">
        <v>334</v>
      </c>
      <c r="L117" s="25" t="n">
        <f aca="false">IFERROR((F117-G117)/G117,0)</f>
        <v>3.54772743930744</v>
      </c>
    </row>
    <row r="118" customFormat="false" ht="15" hidden="false" customHeight="true" outlineLevel="0" collapsed="false">
      <c r="B118" s="14" t="n">
        <v>112</v>
      </c>
      <c r="C118" s="11" t="s">
        <v>347</v>
      </c>
      <c r="D118" s="11" t="s">
        <v>268</v>
      </c>
      <c r="E118" s="14"/>
      <c r="F118" s="22" t="n">
        <v>3.9</v>
      </c>
      <c r="G118" s="13" t="n">
        <f aca="false">IFERROR(SUMIFS(H328:H1942,B328:B1942,B118),0)</f>
        <v>0.834911894273128</v>
      </c>
      <c r="H118" s="13" t="n">
        <f aca="false">F118-G118</f>
        <v>3.06508810572687</v>
      </c>
      <c r="I118" s="23" t="n">
        <f aca="false">IFERROR((F118-G118)/F118,0)</f>
        <v>0.785920027109454</v>
      </c>
      <c r="J118" s="14" t="n">
        <v>4</v>
      </c>
      <c r="K118" s="24" t="s">
        <v>334</v>
      </c>
      <c r="L118" s="25" t="n">
        <f aca="false">IFERROR((F118-G118)/G118,0)</f>
        <v>3.67115156311832</v>
      </c>
    </row>
    <row r="119" customFormat="false" ht="15" hidden="false" customHeight="true" outlineLevel="0" collapsed="false">
      <c r="B119" s="14" t="n">
        <v>113</v>
      </c>
      <c r="C119" s="11" t="s">
        <v>348</v>
      </c>
      <c r="D119" s="11" t="s">
        <v>266</v>
      </c>
      <c r="E119" s="14" t="s">
        <v>283</v>
      </c>
      <c r="F119" s="22" t="n">
        <v>4.4</v>
      </c>
      <c r="G119" s="13" t="n">
        <f aca="false">IFERROR(SUMIFS(H328:H1942,B328:B1942,B119),0)</f>
        <v>1.05154919236417</v>
      </c>
      <c r="H119" s="13" t="n">
        <f aca="false">F119-G119</f>
        <v>3.34845080763583</v>
      </c>
      <c r="I119" s="23" t="n">
        <f aca="false">IFERROR((F119-G119)/F119,0)</f>
        <v>0.761011547189961</v>
      </c>
      <c r="J119" s="14" t="n">
        <v>5</v>
      </c>
      <c r="K119" s="24" t="s">
        <v>334</v>
      </c>
      <c r="L119" s="25" t="n">
        <f aca="false">IFERROR((F119-G119)/G119,0)</f>
        <v>3.18430258132536</v>
      </c>
    </row>
    <row r="120" customFormat="false" ht="15" hidden="false" customHeight="true" outlineLevel="0" collapsed="false">
      <c r="B120" s="14" t="n">
        <v>114</v>
      </c>
      <c r="C120" s="11" t="s">
        <v>348</v>
      </c>
      <c r="D120" s="11" t="s">
        <v>268</v>
      </c>
      <c r="E120" s="14" t="s">
        <v>283</v>
      </c>
      <c r="F120" s="22" t="n">
        <v>4.2</v>
      </c>
      <c r="G120" s="13" t="n">
        <f aca="false">IFERROR(SUMIFS(H328:H1942,B328:B1942,B120),0)</f>
        <v>0.984911894273128</v>
      </c>
      <c r="H120" s="13" t="n">
        <f aca="false">F120-G120</f>
        <v>3.21508810572687</v>
      </c>
      <c r="I120" s="23" t="n">
        <f aca="false">IFERROR((F120-G120)/F120,0)</f>
        <v>0.765497168030208</v>
      </c>
      <c r="J120" s="14" t="n">
        <v>5</v>
      </c>
      <c r="K120" s="24" t="s">
        <v>334</v>
      </c>
      <c r="L120" s="25" t="n">
        <f aca="false">IFERROR((F120-G120)/G120,0)</f>
        <v>3.26434082522643</v>
      </c>
    </row>
    <row r="121" customFormat="false" ht="15" hidden="false" customHeight="true" outlineLevel="0" collapsed="false">
      <c r="B121" s="14" t="n">
        <v>115</v>
      </c>
      <c r="C121" s="11" t="s">
        <v>349</v>
      </c>
      <c r="D121" s="11" t="s">
        <v>266</v>
      </c>
      <c r="E121" s="14"/>
      <c r="F121" s="22" t="n">
        <v>4.1</v>
      </c>
      <c r="G121" s="13" t="n">
        <f aca="false">IFERROR(SUMIFS(H328:H1942,B328:B1942,B121),0)</f>
        <v>0.90154919236417</v>
      </c>
      <c r="H121" s="13" t="n">
        <f aca="false">F121-G121</f>
        <v>3.19845080763583</v>
      </c>
      <c r="I121" s="23" t="n">
        <f aca="false">IFERROR((F121-G121)/F121,0)</f>
        <v>0.78010995308191</v>
      </c>
      <c r="J121" s="14" t="n">
        <v>4</v>
      </c>
      <c r="K121" s="24" t="s">
        <v>334</v>
      </c>
      <c r="L121" s="25" t="n">
        <f aca="false">IFERROR((F121-G121)/G121,0)</f>
        <v>3.54772743930744</v>
      </c>
    </row>
    <row r="122" customFormat="false" ht="15" hidden="false" customHeight="true" outlineLevel="0" collapsed="false">
      <c r="B122" s="14" t="n">
        <v>116</v>
      </c>
      <c r="C122" s="11" t="s">
        <v>349</v>
      </c>
      <c r="D122" s="11" t="s">
        <v>268</v>
      </c>
      <c r="E122" s="14"/>
      <c r="F122" s="22" t="n">
        <v>3.9</v>
      </c>
      <c r="G122" s="13" t="n">
        <f aca="false">IFERROR(SUMIFS(H328:H1942,B328:B1942,B122),0)</f>
        <v>0.834911894273128</v>
      </c>
      <c r="H122" s="13" t="n">
        <f aca="false">F122-G122</f>
        <v>3.06508810572687</v>
      </c>
      <c r="I122" s="23" t="n">
        <f aca="false">IFERROR((F122-G122)/F122,0)</f>
        <v>0.785920027109454</v>
      </c>
      <c r="J122" s="14" t="n">
        <v>4</v>
      </c>
      <c r="K122" s="24" t="s">
        <v>334</v>
      </c>
      <c r="L122" s="25" t="n">
        <f aca="false">IFERROR((F122-G122)/G122,0)</f>
        <v>3.67115156311832</v>
      </c>
    </row>
    <row r="123" customFormat="false" ht="15" hidden="false" customHeight="true" outlineLevel="0" collapsed="false">
      <c r="B123" s="14" t="n">
        <v>117</v>
      </c>
      <c r="C123" s="11" t="s">
        <v>350</v>
      </c>
      <c r="D123" s="11" t="s">
        <v>266</v>
      </c>
      <c r="E123" s="14" t="s">
        <v>283</v>
      </c>
      <c r="F123" s="22" t="n">
        <v>4.5</v>
      </c>
      <c r="G123" s="13" t="n">
        <f aca="false">IFERROR(SUMIFS(H328:H1942,B328:B1942,B123),0)</f>
        <v>1.26154919236417</v>
      </c>
      <c r="H123" s="13" t="n">
        <f aca="false">F123-G123</f>
        <v>3.23845080763583</v>
      </c>
      <c r="I123" s="23" t="n">
        <f aca="false">IFERROR((F123-G123)/F123,0)</f>
        <v>0.719655735030184</v>
      </c>
      <c r="J123" s="14" t="n">
        <v>6</v>
      </c>
      <c r="K123" s="24" t="s">
        <v>351</v>
      </c>
      <c r="L123" s="25" t="n">
        <f aca="false">IFERROR((F123-G123)/G123,0)</f>
        <v>2.56704282895771</v>
      </c>
    </row>
    <row r="124" customFormat="false" ht="15" hidden="false" customHeight="true" outlineLevel="0" collapsed="false">
      <c r="B124" s="14" t="n">
        <v>118</v>
      </c>
      <c r="C124" s="11" t="s">
        <v>350</v>
      </c>
      <c r="D124" s="11" t="s">
        <v>268</v>
      </c>
      <c r="E124" s="14" t="s">
        <v>283</v>
      </c>
      <c r="F124" s="22" t="n">
        <v>4.2</v>
      </c>
      <c r="G124" s="13" t="n">
        <f aca="false">IFERROR(SUMIFS(H328:H1942,B328:B1942,B124),0)</f>
        <v>1.12491189427313</v>
      </c>
      <c r="H124" s="13" t="n">
        <f aca="false">F124-G124</f>
        <v>3.07508810572687</v>
      </c>
      <c r="I124" s="23" t="n">
        <f aca="false">IFERROR((F124-G124)/F124,0)</f>
        <v>0.732163834696874</v>
      </c>
      <c r="J124" s="14" t="n">
        <v>6</v>
      </c>
      <c r="K124" s="24" t="s">
        <v>351</v>
      </c>
      <c r="L124" s="25" t="n">
        <f aca="false">IFERROR((F124-G124)/G124,0)</f>
        <v>2.73362573671947</v>
      </c>
    </row>
    <row r="125" customFormat="false" ht="15" hidden="false" customHeight="true" outlineLevel="0" collapsed="false">
      <c r="B125" s="14" t="n">
        <v>119</v>
      </c>
      <c r="C125" s="11" t="s">
        <v>352</v>
      </c>
      <c r="D125" s="11" t="s">
        <v>266</v>
      </c>
      <c r="E125" s="14"/>
      <c r="F125" s="22" t="n">
        <v>4.1</v>
      </c>
      <c r="G125" s="13" t="n">
        <f aca="false">IFERROR(SUMIFS(H328:H1942,B328:B1942,B125),0)</f>
        <v>1.05154919236417</v>
      </c>
      <c r="H125" s="13" t="n">
        <f aca="false">F125-G125</f>
        <v>3.04845080763583</v>
      </c>
      <c r="I125" s="23" t="n">
        <f aca="false">IFERROR((F125-G125)/F125,0)</f>
        <v>0.743524587228251</v>
      </c>
      <c r="J125" s="14" t="n">
        <v>5</v>
      </c>
      <c r="K125" s="24" t="s">
        <v>334</v>
      </c>
      <c r="L125" s="25" t="n">
        <f aca="false">IFERROR((F125-G125)/G125,0)</f>
        <v>2.89900922350773</v>
      </c>
    </row>
    <row r="126" customFormat="false" ht="15" hidden="false" customHeight="true" outlineLevel="0" collapsed="false">
      <c r="B126" s="14" t="n">
        <v>120</v>
      </c>
      <c r="C126" s="11" t="s">
        <v>352</v>
      </c>
      <c r="D126" s="11" t="s">
        <v>268</v>
      </c>
      <c r="E126" s="14"/>
      <c r="F126" s="22" t="n">
        <v>3.9</v>
      </c>
      <c r="G126" s="13" t="n">
        <f aca="false">IFERROR(SUMIFS(H328:H1942,B328:B1942,B126),0)</f>
        <v>0.984911894273128</v>
      </c>
      <c r="H126" s="13" t="n">
        <f aca="false">F126-G126</f>
        <v>2.91508810572687</v>
      </c>
      <c r="I126" s="23" t="n">
        <f aca="false">IFERROR((F126-G126)/F126,0)</f>
        <v>0.747458488647916</v>
      </c>
      <c r="J126" s="14" t="n">
        <v>5</v>
      </c>
      <c r="K126" s="24" t="s">
        <v>334</v>
      </c>
      <c r="L126" s="25" t="n">
        <f aca="false">IFERROR((F126-G126)/G126,0)</f>
        <v>2.95974505199597</v>
      </c>
    </row>
    <row r="127" customFormat="false" ht="15" hidden="false" customHeight="true" outlineLevel="0" collapsed="false">
      <c r="B127" s="14" t="n">
        <v>121</v>
      </c>
      <c r="C127" s="11" t="s">
        <v>353</v>
      </c>
      <c r="D127" s="11" t="s">
        <v>266</v>
      </c>
      <c r="E127" s="14" t="s">
        <v>283</v>
      </c>
      <c r="F127" s="22" t="n">
        <v>4.5</v>
      </c>
      <c r="G127" s="13" t="n">
        <f aca="false">IFERROR(SUMIFS(H328:H1942,B328:B1942,B127),0)</f>
        <v>1.26154919236417</v>
      </c>
      <c r="H127" s="13" t="n">
        <f aca="false">F127-G127</f>
        <v>3.23845080763583</v>
      </c>
      <c r="I127" s="23" t="n">
        <f aca="false">IFERROR((F127-G127)/F127,0)</f>
        <v>0.719655735030184</v>
      </c>
      <c r="J127" s="14" t="n">
        <v>6</v>
      </c>
      <c r="K127" s="24" t="s">
        <v>351</v>
      </c>
      <c r="L127" s="25" t="n">
        <f aca="false">IFERROR((F127-G127)/G127,0)</f>
        <v>2.56704282895771</v>
      </c>
    </row>
    <row r="128" customFormat="false" ht="15" hidden="false" customHeight="true" outlineLevel="0" collapsed="false">
      <c r="B128" s="14" t="n">
        <v>122</v>
      </c>
      <c r="C128" s="11" t="s">
        <v>353</v>
      </c>
      <c r="D128" s="11" t="s">
        <v>268</v>
      </c>
      <c r="E128" s="14" t="s">
        <v>283</v>
      </c>
      <c r="F128" s="22" t="n">
        <v>4.2</v>
      </c>
      <c r="G128" s="13" t="n">
        <f aca="false">IFERROR(SUMIFS(H328:H1942,B328:B1942,B128),0)</f>
        <v>1.12491189427313</v>
      </c>
      <c r="H128" s="13" t="n">
        <f aca="false">F128-G128</f>
        <v>3.07508810572687</v>
      </c>
      <c r="I128" s="23" t="n">
        <f aca="false">IFERROR((F128-G128)/F128,0)</f>
        <v>0.732163834696874</v>
      </c>
      <c r="J128" s="14" t="n">
        <v>6</v>
      </c>
      <c r="K128" s="24" t="s">
        <v>351</v>
      </c>
      <c r="L128" s="25" t="n">
        <f aca="false">IFERROR((F128-G128)/G128,0)</f>
        <v>2.73362573671947</v>
      </c>
    </row>
    <row r="129" customFormat="false" ht="15" hidden="false" customHeight="true" outlineLevel="0" collapsed="false">
      <c r="B129" s="14" t="n">
        <v>123</v>
      </c>
      <c r="C129" s="11" t="s">
        <v>354</v>
      </c>
      <c r="D129" s="11" t="s">
        <v>266</v>
      </c>
      <c r="E129" s="14"/>
      <c r="F129" s="22" t="n">
        <v>3.9</v>
      </c>
      <c r="G129" s="13" t="n">
        <f aca="false">IFERROR(SUMIFS(H328:H1942,B328:B1942,B129),0)</f>
        <v>0.379875</v>
      </c>
      <c r="H129" s="13" t="n">
        <f aca="false">F129-G129</f>
        <v>3.520125</v>
      </c>
      <c r="I129" s="23" t="n">
        <f aca="false">IFERROR((F129-G129)/F129,0)</f>
        <v>0.902596153846154</v>
      </c>
      <c r="J129" s="14" t="n">
        <v>4</v>
      </c>
      <c r="K129" s="24" t="s">
        <v>355</v>
      </c>
      <c r="L129" s="25" t="n">
        <f aca="false">IFERROR((F129-G129)/G129,0)</f>
        <v>9.26653504442251</v>
      </c>
    </row>
    <row r="130" customFormat="false" ht="15" hidden="false" customHeight="true" outlineLevel="0" collapsed="false">
      <c r="B130" s="14" t="n">
        <v>124</v>
      </c>
      <c r="C130" s="11" t="s">
        <v>354</v>
      </c>
      <c r="D130" s="11" t="s">
        <v>268</v>
      </c>
      <c r="E130" s="14"/>
      <c r="F130" s="22" t="n">
        <v>3.6</v>
      </c>
      <c r="G130" s="13" t="n">
        <f aca="false">IFERROR(SUMIFS(H328:H1942,B328:B1942,B130),0)</f>
        <v>0.349875</v>
      </c>
      <c r="H130" s="13" t="n">
        <f aca="false">F130-G130</f>
        <v>3.250125</v>
      </c>
      <c r="I130" s="23" t="n">
        <f aca="false">IFERROR((F130-G130)/F130,0)</f>
        <v>0.9028125</v>
      </c>
      <c r="J130" s="14" t="n">
        <v>4</v>
      </c>
      <c r="K130" s="24" t="s">
        <v>355</v>
      </c>
      <c r="L130" s="25" t="n">
        <f aca="false">IFERROR((F130-G130)/G130,0)</f>
        <v>9.28938906752412</v>
      </c>
    </row>
    <row r="131" customFormat="false" ht="15" hidden="false" customHeight="true" outlineLevel="0" collapsed="false">
      <c r="B131" s="14" t="n">
        <v>125</v>
      </c>
      <c r="C131" s="11" t="s">
        <v>356</v>
      </c>
      <c r="D131" s="11" t="s">
        <v>266</v>
      </c>
      <c r="E131" s="14" t="s">
        <v>283</v>
      </c>
      <c r="F131" s="22" t="n">
        <v>4.6</v>
      </c>
      <c r="G131" s="13" t="n">
        <f aca="false">IFERROR(SUMIFS(H328:H1942,B328:B1942,B131),0)</f>
        <v>1.23154919236417</v>
      </c>
      <c r="H131" s="13" t="n">
        <f aca="false">F131-G131</f>
        <v>3.36845080763583</v>
      </c>
      <c r="I131" s="23" t="n">
        <f aca="false">IFERROR((F131-G131)/F131,0)</f>
        <v>0.732271914703441</v>
      </c>
      <c r="J131" s="14" t="n">
        <v>6</v>
      </c>
      <c r="K131" s="24" t="s">
        <v>351</v>
      </c>
      <c r="L131" s="25" t="n">
        <f aca="false">IFERROR((F131-G131)/G131,0)</f>
        <v>2.73513297602795</v>
      </c>
    </row>
    <row r="132" customFormat="false" ht="15" hidden="false" customHeight="true" outlineLevel="0" collapsed="false">
      <c r="B132" s="14" t="n">
        <v>126</v>
      </c>
      <c r="C132" s="11" t="s">
        <v>356</v>
      </c>
      <c r="D132" s="11" t="s">
        <v>268</v>
      </c>
      <c r="E132" s="14" t="s">
        <v>283</v>
      </c>
      <c r="F132" s="22" t="n">
        <v>4.3</v>
      </c>
      <c r="G132" s="13" t="n">
        <f aca="false">IFERROR(SUMIFS(H328:H1942,B328:B1942,B132),0)</f>
        <v>1.10491189427313</v>
      </c>
      <c r="H132" s="13" t="n">
        <f aca="false">F132-G132</f>
        <v>3.19508810572687</v>
      </c>
      <c r="I132" s="23" t="n">
        <f aca="false">IFERROR((F132-G132)/F132,0)</f>
        <v>0.743043745517877</v>
      </c>
      <c r="J132" s="14" t="n">
        <v>6</v>
      </c>
      <c r="K132" s="24" t="s">
        <v>351</v>
      </c>
      <c r="L132" s="25" t="n">
        <f aca="false">IFERROR((F132-G132)/G132,0)</f>
        <v>2.89171301556924</v>
      </c>
    </row>
    <row r="133" customFormat="false" ht="15" hidden="false" customHeight="true" outlineLevel="0" collapsed="false">
      <c r="B133" s="14" t="n">
        <v>127</v>
      </c>
      <c r="C133" s="11" t="s">
        <v>357</v>
      </c>
      <c r="D133" s="11" t="s">
        <v>266</v>
      </c>
      <c r="E133" s="14"/>
      <c r="F133" s="22" t="n">
        <v>4.1</v>
      </c>
      <c r="G133" s="13" t="n">
        <f aca="false">IFERROR(SUMIFS(H328:H1942,B328:B1942,B133),0)</f>
        <v>1.05154919236417</v>
      </c>
      <c r="H133" s="13" t="n">
        <f aca="false">F133-G133</f>
        <v>3.04845080763583</v>
      </c>
      <c r="I133" s="23" t="n">
        <f aca="false">IFERROR((F133-G133)/F133,0)</f>
        <v>0.743524587228251</v>
      </c>
      <c r="J133" s="14" t="n">
        <v>5</v>
      </c>
      <c r="K133" s="24" t="s">
        <v>334</v>
      </c>
      <c r="L133" s="25" t="n">
        <f aca="false">IFERROR((F133-G133)/G133,0)</f>
        <v>2.89900922350773</v>
      </c>
    </row>
    <row r="134" customFormat="false" ht="15" hidden="false" customHeight="true" outlineLevel="0" collapsed="false">
      <c r="B134" s="14" t="n">
        <v>128</v>
      </c>
      <c r="C134" s="11" t="s">
        <v>357</v>
      </c>
      <c r="D134" s="11" t="s">
        <v>268</v>
      </c>
      <c r="E134" s="14"/>
      <c r="F134" s="22" t="n">
        <v>3.9</v>
      </c>
      <c r="G134" s="13" t="n">
        <f aca="false">IFERROR(SUMIFS(H328:H1942,B328:B1942,B134),0)</f>
        <v>0.984911894273128</v>
      </c>
      <c r="H134" s="13" t="n">
        <f aca="false">F134-G134</f>
        <v>2.91508810572687</v>
      </c>
      <c r="I134" s="23" t="n">
        <f aca="false">IFERROR((F134-G134)/F134,0)</f>
        <v>0.747458488647916</v>
      </c>
      <c r="J134" s="14" t="n">
        <v>5</v>
      </c>
      <c r="K134" s="24" t="s">
        <v>334</v>
      </c>
      <c r="L134" s="25" t="n">
        <f aca="false">IFERROR((F134-G134)/G134,0)</f>
        <v>2.95974505199597</v>
      </c>
    </row>
    <row r="135" customFormat="false" ht="15" hidden="false" customHeight="true" outlineLevel="0" collapsed="false">
      <c r="B135" s="14" t="n">
        <v>129</v>
      </c>
      <c r="C135" s="11" t="s">
        <v>358</v>
      </c>
      <c r="D135" s="11" t="s">
        <v>266</v>
      </c>
      <c r="E135" s="14"/>
      <c r="F135" s="22" t="n">
        <v>4.4</v>
      </c>
      <c r="G135" s="13" t="n">
        <f aca="false">IFERROR(SUMIFS(H328:H1942,B328:B1942,B135),0)</f>
        <v>1.01200373781872</v>
      </c>
      <c r="H135" s="13" t="n">
        <f aca="false">F135-G135</f>
        <v>3.38799626218128</v>
      </c>
      <c r="I135" s="23" t="n">
        <f aca="false">IFERROR((F135-G135)/F135,0)</f>
        <v>0.769999150495746</v>
      </c>
      <c r="J135" s="14" t="n">
        <v>5</v>
      </c>
      <c r="K135" s="24" t="s">
        <v>345</v>
      </c>
      <c r="L135" s="25" t="n">
        <f aca="false">IFERROR((F135-G135)/G135,0)</f>
        <v>3.34781002833429</v>
      </c>
    </row>
    <row r="136" customFormat="false" ht="15" hidden="false" customHeight="true" outlineLevel="0" collapsed="false">
      <c r="B136" s="14" t="n">
        <v>130</v>
      </c>
      <c r="C136" s="11" t="s">
        <v>358</v>
      </c>
      <c r="D136" s="11" t="s">
        <v>268</v>
      </c>
      <c r="E136" s="14"/>
      <c r="F136" s="22" t="n">
        <v>4</v>
      </c>
      <c r="G136" s="13" t="n">
        <f aca="false">IFERROR(SUMIFS(H328:H1942,B328:B1942,B136),0)</f>
        <v>0.930711520491256</v>
      </c>
      <c r="H136" s="13" t="n">
        <f aca="false">F136-G136</f>
        <v>3.06928847950874</v>
      </c>
      <c r="I136" s="23" t="n">
        <f aca="false">IFERROR((F136-G136)/F136,0)</f>
        <v>0.767322119877186</v>
      </c>
      <c r="J136" s="14" t="n">
        <v>5</v>
      </c>
      <c r="K136" s="24" t="s">
        <v>345</v>
      </c>
      <c r="L136" s="25" t="n">
        <f aca="false">IFERROR((F136-G136)/G136,0)</f>
        <v>3.29778713589866</v>
      </c>
    </row>
    <row r="137" customFormat="false" ht="15" hidden="false" customHeight="true" outlineLevel="0" collapsed="false">
      <c r="B137" s="14" t="n">
        <v>131</v>
      </c>
      <c r="C137" s="11" t="s">
        <v>359</v>
      </c>
      <c r="D137" s="11" t="s">
        <v>266</v>
      </c>
      <c r="E137" s="14"/>
      <c r="F137" s="22" t="n">
        <v>4.1</v>
      </c>
      <c r="G137" s="13" t="n">
        <f aca="false">IFERROR(SUMIFS(H328:H1942,B328:B1942,B137),0)</f>
        <v>0.90154919236417</v>
      </c>
      <c r="H137" s="13" t="n">
        <f aca="false">F137-G137</f>
        <v>3.19845080763583</v>
      </c>
      <c r="I137" s="23" t="n">
        <f aca="false">IFERROR((F137-G137)/F137,0)</f>
        <v>0.78010995308191</v>
      </c>
      <c r="J137" s="14" t="n">
        <v>4</v>
      </c>
      <c r="K137" s="24" t="s">
        <v>334</v>
      </c>
      <c r="L137" s="25" t="n">
        <f aca="false">IFERROR((F137-G137)/G137,0)</f>
        <v>3.54772743930744</v>
      </c>
    </row>
    <row r="138" customFormat="false" ht="15" hidden="false" customHeight="true" outlineLevel="0" collapsed="false">
      <c r="B138" s="14" t="n">
        <v>132</v>
      </c>
      <c r="C138" s="11" t="s">
        <v>359</v>
      </c>
      <c r="D138" s="11" t="s">
        <v>268</v>
      </c>
      <c r="E138" s="14"/>
      <c r="F138" s="22" t="n">
        <v>3.9</v>
      </c>
      <c r="G138" s="13" t="n">
        <f aca="false">IFERROR(SUMIFS(H328:H1942,B328:B1942,B138),0)</f>
        <v>0.834911894273128</v>
      </c>
      <c r="H138" s="13" t="n">
        <f aca="false">F138-G138</f>
        <v>3.06508810572687</v>
      </c>
      <c r="I138" s="23" t="n">
        <f aca="false">IFERROR((F138-G138)/F138,0)</f>
        <v>0.785920027109454</v>
      </c>
      <c r="J138" s="14" t="n">
        <v>4</v>
      </c>
      <c r="K138" s="24" t="s">
        <v>334</v>
      </c>
      <c r="L138" s="25" t="n">
        <f aca="false">IFERROR((F138-G138)/G138,0)</f>
        <v>3.67115156311832</v>
      </c>
    </row>
    <row r="139" customFormat="false" ht="15" hidden="false" customHeight="true" outlineLevel="0" collapsed="false">
      <c r="B139" s="14" t="n">
        <v>133</v>
      </c>
      <c r="C139" s="11" t="s">
        <v>360</v>
      </c>
      <c r="D139" s="11" t="s">
        <v>266</v>
      </c>
      <c r="E139" s="14" t="s">
        <v>283</v>
      </c>
      <c r="F139" s="22" t="n">
        <v>4.6</v>
      </c>
      <c r="G139" s="13" t="n">
        <f aca="false">IFERROR(SUMIFS(H328:H1942,B328:B1942,B139),0)</f>
        <v>0.720859030837004</v>
      </c>
      <c r="H139" s="13" t="n">
        <f aca="false">F139-G139</f>
        <v>3.879140969163</v>
      </c>
      <c r="I139" s="23" t="n">
        <f aca="false">IFERROR((F139-G139)/F139,0)</f>
        <v>0.843291515035434</v>
      </c>
      <c r="J139" s="14" t="n">
        <v>5</v>
      </c>
      <c r="K139" s="24" t="s">
        <v>337</v>
      </c>
      <c r="L139" s="25" t="n">
        <f aca="false">IFERROR((F139-G139)/G139,0)</f>
        <v>5.38127539951722</v>
      </c>
    </row>
    <row r="140" customFormat="false" ht="15" hidden="false" customHeight="true" outlineLevel="0" collapsed="false">
      <c r="B140" s="14" t="n">
        <v>134</v>
      </c>
      <c r="C140" s="11" t="s">
        <v>360</v>
      </c>
      <c r="D140" s="11" t="s">
        <v>268</v>
      </c>
      <c r="E140" s="14" t="s">
        <v>283</v>
      </c>
      <c r="F140" s="22" t="n">
        <v>4.2</v>
      </c>
      <c r="G140" s="13" t="n">
        <f aca="false">IFERROR(SUMIFS(H328:H1942,B328:B1942,B140),0)</f>
        <v>0.646894273127753</v>
      </c>
      <c r="H140" s="13" t="n">
        <f aca="false">F140-G140</f>
        <v>3.55310572687225</v>
      </c>
      <c r="I140" s="23" t="n">
        <f aca="false">IFERROR((F140-G140)/F140,0)</f>
        <v>0.845977554017202</v>
      </c>
      <c r="J140" s="14" t="n">
        <v>5</v>
      </c>
      <c r="K140" s="24" t="s">
        <v>337</v>
      </c>
      <c r="L140" s="25" t="n">
        <f aca="false">IFERROR((F140-G140)/G140,0)</f>
        <v>5.49256018250536</v>
      </c>
    </row>
    <row r="141" customFormat="false" ht="15" hidden="false" customHeight="true" outlineLevel="0" collapsed="false">
      <c r="B141" s="14" t="n">
        <v>135</v>
      </c>
      <c r="C141" s="11" t="s">
        <v>361</v>
      </c>
      <c r="D141" s="11" t="s">
        <v>266</v>
      </c>
      <c r="E141" s="14" t="s">
        <v>283</v>
      </c>
      <c r="F141" s="22" t="n">
        <v>4.6</v>
      </c>
      <c r="G141" s="13" t="n">
        <f aca="false">IFERROR(SUMIFS(H328:H1942,B328:B1942,B141),0)</f>
        <v>1.23154919236417</v>
      </c>
      <c r="H141" s="13" t="n">
        <f aca="false">F141-G141</f>
        <v>3.36845080763583</v>
      </c>
      <c r="I141" s="23" t="n">
        <f aca="false">IFERROR((F141-G141)/F141,0)</f>
        <v>0.732271914703441</v>
      </c>
      <c r="J141" s="14" t="n">
        <v>6</v>
      </c>
      <c r="K141" s="24" t="s">
        <v>351</v>
      </c>
      <c r="L141" s="25" t="n">
        <f aca="false">IFERROR((F141-G141)/G141,0)</f>
        <v>2.73513297602795</v>
      </c>
    </row>
    <row r="142" customFormat="false" ht="15" hidden="false" customHeight="true" outlineLevel="0" collapsed="false">
      <c r="B142" s="14" t="n">
        <v>136</v>
      </c>
      <c r="C142" s="11" t="s">
        <v>361</v>
      </c>
      <c r="D142" s="11" t="s">
        <v>268</v>
      </c>
      <c r="E142" s="14" t="s">
        <v>283</v>
      </c>
      <c r="F142" s="22" t="n">
        <v>4.3</v>
      </c>
      <c r="G142" s="13" t="n">
        <f aca="false">IFERROR(SUMIFS(H328:H1942,B328:B1942,B142),0)</f>
        <v>1.10491189427313</v>
      </c>
      <c r="H142" s="13" t="n">
        <f aca="false">F142-G142</f>
        <v>3.19508810572687</v>
      </c>
      <c r="I142" s="23" t="n">
        <f aca="false">IFERROR((F142-G142)/F142,0)</f>
        <v>0.743043745517877</v>
      </c>
      <c r="J142" s="14" t="n">
        <v>6</v>
      </c>
      <c r="K142" s="24" t="s">
        <v>351</v>
      </c>
      <c r="L142" s="25" t="n">
        <f aca="false">IFERROR((F142-G142)/G142,0)</f>
        <v>2.89171301556924</v>
      </c>
    </row>
    <row r="143" customFormat="false" ht="15" hidden="false" customHeight="true" outlineLevel="0" collapsed="false">
      <c r="B143" s="14" t="n">
        <v>137</v>
      </c>
      <c r="C143" s="11" t="s">
        <v>362</v>
      </c>
      <c r="D143" s="11" t="s">
        <v>266</v>
      </c>
      <c r="E143" s="14"/>
      <c r="F143" s="22" t="n">
        <v>4.4</v>
      </c>
      <c r="G143" s="13" t="n">
        <f aca="false">IFERROR(SUMIFS(H328:H1942,B328:B1942,B143),0)</f>
        <v>1.01200373781872</v>
      </c>
      <c r="H143" s="13" t="n">
        <f aca="false">F143-G143</f>
        <v>3.38799626218128</v>
      </c>
      <c r="I143" s="23" t="n">
        <f aca="false">IFERROR((F143-G143)/F143,0)</f>
        <v>0.769999150495746</v>
      </c>
      <c r="J143" s="14" t="n">
        <v>5</v>
      </c>
      <c r="K143" s="24" t="s">
        <v>345</v>
      </c>
      <c r="L143" s="25" t="n">
        <f aca="false">IFERROR((F143-G143)/G143,0)</f>
        <v>3.34781002833429</v>
      </c>
    </row>
    <row r="144" customFormat="false" ht="15" hidden="false" customHeight="true" outlineLevel="0" collapsed="false">
      <c r="B144" s="14" t="n">
        <v>138</v>
      </c>
      <c r="C144" s="11" t="s">
        <v>362</v>
      </c>
      <c r="D144" s="11" t="s">
        <v>268</v>
      </c>
      <c r="E144" s="14"/>
      <c r="F144" s="22" t="n">
        <v>4</v>
      </c>
      <c r="G144" s="13" t="n">
        <f aca="false">IFERROR(SUMIFS(H328:H1942,B328:B1942,B144),0)</f>
        <v>0.930711520491256</v>
      </c>
      <c r="H144" s="13" t="n">
        <f aca="false">F144-G144</f>
        <v>3.06928847950874</v>
      </c>
      <c r="I144" s="23" t="n">
        <f aca="false">IFERROR((F144-G144)/F144,0)</f>
        <v>0.767322119877186</v>
      </c>
      <c r="J144" s="14" t="n">
        <v>5</v>
      </c>
      <c r="K144" s="24" t="s">
        <v>345</v>
      </c>
      <c r="L144" s="25" t="n">
        <f aca="false">IFERROR((F144-G144)/G144,0)</f>
        <v>3.29778713589866</v>
      </c>
    </row>
    <row r="145" customFormat="false" ht="15" hidden="false" customHeight="true" outlineLevel="0" collapsed="false">
      <c r="B145" s="14" t="n">
        <v>139</v>
      </c>
      <c r="C145" s="11" t="s">
        <v>363</v>
      </c>
      <c r="D145" s="11" t="s">
        <v>266</v>
      </c>
      <c r="E145" s="14"/>
      <c r="F145" s="22" t="n">
        <v>3.1</v>
      </c>
      <c r="G145" s="13" t="n">
        <f aca="false">IFERROR(SUMIFS(H328:H1942,B328:B1942,B145),0)</f>
        <v>0.755</v>
      </c>
      <c r="H145" s="13" t="n">
        <f aca="false">F145-G145</f>
        <v>2.345</v>
      </c>
      <c r="I145" s="23" t="n">
        <f aca="false">IFERROR((F145-G145)/F145,0)</f>
        <v>0.756451612903226</v>
      </c>
      <c r="J145" s="14" t="n">
        <v>3</v>
      </c>
      <c r="K145" s="24" t="s">
        <v>364</v>
      </c>
      <c r="L145" s="25" t="n">
        <f aca="false">IFERROR((F145-G145)/G145,0)</f>
        <v>3.10596026490066</v>
      </c>
    </row>
    <row r="146" customFormat="false" ht="15" hidden="false" customHeight="true" outlineLevel="0" collapsed="false">
      <c r="B146" s="14" t="n">
        <v>140</v>
      </c>
      <c r="C146" s="11" t="s">
        <v>363</v>
      </c>
      <c r="D146" s="11" t="s">
        <v>268</v>
      </c>
      <c r="E146" s="14"/>
      <c r="F146" s="22" t="n">
        <v>2.9</v>
      </c>
      <c r="G146" s="13" t="n">
        <f aca="false">IFERROR(SUMIFS(H328:H1942,B328:B1942,B146),0)</f>
        <v>0.725</v>
      </c>
      <c r="H146" s="13" t="n">
        <f aca="false">F146-G146</f>
        <v>2.175</v>
      </c>
      <c r="I146" s="23" t="n">
        <f aca="false">IFERROR((F146-G146)/F146,0)</f>
        <v>0.75</v>
      </c>
      <c r="J146" s="14" t="n">
        <v>3</v>
      </c>
      <c r="K146" s="24" t="s">
        <v>364</v>
      </c>
      <c r="L146" s="25" t="n">
        <f aca="false">IFERROR((F146-G146)/G146,0)</f>
        <v>3</v>
      </c>
    </row>
    <row r="147" customFormat="false" ht="15" hidden="false" customHeight="true" outlineLevel="0" collapsed="false">
      <c r="B147" s="14" t="n">
        <v>141</v>
      </c>
      <c r="C147" s="11" t="s">
        <v>365</v>
      </c>
      <c r="D147" s="11" t="s">
        <v>266</v>
      </c>
      <c r="E147" s="14"/>
      <c r="F147" s="22" t="n">
        <v>3.6</v>
      </c>
      <c r="G147" s="13" t="n">
        <f aca="false">IFERROR(SUMIFS(H328:H1942,B328:B1942,B147),0)</f>
        <v>0.90154919236417</v>
      </c>
      <c r="H147" s="13" t="n">
        <f aca="false">F147-G147</f>
        <v>2.69845080763583</v>
      </c>
      <c r="I147" s="23" t="n">
        <f aca="false">IFERROR((F147-G147)/F147,0)</f>
        <v>0.749569668787731</v>
      </c>
      <c r="J147" s="14" t="n">
        <v>4</v>
      </c>
      <c r="K147" s="24" t="s">
        <v>366</v>
      </c>
      <c r="L147" s="25" t="n">
        <f aca="false">IFERROR((F147-G147)/G147,0)</f>
        <v>2.99312653207483</v>
      </c>
    </row>
    <row r="148" customFormat="false" ht="15" hidden="false" customHeight="true" outlineLevel="0" collapsed="false">
      <c r="B148" s="14" t="n">
        <v>142</v>
      </c>
      <c r="C148" s="11" t="s">
        <v>365</v>
      </c>
      <c r="D148" s="11" t="s">
        <v>268</v>
      </c>
      <c r="E148" s="14"/>
      <c r="F148" s="22" t="n">
        <v>3.4</v>
      </c>
      <c r="G148" s="13" t="n">
        <f aca="false">IFERROR(SUMIFS(H328:H1942,B328:B1942,B148),0)</f>
        <v>0.834911894273128</v>
      </c>
      <c r="H148" s="13" t="n">
        <f aca="false">F148-G148</f>
        <v>2.56508810572687</v>
      </c>
      <c r="I148" s="23" t="n">
        <f aca="false">IFERROR((F148-G148)/F148,0)</f>
        <v>0.754437678154962</v>
      </c>
      <c r="J148" s="14" t="n">
        <v>4</v>
      </c>
      <c r="K148" s="24" t="s">
        <v>366</v>
      </c>
      <c r="L148" s="25" t="n">
        <f aca="false">IFERROR((F148-G148)/G148,0)</f>
        <v>3.07228597810315</v>
      </c>
    </row>
    <row r="149" customFormat="false" ht="15" hidden="false" customHeight="true" outlineLevel="0" collapsed="false">
      <c r="B149" s="14" t="n">
        <v>143</v>
      </c>
      <c r="C149" s="11" t="s">
        <v>367</v>
      </c>
      <c r="D149" s="11" t="s">
        <v>266</v>
      </c>
      <c r="E149" s="14"/>
      <c r="F149" s="22" t="n">
        <v>3.8</v>
      </c>
      <c r="G149" s="13" t="n">
        <f aca="false">IFERROR(SUMIFS(H328:H1942,B328:B1942,B149),0)</f>
        <v>0.90154919236417</v>
      </c>
      <c r="H149" s="13" t="n">
        <f aca="false">F149-G149</f>
        <v>2.89845080763583</v>
      </c>
      <c r="I149" s="23" t="n">
        <f aca="false">IFERROR((F149-G149)/F149,0)</f>
        <v>0.762750212535745</v>
      </c>
      <c r="J149" s="14" t="n">
        <v>4</v>
      </c>
      <c r="K149" s="24" t="s">
        <v>368</v>
      </c>
      <c r="L149" s="25" t="n">
        <f aca="false">IFERROR((F149-G149)/G149,0)</f>
        <v>3.21496689496787</v>
      </c>
    </row>
    <row r="150" customFormat="false" ht="15" hidden="false" customHeight="true" outlineLevel="0" collapsed="false">
      <c r="B150" s="14" t="n">
        <v>144</v>
      </c>
      <c r="C150" s="11" t="s">
        <v>367</v>
      </c>
      <c r="D150" s="11" t="s">
        <v>268</v>
      </c>
      <c r="E150" s="14"/>
      <c r="F150" s="22" t="n">
        <v>3.5</v>
      </c>
      <c r="G150" s="13" t="n">
        <f aca="false">IFERROR(SUMIFS(H328:H1942,B328:B1942,B150),0)</f>
        <v>0.834911894273128</v>
      </c>
      <c r="H150" s="13" t="n">
        <f aca="false">F150-G150</f>
        <v>2.66508810572687</v>
      </c>
      <c r="I150" s="23" t="n">
        <f aca="false">IFERROR((F150-G150)/F150,0)</f>
        <v>0.761453744493392</v>
      </c>
      <c r="J150" s="14" t="n">
        <v>4</v>
      </c>
      <c r="K150" s="24" t="s">
        <v>368</v>
      </c>
      <c r="L150" s="25" t="n">
        <f aca="false">IFERROR((F150-G150)/G150,0)</f>
        <v>3.19205909510619</v>
      </c>
    </row>
    <row r="151" customFormat="false" ht="15" hidden="false" customHeight="true" outlineLevel="0" collapsed="false">
      <c r="B151" s="14" t="n">
        <v>145</v>
      </c>
      <c r="C151" s="11" t="s">
        <v>369</v>
      </c>
      <c r="D151" s="11" t="s">
        <v>266</v>
      </c>
      <c r="E151" s="14"/>
      <c r="F151" s="22" t="n">
        <v>4.4</v>
      </c>
      <c r="G151" s="13" t="n">
        <f aca="false">IFERROR(SUMIFS(H328:H1942,B328:B1942,B151),0)</f>
        <v>1.01200373781872</v>
      </c>
      <c r="H151" s="13" t="n">
        <f aca="false">F151-G151</f>
        <v>3.38799626218128</v>
      </c>
      <c r="I151" s="23" t="n">
        <f aca="false">IFERROR((F151-G151)/F151,0)</f>
        <v>0.769999150495746</v>
      </c>
      <c r="J151" s="14" t="n">
        <v>5</v>
      </c>
      <c r="K151" s="24" t="s">
        <v>345</v>
      </c>
      <c r="L151" s="25" t="n">
        <f aca="false">IFERROR((F151-G151)/G151,0)</f>
        <v>3.34781002833429</v>
      </c>
    </row>
    <row r="152" customFormat="false" ht="15" hidden="false" customHeight="true" outlineLevel="0" collapsed="false">
      <c r="B152" s="14" t="n">
        <v>146</v>
      </c>
      <c r="C152" s="11" t="s">
        <v>369</v>
      </c>
      <c r="D152" s="11" t="s">
        <v>268</v>
      </c>
      <c r="E152" s="14"/>
      <c r="F152" s="22" t="n">
        <v>4</v>
      </c>
      <c r="G152" s="13" t="n">
        <f aca="false">IFERROR(SUMIFS(H328:H1942,B328:B1942,B152),0)</f>
        <v>0.930711520491256</v>
      </c>
      <c r="H152" s="13" t="n">
        <f aca="false">F152-G152</f>
        <v>3.06928847950874</v>
      </c>
      <c r="I152" s="23" t="n">
        <f aca="false">IFERROR((F152-G152)/F152,0)</f>
        <v>0.767322119877186</v>
      </c>
      <c r="J152" s="14" t="n">
        <v>5</v>
      </c>
      <c r="K152" s="24" t="s">
        <v>345</v>
      </c>
      <c r="L152" s="25" t="n">
        <f aca="false">IFERROR((F152-G152)/G152,0)</f>
        <v>3.29778713589866</v>
      </c>
    </row>
    <row r="153" customFormat="false" ht="15" hidden="false" customHeight="true" outlineLevel="0" collapsed="false">
      <c r="B153" s="14" t="n">
        <v>147</v>
      </c>
      <c r="C153" s="11" t="s">
        <v>370</v>
      </c>
      <c r="D153" s="11" t="s">
        <v>266</v>
      </c>
      <c r="E153" s="14"/>
      <c r="F153" s="22" t="n">
        <v>3.5</v>
      </c>
      <c r="G153" s="13" t="n">
        <f aca="false">IFERROR(SUMIFS(H328:H1942,B328:B1942,B153),0)</f>
        <v>0.90154919236417</v>
      </c>
      <c r="H153" s="13" t="n">
        <f aca="false">F153-G153</f>
        <v>2.59845080763583</v>
      </c>
      <c r="I153" s="23" t="n">
        <f aca="false">IFERROR((F153-G153)/F153,0)</f>
        <v>0.74241451646738</v>
      </c>
      <c r="J153" s="14" t="n">
        <v>4</v>
      </c>
      <c r="K153" s="24" t="s">
        <v>371</v>
      </c>
      <c r="L153" s="25" t="n">
        <f aca="false">IFERROR((F153-G153)/G153,0)</f>
        <v>2.8822063506283</v>
      </c>
    </row>
    <row r="154" customFormat="false" ht="15" hidden="false" customHeight="true" outlineLevel="0" collapsed="false">
      <c r="B154" s="14" t="n">
        <v>148</v>
      </c>
      <c r="C154" s="11" t="s">
        <v>370</v>
      </c>
      <c r="D154" s="11" t="s">
        <v>268</v>
      </c>
      <c r="E154" s="14"/>
      <c r="F154" s="22" t="n">
        <v>3.2</v>
      </c>
      <c r="G154" s="13" t="n">
        <f aca="false">IFERROR(SUMIFS(H328:H1942,B328:B1942,B154),0)</f>
        <v>0.834911894273128</v>
      </c>
      <c r="H154" s="13" t="n">
        <f aca="false">F154-G154</f>
        <v>2.36508810572687</v>
      </c>
      <c r="I154" s="23" t="n">
        <f aca="false">IFERROR((F154-G154)/F154,0)</f>
        <v>0.739090033039648</v>
      </c>
      <c r="J154" s="14" t="n">
        <v>4</v>
      </c>
      <c r="K154" s="24" t="s">
        <v>371</v>
      </c>
      <c r="L154" s="25" t="n">
        <f aca="false">IFERROR((F154-G154)/G154,0)</f>
        <v>2.83273974409709</v>
      </c>
    </row>
    <row r="155" customFormat="false" ht="15" hidden="false" customHeight="true" outlineLevel="0" collapsed="false">
      <c r="B155" s="14" t="n">
        <v>149</v>
      </c>
      <c r="C155" s="11" t="s">
        <v>372</v>
      </c>
      <c r="D155" s="11" t="s">
        <v>266</v>
      </c>
      <c r="E155" s="14"/>
      <c r="F155" s="22" t="n">
        <v>3.6</v>
      </c>
      <c r="G155" s="13" t="n">
        <f aca="false">IFERROR(SUMIFS(H328:H1942,B328:B1942,B155),0)</f>
        <v>0.90154919236417</v>
      </c>
      <c r="H155" s="13" t="n">
        <f aca="false">F155-G155</f>
        <v>2.69845080763583</v>
      </c>
      <c r="I155" s="23" t="n">
        <f aca="false">IFERROR((F155-G155)/F155,0)</f>
        <v>0.749569668787731</v>
      </c>
      <c r="J155" s="14" t="n">
        <v>4</v>
      </c>
      <c r="K155" s="24" t="s">
        <v>334</v>
      </c>
      <c r="L155" s="25" t="n">
        <f aca="false">IFERROR((F155-G155)/G155,0)</f>
        <v>2.99312653207483</v>
      </c>
    </row>
    <row r="156" customFormat="false" ht="15" hidden="false" customHeight="true" outlineLevel="0" collapsed="false">
      <c r="B156" s="14" t="n">
        <v>150</v>
      </c>
      <c r="C156" s="11" t="s">
        <v>372</v>
      </c>
      <c r="D156" s="11" t="s">
        <v>268</v>
      </c>
      <c r="E156" s="14"/>
      <c r="F156" s="22" t="n">
        <v>3.4</v>
      </c>
      <c r="G156" s="13" t="n">
        <f aca="false">IFERROR(SUMIFS(H328:H1942,B328:B1942,B156),0)</f>
        <v>0.834911894273128</v>
      </c>
      <c r="H156" s="13" t="n">
        <f aca="false">F156-G156</f>
        <v>2.56508810572687</v>
      </c>
      <c r="I156" s="23" t="n">
        <f aca="false">IFERROR((F156-G156)/F156,0)</f>
        <v>0.754437678154962</v>
      </c>
      <c r="J156" s="14" t="n">
        <v>4</v>
      </c>
      <c r="K156" s="24" t="s">
        <v>334</v>
      </c>
      <c r="L156" s="25" t="n">
        <f aca="false">IFERROR((F156-G156)/G156,0)</f>
        <v>3.07228597810315</v>
      </c>
    </row>
    <row r="157" customFormat="false" ht="15" hidden="false" customHeight="true" outlineLevel="0" collapsed="false">
      <c r="B157" s="14" t="n">
        <v>151</v>
      </c>
      <c r="C157" s="11" t="s">
        <v>373</v>
      </c>
      <c r="D157" s="11" t="s">
        <v>266</v>
      </c>
      <c r="E157" s="14"/>
      <c r="F157" s="22" t="n">
        <v>4</v>
      </c>
      <c r="G157" s="13" t="n">
        <f aca="false">IFERROR(SUMIFS(H328:H1942,B328:B1942,B157),0)</f>
        <v>0.397875</v>
      </c>
      <c r="H157" s="13" t="n">
        <f aca="false">F157-G157</f>
        <v>3.602125</v>
      </c>
      <c r="I157" s="23" t="n">
        <f aca="false">IFERROR((F157-G157)/F157,0)</f>
        <v>0.90053125</v>
      </c>
      <c r="J157" s="14" t="n">
        <v>4</v>
      </c>
      <c r="K157" s="24" t="s">
        <v>355</v>
      </c>
      <c r="L157" s="25" t="n">
        <f aca="false">IFERROR((F157-G157)/G157,0)</f>
        <v>9.05340873389884</v>
      </c>
    </row>
    <row r="158" customFormat="false" ht="15" hidden="false" customHeight="true" outlineLevel="0" collapsed="false">
      <c r="B158" s="14" t="n">
        <v>152</v>
      </c>
      <c r="C158" s="11" t="s">
        <v>373</v>
      </c>
      <c r="D158" s="11" t="s">
        <v>268</v>
      </c>
      <c r="E158" s="14"/>
      <c r="F158" s="22" t="n">
        <v>3.7</v>
      </c>
      <c r="G158" s="13" t="n">
        <f aca="false">IFERROR(SUMIFS(H328:H1942,B328:B1942,B158),0)</f>
        <v>0.367875</v>
      </c>
      <c r="H158" s="13" t="n">
        <f aca="false">F158-G158</f>
        <v>3.332125</v>
      </c>
      <c r="I158" s="23" t="n">
        <f aca="false">IFERROR((F158-G158)/F158,0)</f>
        <v>0.900574324324324</v>
      </c>
      <c r="J158" s="14" t="n">
        <v>4</v>
      </c>
      <c r="K158" s="24" t="s">
        <v>355</v>
      </c>
      <c r="L158" s="25" t="n">
        <f aca="false">IFERROR((F158-G158)/G158,0)</f>
        <v>9.05776418620455</v>
      </c>
    </row>
    <row r="159" customFormat="false" ht="15" hidden="false" customHeight="true" outlineLevel="0" collapsed="false">
      <c r="B159" s="14" t="n">
        <v>153</v>
      </c>
      <c r="C159" s="11" t="s">
        <v>374</v>
      </c>
      <c r="D159" s="11" t="s">
        <v>266</v>
      </c>
      <c r="E159" s="14"/>
      <c r="F159" s="22" t="n">
        <v>4</v>
      </c>
      <c r="G159" s="13" t="n">
        <f aca="false">IFERROR(SUMIFS(H328:H1942,B328:B1942,B159),0)</f>
        <v>1.11154919236417</v>
      </c>
      <c r="H159" s="13" t="n">
        <f aca="false">F159-G159</f>
        <v>2.88845080763583</v>
      </c>
      <c r="I159" s="23" t="n">
        <f aca="false">IFERROR((F159-G159)/F159,0)</f>
        <v>0.722112701908958</v>
      </c>
      <c r="J159" s="14" t="n">
        <v>5</v>
      </c>
      <c r="K159" s="24" t="s">
        <v>351</v>
      </c>
      <c r="L159" s="25" t="n">
        <f aca="false">IFERROR((F159-G159)/G159,0)</f>
        <v>2.59858117614421</v>
      </c>
    </row>
    <row r="160" customFormat="false" ht="15" hidden="false" customHeight="true" outlineLevel="0" collapsed="false">
      <c r="B160" s="14" t="n">
        <v>154</v>
      </c>
      <c r="C160" s="11" t="s">
        <v>374</v>
      </c>
      <c r="D160" s="11" t="s">
        <v>268</v>
      </c>
      <c r="E160" s="14"/>
      <c r="F160" s="22" t="n">
        <v>3.5</v>
      </c>
      <c r="G160" s="13" t="n">
        <f aca="false">IFERROR(SUMIFS(H328:H1942,B328:B1942,B160),0)</f>
        <v>0.974911894273128</v>
      </c>
      <c r="H160" s="13" t="n">
        <f aca="false">F160-G160</f>
        <v>2.52508810572687</v>
      </c>
      <c r="I160" s="23" t="n">
        <f aca="false">IFERROR((F160-G160)/F160,0)</f>
        <v>0.721453744493392</v>
      </c>
      <c r="J160" s="14" t="n">
        <v>5</v>
      </c>
      <c r="K160" s="24" t="s">
        <v>351</v>
      </c>
      <c r="L160" s="25" t="n">
        <f aca="false">IFERROR((F160-G160)/G160,0)</f>
        <v>2.5900680056935</v>
      </c>
    </row>
    <row r="161" customFormat="false" ht="15" hidden="false" customHeight="true" outlineLevel="0" collapsed="false">
      <c r="B161" s="14" t="n">
        <v>155</v>
      </c>
      <c r="C161" s="11" t="s">
        <v>375</v>
      </c>
      <c r="D161" s="11" t="s">
        <v>266</v>
      </c>
      <c r="E161" s="14"/>
      <c r="F161" s="22" t="n">
        <v>4.4</v>
      </c>
      <c r="G161" s="13" t="n">
        <f aca="false">IFERROR(SUMIFS(H328:H1942,B328:B1942,B161),0)</f>
        <v>1.01200373781872</v>
      </c>
      <c r="H161" s="13" t="n">
        <f aca="false">F161-G161</f>
        <v>3.38799626218128</v>
      </c>
      <c r="I161" s="23" t="n">
        <f aca="false">IFERROR((F161-G161)/F161,0)</f>
        <v>0.769999150495746</v>
      </c>
      <c r="J161" s="14" t="n">
        <v>5</v>
      </c>
      <c r="K161" s="24" t="s">
        <v>345</v>
      </c>
      <c r="L161" s="25" t="n">
        <f aca="false">IFERROR((F161-G161)/G161,0)</f>
        <v>3.34781002833429</v>
      </c>
    </row>
    <row r="162" customFormat="false" ht="15" hidden="false" customHeight="true" outlineLevel="0" collapsed="false">
      <c r="B162" s="14" t="n">
        <v>156</v>
      </c>
      <c r="C162" s="11" t="s">
        <v>375</v>
      </c>
      <c r="D162" s="11" t="s">
        <v>268</v>
      </c>
      <c r="E162" s="14"/>
      <c r="F162" s="22" t="n">
        <v>4</v>
      </c>
      <c r="G162" s="13" t="n">
        <f aca="false">IFERROR(SUMIFS(H328:H1942,B328:B1942,B162),0)</f>
        <v>0.930711520491256</v>
      </c>
      <c r="H162" s="13" t="n">
        <f aca="false">F162-G162</f>
        <v>3.06928847950874</v>
      </c>
      <c r="I162" s="23" t="n">
        <f aca="false">IFERROR((F162-G162)/F162,0)</f>
        <v>0.767322119877186</v>
      </c>
      <c r="J162" s="14" t="n">
        <v>5</v>
      </c>
      <c r="K162" s="24" t="s">
        <v>345</v>
      </c>
      <c r="L162" s="25" t="n">
        <f aca="false">IFERROR((F162-G162)/G162,0)</f>
        <v>3.29778713589866</v>
      </c>
    </row>
    <row r="163" customFormat="false" ht="15" hidden="false" customHeight="true" outlineLevel="0" collapsed="false">
      <c r="B163" s="14" t="n">
        <v>157</v>
      </c>
      <c r="C163" s="11" t="s">
        <v>376</v>
      </c>
      <c r="D163" s="11" t="s">
        <v>266</v>
      </c>
      <c r="E163" s="14"/>
      <c r="F163" s="22" t="n">
        <v>3.1</v>
      </c>
      <c r="G163" s="13" t="n">
        <f aca="false">IFERROR(SUMIFS(H328:H1942,B328:B1942,B163),0)</f>
        <v>0.798964757709251</v>
      </c>
      <c r="H163" s="13" t="n">
        <f aca="false">F163-G163</f>
        <v>2.30103524229075</v>
      </c>
      <c r="I163" s="23" t="n">
        <f aca="false">IFERROR((F163-G163)/F163,0)</f>
        <v>0.742269432997016</v>
      </c>
      <c r="J163" s="14" t="n">
        <v>4</v>
      </c>
      <c r="K163" s="24" t="s">
        <v>364</v>
      </c>
      <c r="L163" s="25" t="n">
        <f aca="false">IFERROR((F163-G163)/G163,0)</f>
        <v>2.88002095222342</v>
      </c>
    </row>
    <row r="164" customFormat="false" ht="15" hidden="false" customHeight="true" outlineLevel="0" collapsed="false">
      <c r="B164" s="14" t="n">
        <v>158</v>
      </c>
      <c r="C164" s="11" t="s">
        <v>376</v>
      </c>
      <c r="D164" s="11" t="s">
        <v>268</v>
      </c>
      <c r="E164" s="14"/>
      <c r="F164" s="22" t="n">
        <v>2.9</v>
      </c>
      <c r="G164" s="13" t="n">
        <f aca="false">IFERROR(SUMIFS(H328:H1942,B328:B1942,B164),0)</f>
        <v>0.754309838472834</v>
      </c>
      <c r="H164" s="13" t="n">
        <f aca="false">F164-G164</f>
        <v>2.14569016152717</v>
      </c>
      <c r="I164" s="23" t="n">
        <f aca="false">IFERROR((F164-G164)/F164,0)</f>
        <v>0.739893159147299</v>
      </c>
      <c r="J164" s="14" t="n">
        <v>4</v>
      </c>
      <c r="K164" s="24" t="s">
        <v>364</v>
      </c>
      <c r="L164" s="25" t="n">
        <f aca="false">IFERROR((F164-G164)/G164,0)</f>
        <v>2.84457400936372</v>
      </c>
    </row>
    <row r="165" customFormat="false" ht="15" hidden="false" customHeight="true" outlineLevel="0" collapsed="false">
      <c r="B165" s="14" t="n">
        <v>159</v>
      </c>
      <c r="C165" s="11" t="s">
        <v>377</v>
      </c>
      <c r="D165" s="11" t="s">
        <v>266</v>
      </c>
      <c r="E165" s="14"/>
      <c r="F165" s="22" t="n">
        <v>4.1</v>
      </c>
      <c r="G165" s="13" t="n">
        <f aca="false">IFERROR(SUMIFS(H328:H1942,B328:B1942,B165),0)</f>
        <v>1.08154919236417</v>
      </c>
      <c r="H165" s="13" t="n">
        <f aca="false">F165-G165</f>
        <v>3.01845080763583</v>
      </c>
      <c r="I165" s="23" t="n">
        <f aca="false">IFERROR((F165-G165)/F165,0)</f>
        <v>0.736207514057519</v>
      </c>
      <c r="J165" s="14" t="n">
        <v>5</v>
      </c>
      <c r="K165" s="24" t="s">
        <v>351</v>
      </c>
      <c r="L165" s="25" t="n">
        <f aca="false">IFERROR((F165-G165)/G165,0)</f>
        <v>2.79085854711589</v>
      </c>
    </row>
    <row r="166" customFormat="false" ht="15" hidden="false" customHeight="true" outlineLevel="0" collapsed="false">
      <c r="B166" s="14" t="n">
        <v>160</v>
      </c>
      <c r="C166" s="11" t="s">
        <v>377</v>
      </c>
      <c r="D166" s="11" t="s">
        <v>268</v>
      </c>
      <c r="E166" s="14"/>
      <c r="F166" s="22" t="n">
        <v>3.6</v>
      </c>
      <c r="G166" s="13" t="n">
        <f aca="false">IFERROR(SUMIFS(H328:H1942,B328:B1942,B166),0)</f>
        <v>0.954911894273128</v>
      </c>
      <c r="H166" s="13" t="n">
        <f aca="false">F166-G166</f>
        <v>2.64508810572687</v>
      </c>
      <c r="I166" s="23" t="n">
        <f aca="false">IFERROR((F166-G166)/F166,0)</f>
        <v>0.734746696035242</v>
      </c>
      <c r="J166" s="14" t="n">
        <v>5</v>
      </c>
      <c r="K166" s="24" t="s">
        <v>351</v>
      </c>
      <c r="L166" s="25" t="n">
        <f aca="false">IFERROR((F166-G166)/G166,0)</f>
        <v>2.76998131617189</v>
      </c>
    </row>
    <row r="167" customFormat="false" ht="15" hidden="false" customHeight="true" outlineLevel="0" collapsed="false">
      <c r="B167" s="14" t="n">
        <v>161</v>
      </c>
      <c r="C167" s="11" t="s">
        <v>378</v>
      </c>
      <c r="D167" s="11" t="s">
        <v>274</v>
      </c>
      <c r="E167" s="14"/>
      <c r="F167" s="22" t="n">
        <v>2</v>
      </c>
      <c r="G167" s="13" t="n">
        <f aca="false">IFERROR(SUMIFS(H328:H1942,B328:B1942,B167),0)</f>
        <v>0.199875</v>
      </c>
      <c r="H167" s="13" t="n">
        <f aca="false">F167-G167</f>
        <v>1.800125</v>
      </c>
      <c r="I167" s="23" t="n">
        <f aca="false">IFERROR((F167-G167)/F167,0)</f>
        <v>0.9000625</v>
      </c>
      <c r="J167" s="14" t="n">
        <v>3</v>
      </c>
      <c r="K167" s="24" t="s">
        <v>276</v>
      </c>
      <c r="L167" s="25" t="n">
        <f aca="false">IFERROR((F167-G167)/G167,0)</f>
        <v>9.00625390869293</v>
      </c>
    </row>
    <row r="168" customFormat="false" ht="15" hidden="false" customHeight="true" outlineLevel="0" collapsed="false">
      <c r="B168" s="14" t="n">
        <v>162</v>
      </c>
      <c r="C168" s="11" t="s">
        <v>379</v>
      </c>
      <c r="D168" s="11" t="s">
        <v>266</v>
      </c>
      <c r="E168" s="14"/>
      <c r="F168" s="22" t="n">
        <v>1.9</v>
      </c>
      <c r="G168" s="13" t="n">
        <f aca="false">IFERROR(SUMIFS(H328:H1942,B328:B1942,B168),0)</f>
        <v>0</v>
      </c>
      <c r="H168" s="13" t="n">
        <f aca="false">F168-G168</f>
        <v>1.9</v>
      </c>
      <c r="I168" s="23" t="n">
        <f aca="false">IFERROR((F168-G168)/F168,0)</f>
        <v>1</v>
      </c>
      <c r="J168" s="14" t="n">
        <v>1</v>
      </c>
      <c r="K168" s="24" t="s">
        <v>380</v>
      </c>
      <c r="L168" s="25" t="n">
        <f aca="false">IFERROR((F168-G168)/G168,0)</f>
        <v>0</v>
      </c>
    </row>
    <row r="169" customFormat="false" ht="15" hidden="false" customHeight="true" outlineLevel="0" collapsed="false">
      <c r="B169" s="14" t="n">
        <v>163</v>
      </c>
      <c r="C169" s="11" t="s">
        <v>381</v>
      </c>
      <c r="D169" s="11" t="s">
        <v>266</v>
      </c>
      <c r="E169" s="14"/>
      <c r="F169" s="22" t="n">
        <v>4.8</v>
      </c>
      <c r="G169" s="13" t="n">
        <f aca="false">IFERROR(SUMIFS(H328:H1942,B328:B1942,B169),0)</f>
        <v>0.58529919236417</v>
      </c>
      <c r="H169" s="13" t="n">
        <f aca="false">F169-G169</f>
        <v>4.21470080763583</v>
      </c>
      <c r="I169" s="23" t="n">
        <f aca="false">IFERROR((F169-G169)/F169,0)</f>
        <v>0.878062668257464</v>
      </c>
      <c r="J169" s="14" t="n">
        <v>5</v>
      </c>
      <c r="K169" s="24" t="s">
        <v>321</v>
      </c>
      <c r="L169" s="25" t="n">
        <f aca="false">IFERROR((F169-G169)/G169,0)</f>
        <v>7.20093391998645</v>
      </c>
    </row>
    <row r="170" customFormat="false" ht="15" hidden="false" customHeight="true" outlineLevel="0" collapsed="false">
      <c r="B170" s="14" t="n">
        <v>164</v>
      </c>
      <c r="C170" s="11" t="s">
        <v>381</v>
      </c>
      <c r="D170" s="11" t="s">
        <v>268</v>
      </c>
      <c r="E170" s="14"/>
      <c r="F170" s="22" t="n">
        <v>4.4</v>
      </c>
      <c r="G170" s="13" t="n">
        <f aca="false">IFERROR(SUMIFS(H328:H1942,B328:B1942,B170),0)</f>
        <v>0.55529919236417</v>
      </c>
      <c r="H170" s="13" t="n">
        <f aca="false">F170-G170</f>
        <v>3.84470080763583</v>
      </c>
      <c r="I170" s="23" t="n">
        <f aca="false">IFERROR((F170-G170)/F170,0)</f>
        <v>0.873795638099052</v>
      </c>
      <c r="J170" s="14" t="n">
        <v>5</v>
      </c>
      <c r="K170" s="24" t="s">
        <v>321</v>
      </c>
      <c r="L170" s="25" t="n">
        <f aca="false">IFERROR((F170-G170)/G170,0)</f>
        <v>6.92365640091628</v>
      </c>
    </row>
    <row r="171" customFormat="false" ht="15" hidden="false" customHeight="true" outlineLevel="0" collapsed="false">
      <c r="B171" s="14" t="n">
        <v>165</v>
      </c>
      <c r="C171" s="11" t="s">
        <v>180</v>
      </c>
      <c r="D171" s="11" t="s">
        <v>266</v>
      </c>
      <c r="E171" s="14"/>
      <c r="F171" s="22" t="n">
        <v>25</v>
      </c>
      <c r="G171" s="13" t="n">
        <f aca="false">IFERROR(SUMIFS(H328:H1942,B328:B1942,B171),0)</f>
        <v>14</v>
      </c>
      <c r="H171" s="13" t="n">
        <f aca="false">F171-G171</f>
        <v>11</v>
      </c>
      <c r="I171" s="23" t="n">
        <f aca="false">IFERROR((F171-G171)/F171,0)</f>
        <v>0.44</v>
      </c>
      <c r="J171" s="14" t="n">
        <v>1</v>
      </c>
      <c r="K171" s="24" t="s">
        <v>270</v>
      </c>
      <c r="L171" s="25" t="n">
        <f aca="false">IFERROR((F171-G171)/G171,0)</f>
        <v>0.785714285714286</v>
      </c>
    </row>
    <row r="172" customFormat="false" ht="15" hidden="false" customHeight="true" outlineLevel="0" collapsed="false">
      <c r="B172" s="14" t="n">
        <v>166</v>
      </c>
      <c r="C172" s="11" t="s">
        <v>382</v>
      </c>
      <c r="D172" s="11" t="s">
        <v>266</v>
      </c>
      <c r="E172" s="14"/>
      <c r="F172" s="22" t="n">
        <v>3.5</v>
      </c>
      <c r="G172" s="13" t="n">
        <f aca="false">IFERROR(SUMIFS(H328:H1942,B328:B1942,B172),0)</f>
        <v>0.944823788546256</v>
      </c>
      <c r="H172" s="13" t="n">
        <f aca="false">F172-G172</f>
        <v>2.55517621145374</v>
      </c>
      <c r="I172" s="23" t="n">
        <f aca="false">IFERROR((F172-G172)/F172,0)</f>
        <v>0.730050346129641</v>
      </c>
      <c r="J172" s="14" t="n">
        <v>4</v>
      </c>
      <c r="K172" s="24" t="s">
        <v>383</v>
      </c>
      <c r="L172" s="25" t="n">
        <f aca="false">IFERROR((F172-G172)/G172,0)</f>
        <v>2.70439445156778</v>
      </c>
    </row>
    <row r="173" customFormat="false" ht="15" hidden="false" customHeight="true" outlineLevel="0" collapsed="false">
      <c r="B173" s="14" t="n">
        <v>167</v>
      </c>
      <c r="C173" s="11" t="s">
        <v>382</v>
      </c>
      <c r="D173" s="11" t="s">
        <v>268</v>
      </c>
      <c r="E173" s="14"/>
      <c r="F173" s="22" t="n">
        <v>3.2</v>
      </c>
      <c r="G173" s="13" t="n">
        <f aca="false">IFERROR(SUMIFS(H328:H1942,B328:B1942,B173),0)</f>
        <v>0.836894273127753</v>
      </c>
      <c r="H173" s="13" t="n">
        <f aca="false">F173-G173</f>
        <v>2.36310572687225</v>
      </c>
      <c r="I173" s="23" t="n">
        <f aca="false">IFERROR((F173-G173)/F173,0)</f>
        <v>0.738470539647577</v>
      </c>
      <c r="J173" s="14" t="n">
        <v>4</v>
      </c>
      <c r="K173" s="24" t="s">
        <v>383</v>
      </c>
      <c r="L173" s="25" t="n">
        <f aca="false">IFERROR((F173-G173)/G173,0)</f>
        <v>2.82366100802737</v>
      </c>
    </row>
    <row r="174" customFormat="false" ht="15" hidden="false" customHeight="true" outlineLevel="0" collapsed="false">
      <c r="B174" s="14" t="n">
        <v>168</v>
      </c>
      <c r="C174" s="11" t="s">
        <v>382</v>
      </c>
      <c r="D174" s="11" t="s">
        <v>279</v>
      </c>
      <c r="E174" s="14"/>
      <c r="F174" s="22" t="n">
        <v>3.8</v>
      </c>
      <c r="G174" s="13" t="n">
        <f aca="false">IFERROR(SUMIFS(H328:H1942,B328:B1942,B174),0)</f>
        <v>1.60378854625551</v>
      </c>
      <c r="H174" s="13" t="n">
        <f aca="false">F174-G174</f>
        <v>2.19621145374449</v>
      </c>
      <c r="I174" s="23" t="n">
        <f aca="false">IFERROR((F174-G174)/F174,0)</f>
        <v>0.57795038256434</v>
      </c>
      <c r="J174" s="14" t="n">
        <v>4</v>
      </c>
      <c r="K174" s="24" t="s">
        <v>383</v>
      </c>
      <c r="L174" s="25" t="n">
        <f aca="false">IFERROR((F174-G174)/G174,0)</f>
        <v>1.36938966104488</v>
      </c>
    </row>
    <row r="175" customFormat="false" ht="15" hidden="false" customHeight="true" outlineLevel="0" collapsed="false">
      <c r="B175" s="14" t="n">
        <v>169</v>
      </c>
      <c r="C175" s="11" t="s">
        <v>384</v>
      </c>
      <c r="D175" s="11" t="s">
        <v>266</v>
      </c>
      <c r="E175" s="14" t="s">
        <v>283</v>
      </c>
      <c r="F175" s="22" t="n">
        <v>4.2</v>
      </c>
      <c r="G175" s="13" t="n">
        <f aca="false">IFERROR(SUMIFS(H328:H1942,B328:B1942,B175),0)</f>
        <v>0.74913362701909</v>
      </c>
      <c r="H175" s="13" t="n">
        <f aca="false">F175-G175</f>
        <v>3.45086637298091</v>
      </c>
      <c r="I175" s="23" t="n">
        <f aca="false">IFERROR((F175-G175)/F175,0)</f>
        <v>0.821634850709741</v>
      </c>
      <c r="J175" s="14" t="n">
        <v>5</v>
      </c>
      <c r="K175" s="24" t="s">
        <v>290</v>
      </c>
      <c r="L175" s="25" t="n">
        <f aca="false">IFERROR((F175-G175)/G175,0)</f>
        <v>4.60647639956092</v>
      </c>
    </row>
    <row r="176" customFormat="false" ht="15" hidden="false" customHeight="true" outlineLevel="0" collapsed="false">
      <c r="B176" s="14" t="n">
        <v>170</v>
      </c>
      <c r="C176" s="11" t="s">
        <v>384</v>
      </c>
      <c r="D176" s="11" t="s">
        <v>268</v>
      </c>
      <c r="E176" s="14" t="s">
        <v>283</v>
      </c>
      <c r="F176" s="22" t="n">
        <v>4</v>
      </c>
      <c r="G176" s="13" t="n">
        <f aca="false">IFERROR(SUMIFS(H328:H1942,B328:B1942,B176),0)</f>
        <v>0.571204111600587</v>
      </c>
      <c r="H176" s="13" t="n">
        <f aca="false">F176-G176</f>
        <v>3.42879588839941</v>
      </c>
      <c r="I176" s="23" t="n">
        <f aca="false">IFERROR((F176-G176)/F176,0)</f>
        <v>0.857198972099853</v>
      </c>
      <c r="J176" s="14" t="n">
        <v>5</v>
      </c>
      <c r="K176" s="24" t="s">
        <v>290</v>
      </c>
      <c r="L176" s="25" t="n">
        <f aca="false">IFERROR((F176-G176)/G176,0)</f>
        <v>6.00275071338595</v>
      </c>
    </row>
    <row r="177" customFormat="false" ht="15" hidden="false" customHeight="true" outlineLevel="0" collapsed="false">
      <c r="B177" s="14" t="n">
        <v>171</v>
      </c>
      <c r="C177" s="11" t="s">
        <v>384</v>
      </c>
      <c r="D177" s="11" t="s">
        <v>279</v>
      </c>
      <c r="E177" s="14" t="s">
        <v>283</v>
      </c>
      <c r="F177" s="22" t="n">
        <v>4.4</v>
      </c>
      <c r="G177" s="13" t="n">
        <f aca="false">IFERROR(SUMIFS(H328:H1942,B328:B1942,B177),0)</f>
        <v>0.937063142437592</v>
      </c>
      <c r="H177" s="13" t="n">
        <f aca="false">F177-G177</f>
        <v>3.46293685756241</v>
      </c>
      <c r="I177" s="23" t="n">
        <f aca="false">IFERROR((F177-G177)/F177,0)</f>
        <v>0.787031103991457</v>
      </c>
      <c r="J177" s="14" t="n">
        <v>5</v>
      </c>
      <c r="K177" s="24" t="s">
        <v>290</v>
      </c>
      <c r="L177" s="25" t="n">
        <f aca="false">IFERROR((F177-G177)/G177,0)</f>
        <v>3.69552135894945</v>
      </c>
    </row>
    <row r="178" customFormat="false" ht="15" hidden="false" customHeight="true" outlineLevel="0" collapsed="false">
      <c r="B178" s="14" t="n">
        <v>172</v>
      </c>
      <c r="C178" s="11" t="s">
        <v>385</v>
      </c>
      <c r="D178" s="11" t="s">
        <v>266</v>
      </c>
      <c r="E178" s="14"/>
      <c r="F178" s="22" t="n">
        <v>3.4</v>
      </c>
      <c r="G178" s="13" t="n">
        <f aca="false">IFERROR(SUMIFS(H328:H1942,B328:B1942,B178),0)</f>
        <v>1.32</v>
      </c>
      <c r="H178" s="13" t="n">
        <f aca="false">F178-G178</f>
        <v>2.08</v>
      </c>
      <c r="I178" s="23" t="n">
        <f aca="false">IFERROR((F178-G178)/F178,0)</f>
        <v>0.611764705882353</v>
      </c>
      <c r="J178" s="14" t="n">
        <v>1</v>
      </c>
      <c r="K178" s="24" t="s">
        <v>270</v>
      </c>
      <c r="L178" s="25" t="n">
        <f aca="false">IFERROR((F178-G178)/G178,0)</f>
        <v>1.57575757575758</v>
      </c>
    </row>
    <row r="179" customFormat="false" ht="15" hidden="false" customHeight="true" outlineLevel="0" collapsed="false">
      <c r="B179" s="14" t="n">
        <v>173</v>
      </c>
      <c r="C179" s="11" t="s">
        <v>386</v>
      </c>
      <c r="D179" s="11" t="s">
        <v>274</v>
      </c>
      <c r="E179" s="14" t="s">
        <v>275</v>
      </c>
      <c r="F179" s="22" t="n">
        <v>1.9</v>
      </c>
      <c r="G179" s="13" t="n">
        <f aca="false">IFERROR(SUMIFS(H328:H1942,B328:B1942,B179),0)</f>
        <v>0.199875</v>
      </c>
      <c r="H179" s="13" t="n">
        <f aca="false">F179-G179</f>
        <v>1.700125</v>
      </c>
      <c r="I179" s="23" t="n">
        <f aca="false">IFERROR((F179-G179)/F179,0)</f>
        <v>0.894802631578947</v>
      </c>
      <c r="J179" s="14" t="n">
        <v>3</v>
      </c>
      <c r="K179" s="24" t="s">
        <v>276</v>
      </c>
      <c r="L179" s="25" t="n">
        <f aca="false">IFERROR((F179-G179)/G179,0)</f>
        <v>8.50594121325829</v>
      </c>
    </row>
    <row r="180" customFormat="false" ht="15" hidden="false" customHeight="true" outlineLevel="0" collapsed="false">
      <c r="B180" s="14" t="n">
        <v>174</v>
      </c>
      <c r="C180" s="11" t="s">
        <v>387</v>
      </c>
      <c r="D180" s="11" t="s">
        <v>266</v>
      </c>
      <c r="E180" s="14"/>
      <c r="F180" s="22" t="n">
        <v>4.2</v>
      </c>
      <c r="G180" s="13" t="n">
        <f aca="false">IFERROR(SUMIFS(H328:H1942,B328:B1942,B180),0)</f>
        <v>0.59913362701909</v>
      </c>
      <c r="H180" s="13" t="n">
        <f aca="false">F180-G180</f>
        <v>3.60086637298091</v>
      </c>
      <c r="I180" s="23" t="n">
        <f aca="false">IFERROR((F180-G180)/F180,0)</f>
        <v>0.857349136424026</v>
      </c>
      <c r="J180" s="14" t="n">
        <v>4</v>
      </c>
      <c r="K180" s="24" t="s">
        <v>290</v>
      </c>
      <c r="L180" s="25" t="n">
        <f aca="false">IFERROR((F180-G180)/G180,0)</f>
        <v>6.010122300924</v>
      </c>
    </row>
    <row r="181" customFormat="false" ht="15" hidden="false" customHeight="true" outlineLevel="0" collapsed="false">
      <c r="B181" s="14" t="n">
        <v>175</v>
      </c>
      <c r="C181" s="11" t="s">
        <v>387</v>
      </c>
      <c r="D181" s="11" t="s">
        <v>268</v>
      </c>
      <c r="E181" s="14"/>
      <c r="F181" s="22" t="n">
        <v>4</v>
      </c>
      <c r="G181" s="13" t="n">
        <f aca="false">IFERROR(SUMIFS(H328:H1942,B328:B1942,B181),0)</f>
        <v>0.421204111600587</v>
      </c>
      <c r="H181" s="13" t="n">
        <f aca="false">F181-G181</f>
        <v>3.57879588839941</v>
      </c>
      <c r="I181" s="23" t="n">
        <f aca="false">IFERROR((F181-G181)/F181,0)</f>
        <v>0.894698972099853</v>
      </c>
      <c r="J181" s="14" t="n">
        <v>4</v>
      </c>
      <c r="K181" s="24" t="s">
        <v>290</v>
      </c>
      <c r="L181" s="25" t="n">
        <f aca="false">IFERROR((F181-G181)/G181,0)</f>
        <v>8.49658346116302</v>
      </c>
    </row>
    <row r="182" customFormat="false" ht="15" hidden="false" customHeight="true" outlineLevel="0" collapsed="false">
      <c r="B182" s="14" t="n">
        <v>176</v>
      </c>
      <c r="C182" s="11" t="s">
        <v>387</v>
      </c>
      <c r="D182" s="11" t="s">
        <v>279</v>
      </c>
      <c r="E182" s="14"/>
      <c r="F182" s="22" t="n">
        <v>4.6</v>
      </c>
      <c r="G182" s="13" t="n">
        <f aca="false">IFERROR(SUMIFS(H328:H1942,B328:B1942,B182),0)</f>
        <v>0.787063142437592</v>
      </c>
      <c r="H182" s="13" t="n">
        <f aca="false">F182-G182</f>
        <v>3.81293685756241</v>
      </c>
      <c r="I182" s="23" t="n">
        <f aca="false">IFERROR((F182-G182)/F182,0)</f>
        <v>0.828899316861393</v>
      </c>
      <c r="J182" s="14" t="n">
        <v>4</v>
      </c>
      <c r="K182" s="24" t="s">
        <v>290</v>
      </c>
      <c r="L182" s="25" t="n">
        <f aca="false">IFERROR((F182-G182)/G182,0)</f>
        <v>4.84451202447807</v>
      </c>
    </row>
    <row r="183" customFormat="false" ht="15" hidden="false" customHeight="true" outlineLevel="0" collapsed="false">
      <c r="B183" s="14" t="n">
        <v>177</v>
      </c>
      <c r="C183" s="11" t="s">
        <v>388</v>
      </c>
      <c r="D183" s="11" t="s">
        <v>266</v>
      </c>
      <c r="E183" s="14"/>
      <c r="F183" s="22" t="n">
        <v>4.1</v>
      </c>
      <c r="G183" s="13" t="n">
        <f aca="false">IFERROR(SUMIFS(H328:H1942,B328:B1942,B183),0)</f>
        <v>0.944823788546256</v>
      </c>
      <c r="H183" s="13" t="n">
        <f aca="false">F183-G183</f>
        <v>3.15517621145374</v>
      </c>
      <c r="I183" s="23" t="n">
        <f aca="false">IFERROR((F183-G183)/F183,0)</f>
        <v>0.769555173525304</v>
      </c>
      <c r="J183" s="14" t="n">
        <v>4</v>
      </c>
      <c r="K183" s="24" t="s">
        <v>389</v>
      </c>
      <c r="L183" s="25" t="n">
        <f aca="false">IFERROR((F183-G183)/G183,0)</f>
        <v>3.33943350040797</v>
      </c>
    </row>
    <row r="184" customFormat="false" ht="15" hidden="false" customHeight="true" outlineLevel="0" collapsed="false">
      <c r="B184" s="14" t="n">
        <v>178</v>
      </c>
      <c r="C184" s="11" t="s">
        <v>388</v>
      </c>
      <c r="D184" s="11" t="s">
        <v>268</v>
      </c>
      <c r="E184" s="14"/>
      <c r="F184" s="22" t="n">
        <v>3.9</v>
      </c>
      <c r="G184" s="13" t="n">
        <f aca="false">IFERROR(SUMIFS(H328:H1942,B328:B1942,B184),0)</f>
        <v>0.836894273127753</v>
      </c>
      <c r="H184" s="13" t="n">
        <f aca="false">F184-G184</f>
        <v>3.06310572687225</v>
      </c>
      <c r="I184" s="23" t="n">
        <f aca="false">IFERROR((F184-G184)/F184,0)</f>
        <v>0.785411724839038</v>
      </c>
      <c r="J184" s="14" t="n">
        <v>4</v>
      </c>
      <c r="K184" s="24" t="s">
        <v>389</v>
      </c>
      <c r="L184" s="25" t="n">
        <f aca="false">IFERROR((F184-G184)/G184,0)</f>
        <v>3.66008685353336</v>
      </c>
    </row>
    <row r="185" customFormat="false" ht="15" hidden="false" customHeight="true" outlineLevel="0" collapsed="false">
      <c r="B185" s="14" t="n">
        <v>179</v>
      </c>
      <c r="C185" s="11" t="s">
        <v>388</v>
      </c>
      <c r="D185" s="11" t="s">
        <v>279</v>
      </c>
      <c r="E185" s="14"/>
      <c r="F185" s="22" t="n">
        <v>4.4</v>
      </c>
      <c r="G185" s="13" t="n">
        <f aca="false">IFERROR(SUMIFS(H328:H1942,B328:B1942,B185),0)</f>
        <v>1.60378854625551</v>
      </c>
      <c r="H185" s="13" t="n">
        <f aca="false">F185-G185</f>
        <v>2.79621145374449</v>
      </c>
      <c r="I185" s="23" t="n">
        <f aca="false">IFERROR((F185-G185)/F185,0)</f>
        <v>0.635502603123749</v>
      </c>
      <c r="J185" s="14" t="n">
        <v>4</v>
      </c>
      <c r="K185" s="24" t="s">
        <v>389</v>
      </c>
      <c r="L185" s="25" t="n">
        <f aca="false">IFERROR((F185-G185)/G185,0)</f>
        <v>1.74350381805197</v>
      </c>
    </row>
    <row r="186" customFormat="false" ht="15" hidden="false" customHeight="true" outlineLevel="0" collapsed="false">
      <c r="B186" s="14" t="n">
        <v>180</v>
      </c>
      <c r="C186" s="11" t="s">
        <v>390</v>
      </c>
      <c r="D186" s="11" t="s">
        <v>266</v>
      </c>
      <c r="E186" s="14"/>
      <c r="F186" s="22" t="n">
        <v>3.7</v>
      </c>
      <c r="G186" s="13" t="n">
        <f aca="false">IFERROR(SUMIFS(H328:H1942,B328:B1942,B186),0)</f>
        <v>1.15482378854626</v>
      </c>
      <c r="H186" s="13" t="n">
        <f aca="false">F186-G186</f>
        <v>2.54517621145375</v>
      </c>
      <c r="I186" s="23" t="n">
        <f aca="false">IFERROR((F186-G186)/F186,0)</f>
        <v>0.687885462555066</v>
      </c>
      <c r="J186" s="14" t="n">
        <v>5</v>
      </c>
      <c r="K186" s="24" t="s">
        <v>390</v>
      </c>
      <c r="L186" s="25" t="n">
        <f aca="false">IFERROR((F186-G186)/G186,0)</f>
        <v>2.20395201129146</v>
      </c>
    </row>
    <row r="187" customFormat="false" ht="15" hidden="false" customHeight="true" outlineLevel="0" collapsed="false">
      <c r="B187" s="14" t="n">
        <v>181</v>
      </c>
      <c r="C187" s="11" t="s">
        <v>390</v>
      </c>
      <c r="D187" s="11" t="s">
        <v>268</v>
      </c>
      <c r="E187" s="14"/>
      <c r="F187" s="22" t="n">
        <v>3.4</v>
      </c>
      <c r="G187" s="13" t="n">
        <f aca="false">IFERROR(SUMIFS(H328:H1942,B328:B1942,B187),0)</f>
        <v>0.976894273127753</v>
      </c>
      <c r="H187" s="13" t="n">
        <f aca="false">F187-G187</f>
        <v>2.42310572687225</v>
      </c>
      <c r="I187" s="23" t="n">
        <f aca="false">IFERROR((F187-G187)/F187,0)</f>
        <v>0.712678154962426</v>
      </c>
      <c r="J187" s="14" t="n">
        <v>5</v>
      </c>
      <c r="K187" s="24" t="s">
        <v>390</v>
      </c>
      <c r="L187" s="25" t="n">
        <f aca="false">IFERROR((F187-G187)/G187,0)</f>
        <v>2.48041757795766</v>
      </c>
    </row>
    <row r="188" customFormat="false" ht="15" hidden="false" customHeight="true" outlineLevel="0" collapsed="false">
      <c r="B188" s="14" t="n">
        <v>182</v>
      </c>
      <c r="C188" s="11" t="s">
        <v>390</v>
      </c>
      <c r="D188" s="11" t="s">
        <v>279</v>
      </c>
      <c r="E188" s="14"/>
      <c r="F188" s="22" t="n">
        <v>4</v>
      </c>
      <c r="G188" s="13" t="n">
        <f aca="false">IFERROR(SUMIFS(H328:H1942,B328:B1942,B188),0)</f>
        <v>1.88378854625551</v>
      </c>
      <c r="H188" s="13" t="n">
        <f aca="false">F188-G188</f>
        <v>2.11621145374449</v>
      </c>
      <c r="I188" s="23" t="n">
        <f aca="false">IFERROR((F188-G188)/F188,0)</f>
        <v>0.529052863436123</v>
      </c>
      <c r="J188" s="14" t="n">
        <v>5</v>
      </c>
      <c r="K188" s="24" t="s">
        <v>390</v>
      </c>
      <c r="L188" s="25" t="n">
        <f aca="false">IFERROR((F188-G188)/G188,0)</f>
        <v>1.12338057153548</v>
      </c>
    </row>
    <row r="189" customFormat="false" ht="15" hidden="false" customHeight="true" outlineLevel="0" collapsed="false">
      <c r="B189" s="14" t="n">
        <v>183</v>
      </c>
      <c r="C189" s="11" t="s">
        <v>391</v>
      </c>
      <c r="D189" s="11" t="s">
        <v>274</v>
      </c>
      <c r="E189" s="14"/>
      <c r="F189" s="22" t="n">
        <v>3.15</v>
      </c>
      <c r="G189" s="13" t="n">
        <f aca="false">IFERROR(SUMIFS(H328:H1942,B328:B1942,B189),0)</f>
        <v>0.906894273127753</v>
      </c>
      <c r="H189" s="13" t="n">
        <f aca="false">F189-G189</f>
        <v>2.24310572687225</v>
      </c>
      <c r="I189" s="23" t="n">
        <f aca="false">IFERROR((F189-G189)/F189,0)</f>
        <v>0.71209705614992</v>
      </c>
      <c r="J189" s="14" t="n">
        <v>5</v>
      </c>
      <c r="K189" s="24" t="s">
        <v>392</v>
      </c>
      <c r="L189" s="25" t="n">
        <f aca="false">IFERROR((F189-G189)/G189,0)</f>
        <v>2.47339275738955</v>
      </c>
    </row>
    <row r="190" customFormat="false" ht="15" hidden="false" customHeight="true" outlineLevel="0" collapsed="false">
      <c r="B190" s="14" t="n">
        <v>184</v>
      </c>
      <c r="C190" s="11" t="s">
        <v>393</v>
      </c>
      <c r="D190" s="11" t="s">
        <v>266</v>
      </c>
      <c r="E190" s="14"/>
      <c r="F190" s="22" t="n">
        <v>4.2</v>
      </c>
      <c r="G190" s="13" t="n">
        <f aca="false">IFERROR(SUMIFS(H328:H1942,B328:B1942,B190),0)</f>
        <v>0.59913362701909</v>
      </c>
      <c r="H190" s="13" t="n">
        <f aca="false">F190-G190</f>
        <v>3.60086637298091</v>
      </c>
      <c r="I190" s="23" t="n">
        <f aca="false">IFERROR((F190-G190)/F190,0)</f>
        <v>0.857349136424026</v>
      </c>
      <c r="J190" s="14" t="n">
        <v>4</v>
      </c>
      <c r="K190" s="24" t="s">
        <v>290</v>
      </c>
      <c r="L190" s="25" t="n">
        <f aca="false">IFERROR((F190-G190)/G190,0)</f>
        <v>6.010122300924</v>
      </c>
    </row>
    <row r="191" customFormat="false" ht="15" hidden="false" customHeight="true" outlineLevel="0" collapsed="false">
      <c r="B191" s="14" t="n">
        <v>185</v>
      </c>
      <c r="C191" s="11" t="s">
        <v>393</v>
      </c>
      <c r="D191" s="11" t="s">
        <v>268</v>
      </c>
      <c r="E191" s="14"/>
      <c r="F191" s="22" t="n">
        <v>4</v>
      </c>
      <c r="G191" s="13" t="n">
        <f aca="false">IFERROR(SUMIFS(H328:H1942,B328:B1942,B191),0)</f>
        <v>0.421204111600587</v>
      </c>
      <c r="H191" s="13" t="n">
        <f aca="false">F191-G191</f>
        <v>3.57879588839941</v>
      </c>
      <c r="I191" s="23" t="n">
        <f aca="false">IFERROR((F191-G191)/F191,0)</f>
        <v>0.894698972099853</v>
      </c>
      <c r="J191" s="14" t="n">
        <v>4</v>
      </c>
      <c r="K191" s="24" t="s">
        <v>290</v>
      </c>
      <c r="L191" s="25" t="n">
        <f aca="false">IFERROR((F191-G191)/G191,0)</f>
        <v>8.49658346116302</v>
      </c>
    </row>
    <row r="192" customFormat="false" ht="15" hidden="false" customHeight="true" outlineLevel="0" collapsed="false">
      <c r="B192" s="14" t="n">
        <v>186</v>
      </c>
      <c r="C192" s="11" t="s">
        <v>393</v>
      </c>
      <c r="D192" s="11" t="s">
        <v>279</v>
      </c>
      <c r="E192" s="14"/>
      <c r="F192" s="22" t="n">
        <v>4.6</v>
      </c>
      <c r="G192" s="13" t="n">
        <f aca="false">IFERROR(SUMIFS(H328:H1942,B328:B1942,B192),0)</f>
        <v>0.787063142437592</v>
      </c>
      <c r="H192" s="13" t="n">
        <f aca="false">F192-G192</f>
        <v>3.81293685756241</v>
      </c>
      <c r="I192" s="23" t="n">
        <f aca="false">IFERROR((F192-G192)/F192,0)</f>
        <v>0.828899316861393</v>
      </c>
      <c r="J192" s="14" t="n">
        <v>4</v>
      </c>
      <c r="K192" s="24" t="s">
        <v>290</v>
      </c>
      <c r="L192" s="25" t="n">
        <f aca="false">IFERROR((F192-G192)/G192,0)</f>
        <v>4.84451202447807</v>
      </c>
    </row>
    <row r="193" customFormat="false" ht="15" hidden="false" customHeight="true" outlineLevel="0" collapsed="false">
      <c r="B193" s="14" t="n">
        <v>187</v>
      </c>
      <c r="C193" s="11" t="s">
        <v>394</v>
      </c>
      <c r="D193" s="11" t="s">
        <v>266</v>
      </c>
      <c r="E193" s="14"/>
      <c r="F193" s="22" t="n">
        <v>4.1</v>
      </c>
      <c r="G193" s="13" t="n">
        <f aca="false">IFERROR(SUMIFS(H328:H1942,B328:B1942,B193),0)</f>
        <v>0.944823788546256</v>
      </c>
      <c r="H193" s="13" t="n">
        <f aca="false">F193-G193</f>
        <v>3.15517621145374</v>
      </c>
      <c r="I193" s="23" t="n">
        <f aca="false">IFERROR((F193-G193)/F193,0)</f>
        <v>0.769555173525304</v>
      </c>
      <c r="J193" s="14" t="n">
        <v>4</v>
      </c>
      <c r="K193" s="24" t="s">
        <v>395</v>
      </c>
      <c r="L193" s="25" t="n">
        <f aca="false">IFERROR((F193-G193)/G193,0)</f>
        <v>3.33943350040797</v>
      </c>
    </row>
    <row r="194" customFormat="false" ht="15" hidden="false" customHeight="true" outlineLevel="0" collapsed="false">
      <c r="B194" s="14" t="n">
        <v>188</v>
      </c>
      <c r="C194" s="11" t="s">
        <v>394</v>
      </c>
      <c r="D194" s="11" t="s">
        <v>268</v>
      </c>
      <c r="E194" s="14"/>
      <c r="F194" s="22" t="n">
        <v>3.9</v>
      </c>
      <c r="G194" s="13" t="n">
        <f aca="false">IFERROR(SUMIFS(H328:H1942,B328:B1942,B194),0)</f>
        <v>0.836894273127753</v>
      </c>
      <c r="H194" s="13" t="n">
        <f aca="false">F194-G194</f>
        <v>3.06310572687225</v>
      </c>
      <c r="I194" s="23" t="n">
        <f aca="false">IFERROR((F194-G194)/F194,0)</f>
        <v>0.785411724839038</v>
      </c>
      <c r="J194" s="14" t="n">
        <v>4</v>
      </c>
      <c r="K194" s="24" t="s">
        <v>395</v>
      </c>
      <c r="L194" s="25" t="n">
        <f aca="false">IFERROR((F194-G194)/G194,0)</f>
        <v>3.66008685353336</v>
      </c>
    </row>
    <row r="195" customFormat="false" ht="15" hidden="false" customHeight="true" outlineLevel="0" collapsed="false">
      <c r="B195" s="14" t="n">
        <v>189</v>
      </c>
      <c r="C195" s="11" t="s">
        <v>394</v>
      </c>
      <c r="D195" s="11" t="s">
        <v>279</v>
      </c>
      <c r="E195" s="14"/>
      <c r="F195" s="22" t="n">
        <v>4.4</v>
      </c>
      <c r="G195" s="13" t="n">
        <f aca="false">IFERROR(SUMIFS(H328:H1942,B328:B1942,B195),0)</f>
        <v>1.60378854625551</v>
      </c>
      <c r="H195" s="13" t="n">
        <f aca="false">F195-G195</f>
        <v>2.79621145374449</v>
      </c>
      <c r="I195" s="23" t="n">
        <f aca="false">IFERROR((F195-G195)/F195,0)</f>
        <v>0.635502603123749</v>
      </c>
      <c r="J195" s="14" t="n">
        <v>4</v>
      </c>
      <c r="K195" s="24" t="s">
        <v>395</v>
      </c>
      <c r="L195" s="25" t="n">
        <f aca="false">IFERROR((F195-G195)/G195,0)</f>
        <v>1.74350381805197</v>
      </c>
    </row>
    <row r="196" customFormat="false" ht="15" hidden="false" customHeight="true" outlineLevel="0" collapsed="false">
      <c r="B196" s="14" t="n">
        <v>190</v>
      </c>
      <c r="C196" s="11" t="s">
        <v>396</v>
      </c>
      <c r="D196" s="11" t="s">
        <v>266</v>
      </c>
      <c r="E196" s="14"/>
      <c r="F196" s="22" t="n">
        <v>3.7</v>
      </c>
      <c r="G196" s="13" t="n">
        <f aca="false">IFERROR(SUMIFS(H328:H1942,B328:B1942,B196),0)</f>
        <v>1.055</v>
      </c>
      <c r="H196" s="13" t="n">
        <f aca="false">F196-G196</f>
        <v>2.645</v>
      </c>
      <c r="I196" s="23" t="n">
        <f aca="false">IFERROR((F196-G196)/F196,0)</f>
        <v>0.714864864864865</v>
      </c>
      <c r="J196" s="14" t="n">
        <v>4</v>
      </c>
      <c r="K196" s="24" t="s">
        <v>278</v>
      </c>
      <c r="L196" s="25" t="n">
        <f aca="false">IFERROR((F196-G196)/G196,0)</f>
        <v>2.50710900473934</v>
      </c>
    </row>
    <row r="197" customFormat="false" ht="15" hidden="false" customHeight="true" outlineLevel="0" collapsed="false">
      <c r="B197" s="14" t="n">
        <v>191</v>
      </c>
      <c r="C197" s="11" t="s">
        <v>396</v>
      </c>
      <c r="D197" s="11" t="s">
        <v>268</v>
      </c>
      <c r="E197" s="14"/>
      <c r="F197" s="22" t="n">
        <v>3.4</v>
      </c>
      <c r="G197" s="13" t="n">
        <f aca="false">IFERROR(SUMIFS(H328:H1942,B328:B1942,B197),0)</f>
        <v>0.93</v>
      </c>
      <c r="H197" s="13" t="n">
        <f aca="false">F197-G197</f>
        <v>2.47</v>
      </c>
      <c r="I197" s="23" t="n">
        <f aca="false">IFERROR((F197-G197)/F197,0)</f>
        <v>0.726470588235294</v>
      </c>
      <c r="J197" s="14" t="n">
        <v>4</v>
      </c>
      <c r="K197" s="24" t="s">
        <v>278</v>
      </c>
      <c r="L197" s="25" t="n">
        <f aca="false">IFERROR((F197-G197)/G197,0)</f>
        <v>2.65591397849462</v>
      </c>
    </row>
    <row r="198" customFormat="false" ht="15" hidden="false" customHeight="true" outlineLevel="0" collapsed="false">
      <c r="B198" s="14" t="n">
        <v>192</v>
      </c>
      <c r="C198" s="11" t="s">
        <v>396</v>
      </c>
      <c r="D198" s="11" t="s">
        <v>279</v>
      </c>
      <c r="E198" s="14"/>
      <c r="F198" s="22" t="n">
        <v>4</v>
      </c>
      <c r="G198" s="13" t="n">
        <f aca="false">IFERROR(SUMIFS(H328:H1942,B328:B1942,B198),0)</f>
        <v>1.76</v>
      </c>
      <c r="H198" s="13" t="n">
        <f aca="false">F198-G198</f>
        <v>2.24</v>
      </c>
      <c r="I198" s="23" t="n">
        <f aca="false">IFERROR((F198-G198)/F198,0)</f>
        <v>0.56</v>
      </c>
      <c r="J198" s="14" t="n">
        <v>4</v>
      </c>
      <c r="K198" s="24" t="s">
        <v>278</v>
      </c>
      <c r="L198" s="25" t="n">
        <f aca="false">IFERROR((F198-G198)/G198,0)</f>
        <v>1.27272727272727</v>
      </c>
    </row>
    <row r="199" customFormat="false" ht="15" hidden="false" customHeight="true" outlineLevel="0" collapsed="false">
      <c r="B199" s="14" t="n">
        <v>193</v>
      </c>
      <c r="C199" s="11" t="s">
        <v>397</v>
      </c>
      <c r="D199" s="11" t="s">
        <v>266</v>
      </c>
      <c r="E199" s="14"/>
      <c r="F199" s="22" t="n">
        <v>4.2</v>
      </c>
      <c r="G199" s="13" t="n">
        <f aca="false">IFERROR(SUMIFS(H328:H1942,B328:B1942,B199),0)</f>
        <v>0</v>
      </c>
      <c r="H199" s="13" t="n">
        <f aca="false">F199-G199</f>
        <v>4.2</v>
      </c>
      <c r="I199" s="23" t="n">
        <f aca="false">IFERROR((F199-G199)/F199,0)</f>
        <v>1</v>
      </c>
      <c r="J199" s="14" t="n">
        <v>4</v>
      </c>
      <c r="K199" s="24" t="s">
        <v>398</v>
      </c>
      <c r="L199" s="25" t="n">
        <f aca="false">IFERROR((F199-G199)/G199,0)</f>
        <v>0</v>
      </c>
    </row>
    <row r="200" customFormat="false" ht="15" hidden="false" customHeight="true" outlineLevel="0" collapsed="false">
      <c r="B200" s="14" t="n">
        <v>194</v>
      </c>
      <c r="C200" s="11" t="s">
        <v>397</v>
      </c>
      <c r="D200" s="11" t="s">
        <v>268</v>
      </c>
      <c r="E200" s="14"/>
      <c r="F200" s="22" t="n">
        <v>3.9</v>
      </c>
      <c r="G200" s="13" t="n">
        <f aca="false">IFERROR(SUMIFS(H328:H1942,B328:B1942,B200),0)</f>
        <v>0</v>
      </c>
      <c r="H200" s="13" t="n">
        <f aca="false">F200-G200</f>
        <v>3.9</v>
      </c>
      <c r="I200" s="23" t="n">
        <f aca="false">IFERROR((F200-G200)/F200,0)</f>
        <v>1</v>
      </c>
      <c r="J200" s="14" t="n">
        <v>4</v>
      </c>
      <c r="K200" s="24" t="s">
        <v>398</v>
      </c>
      <c r="L200" s="25" t="n">
        <f aca="false">IFERROR((F200-G200)/G200,0)</f>
        <v>0</v>
      </c>
    </row>
    <row r="201" customFormat="false" ht="15" hidden="false" customHeight="true" outlineLevel="0" collapsed="false">
      <c r="B201" s="14" t="n">
        <v>195</v>
      </c>
      <c r="C201" s="11" t="s">
        <v>399</v>
      </c>
      <c r="D201" s="11" t="s">
        <v>266</v>
      </c>
      <c r="E201" s="14"/>
      <c r="F201" s="22" t="n">
        <v>4.8</v>
      </c>
      <c r="G201" s="13" t="n">
        <f aca="false">IFERROR(SUMIFS(H328:H1942,B328:B1942,B201),0)</f>
        <v>0.58529919236417</v>
      </c>
      <c r="H201" s="13" t="n">
        <f aca="false">F201-G201</f>
        <v>4.21470080763583</v>
      </c>
      <c r="I201" s="23" t="n">
        <f aca="false">IFERROR((F201-G201)/F201,0)</f>
        <v>0.878062668257464</v>
      </c>
      <c r="J201" s="14" t="n">
        <v>5</v>
      </c>
      <c r="K201" s="24" t="s">
        <v>321</v>
      </c>
      <c r="L201" s="25" t="n">
        <f aca="false">IFERROR((F201-G201)/G201,0)</f>
        <v>7.20093391998645</v>
      </c>
    </row>
    <row r="202" customFormat="false" ht="15" hidden="false" customHeight="true" outlineLevel="0" collapsed="false">
      <c r="B202" s="14" t="n">
        <v>196</v>
      </c>
      <c r="C202" s="11" t="s">
        <v>399</v>
      </c>
      <c r="D202" s="11" t="s">
        <v>268</v>
      </c>
      <c r="E202" s="14"/>
      <c r="F202" s="22" t="n">
        <v>4.4</v>
      </c>
      <c r="G202" s="13" t="n">
        <f aca="false">IFERROR(SUMIFS(H328:H1942,B328:B1942,B202),0)</f>
        <v>0.55529919236417</v>
      </c>
      <c r="H202" s="13" t="n">
        <f aca="false">F202-G202</f>
        <v>3.84470080763583</v>
      </c>
      <c r="I202" s="23" t="n">
        <f aca="false">IFERROR((F202-G202)/F202,0)</f>
        <v>0.873795638099052</v>
      </c>
      <c r="J202" s="14" t="n">
        <v>5</v>
      </c>
      <c r="K202" s="24" t="s">
        <v>321</v>
      </c>
      <c r="L202" s="25" t="n">
        <f aca="false">IFERROR((F202-G202)/G202,0)</f>
        <v>6.92365640091628</v>
      </c>
    </row>
    <row r="203" customFormat="false" ht="15" hidden="false" customHeight="true" outlineLevel="0" collapsed="false">
      <c r="B203" s="14" t="n">
        <v>197</v>
      </c>
      <c r="C203" s="11" t="s">
        <v>400</v>
      </c>
      <c r="D203" s="11" t="s">
        <v>266</v>
      </c>
      <c r="E203" s="14"/>
      <c r="F203" s="22" t="n">
        <v>3.9</v>
      </c>
      <c r="G203" s="13" t="n">
        <f aca="false">IFERROR(SUMIFS(H328:H1942,B328:B1942,B203),0)</f>
        <v>0.379875</v>
      </c>
      <c r="H203" s="13" t="n">
        <f aca="false">F203-G203</f>
        <v>3.520125</v>
      </c>
      <c r="I203" s="23" t="n">
        <f aca="false">IFERROR((F203-G203)/F203,0)</f>
        <v>0.902596153846154</v>
      </c>
      <c r="J203" s="14" t="n">
        <v>4</v>
      </c>
      <c r="K203" s="24" t="s">
        <v>355</v>
      </c>
      <c r="L203" s="25" t="n">
        <f aca="false">IFERROR((F203-G203)/G203,0)</f>
        <v>9.26653504442251</v>
      </c>
    </row>
    <row r="204" customFormat="false" ht="15" hidden="false" customHeight="true" outlineLevel="0" collapsed="false">
      <c r="B204" s="14" t="n">
        <v>198</v>
      </c>
      <c r="C204" s="11" t="s">
        <v>400</v>
      </c>
      <c r="D204" s="11" t="s">
        <v>268</v>
      </c>
      <c r="E204" s="14"/>
      <c r="F204" s="22" t="n">
        <v>3.6</v>
      </c>
      <c r="G204" s="13" t="n">
        <f aca="false">IFERROR(SUMIFS(H328:H1942,B328:B1942,B204),0)</f>
        <v>0.349875</v>
      </c>
      <c r="H204" s="13" t="n">
        <f aca="false">F204-G204</f>
        <v>3.250125</v>
      </c>
      <c r="I204" s="23" t="n">
        <f aca="false">IFERROR((F204-G204)/F204,0)</f>
        <v>0.9028125</v>
      </c>
      <c r="J204" s="14" t="n">
        <v>4</v>
      </c>
      <c r="K204" s="24" t="s">
        <v>355</v>
      </c>
      <c r="L204" s="25" t="n">
        <f aca="false">IFERROR((F204-G204)/G204,0)</f>
        <v>9.28938906752412</v>
      </c>
    </row>
    <row r="205" customFormat="false" ht="15" hidden="false" customHeight="true" outlineLevel="0" collapsed="false">
      <c r="B205" s="26" t="n">
        <v>199</v>
      </c>
      <c r="C205" s="26" t="s">
        <v>401</v>
      </c>
      <c r="D205" s="26" t="s">
        <v>266</v>
      </c>
      <c r="E205" s="26"/>
      <c r="F205" s="27" t="n">
        <v>0</v>
      </c>
      <c r="G205" s="27" t="n">
        <f aca="false">IFERROR(SUMIFS(H328:H1942,B328:B1942,B205),0)</f>
        <v>0</v>
      </c>
      <c r="H205" s="27" t="n">
        <f aca="false">F205-G205</f>
        <v>0</v>
      </c>
      <c r="I205" s="28" t="n">
        <f aca="false">IFERROR((F205-G205)/F205,0)</f>
        <v>0</v>
      </c>
      <c r="J205" s="26" t="n">
        <v>4</v>
      </c>
      <c r="K205" s="29" t="s">
        <v>398</v>
      </c>
      <c r="L205" s="30" t="n">
        <f aca="false">IFERROR((F205-G205)/G205,0)</f>
        <v>0</v>
      </c>
    </row>
    <row r="206" customFormat="false" ht="15" hidden="false" customHeight="true" outlineLevel="0" collapsed="false">
      <c r="B206" s="26" t="n">
        <v>200</v>
      </c>
      <c r="C206" s="26" t="s">
        <v>401</v>
      </c>
      <c r="D206" s="26" t="s">
        <v>268</v>
      </c>
      <c r="E206" s="26"/>
      <c r="F206" s="27" t="n">
        <v>0</v>
      </c>
      <c r="G206" s="27" t="n">
        <f aca="false">IFERROR(SUMIFS(H328:H1942,B328:B1942,B206),0)</f>
        <v>0</v>
      </c>
      <c r="H206" s="27" t="n">
        <f aca="false">F206-G206</f>
        <v>0</v>
      </c>
      <c r="I206" s="28" t="n">
        <f aca="false">IFERROR((F206-G206)/F206,0)</f>
        <v>0</v>
      </c>
      <c r="J206" s="26" t="n">
        <v>4</v>
      </c>
      <c r="K206" s="29" t="s">
        <v>398</v>
      </c>
      <c r="L206" s="30" t="n">
        <f aca="false">IFERROR((F206-G206)/G206,0)</f>
        <v>0</v>
      </c>
    </row>
    <row r="207" customFormat="false" ht="15" hidden="false" customHeight="true" outlineLevel="0" collapsed="false">
      <c r="B207" s="14" t="n">
        <v>201</v>
      </c>
      <c r="C207" s="11" t="s">
        <v>402</v>
      </c>
      <c r="D207" s="11" t="s">
        <v>266</v>
      </c>
      <c r="E207" s="14" t="s">
        <v>283</v>
      </c>
      <c r="F207" s="22" t="n">
        <v>4.2</v>
      </c>
      <c r="G207" s="13" t="n">
        <f aca="false">IFERROR(SUMIFS(H328:H1942,B328:B1942,B207),0)</f>
        <v>0.74913362701909</v>
      </c>
      <c r="H207" s="13" t="n">
        <f aca="false">F207-G207</f>
        <v>3.45086637298091</v>
      </c>
      <c r="I207" s="23" t="n">
        <f aca="false">IFERROR((F207-G207)/F207,0)</f>
        <v>0.821634850709741</v>
      </c>
      <c r="J207" s="14" t="n">
        <v>5</v>
      </c>
      <c r="K207" s="24" t="s">
        <v>290</v>
      </c>
      <c r="L207" s="25" t="n">
        <f aca="false">IFERROR((F207-G207)/G207,0)</f>
        <v>4.60647639956092</v>
      </c>
    </row>
    <row r="208" customFormat="false" ht="15" hidden="false" customHeight="true" outlineLevel="0" collapsed="false">
      <c r="B208" s="14" t="n">
        <v>202</v>
      </c>
      <c r="C208" s="11" t="s">
        <v>402</v>
      </c>
      <c r="D208" s="11" t="s">
        <v>268</v>
      </c>
      <c r="E208" s="14" t="s">
        <v>283</v>
      </c>
      <c r="F208" s="22" t="n">
        <v>4</v>
      </c>
      <c r="G208" s="13" t="n">
        <f aca="false">IFERROR(SUMIFS(H328:H1942,B328:B1942,B208),0)</f>
        <v>0.571204111600587</v>
      </c>
      <c r="H208" s="13" t="n">
        <f aca="false">F208-G208</f>
        <v>3.42879588839941</v>
      </c>
      <c r="I208" s="23" t="n">
        <f aca="false">IFERROR((F208-G208)/F208,0)</f>
        <v>0.857198972099853</v>
      </c>
      <c r="J208" s="14" t="n">
        <v>5</v>
      </c>
      <c r="K208" s="24" t="s">
        <v>290</v>
      </c>
      <c r="L208" s="25" t="n">
        <f aca="false">IFERROR((F208-G208)/G208,0)</f>
        <v>6.00275071338595</v>
      </c>
    </row>
    <row r="209" customFormat="false" ht="15" hidden="false" customHeight="true" outlineLevel="0" collapsed="false">
      <c r="B209" s="14" t="n">
        <v>203</v>
      </c>
      <c r="C209" s="11" t="s">
        <v>402</v>
      </c>
      <c r="D209" s="11" t="s">
        <v>279</v>
      </c>
      <c r="E209" s="14" t="s">
        <v>283</v>
      </c>
      <c r="F209" s="22" t="n">
        <v>4.4</v>
      </c>
      <c r="G209" s="13" t="n">
        <f aca="false">IFERROR(SUMIFS(H328:H1942,B328:B1942,B209),0)</f>
        <v>0.937063142437592</v>
      </c>
      <c r="H209" s="13" t="n">
        <f aca="false">F209-G209</f>
        <v>3.46293685756241</v>
      </c>
      <c r="I209" s="23" t="n">
        <f aca="false">IFERROR((F209-G209)/F209,0)</f>
        <v>0.787031103991457</v>
      </c>
      <c r="J209" s="14" t="n">
        <v>5</v>
      </c>
      <c r="K209" s="24" t="s">
        <v>290</v>
      </c>
      <c r="L209" s="25" t="n">
        <f aca="false">IFERROR((F209-G209)/G209,0)</f>
        <v>3.69552135894945</v>
      </c>
    </row>
    <row r="210" customFormat="false" ht="15" hidden="false" customHeight="true" outlineLevel="0" collapsed="false">
      <c r="B210" s="14" t="n">
        <v>204</v>
      </c>
      <c r="C210" s="11" t="s">
        <v>403</v>
      </c>
      <c r="D210" s="11" t="s">
        <v>266</v>
      </c>
      <c r="E210" s="14" t="s">
        <v>283</v>
      </c>
      <c r="F210" s="22" t="n">
        <v>4.1</v>
      </c>
      <c r="G210" s="13" t="n">
        <f aca="false">IFERROR(SUMIFS(H328:H1942,B328:B1942,B210),0)</f>
        <v>1.09482378854626</v>
      </c>
      <c r="H210" s="13" t="n">
        <f aca="false">F210-G210</f>
        <v>3.00517621145374</v>
      </c>
      <c r="I210" s="23" t="n">
        <f aca="false">IFERROR((F210-G210)/F210,0)</f>
        <v>0.732969807671645</v>
      </c>
      <c r="J210" s="14" t="n">
        <v>5</v>
      </c>
      <c r="K210" s="24" t="s">
        <v>404</v>
      </c>
      <c r="L210" s="25" t="n">
        <f aca="false">IFERROR((F210-G210)/G210,0)</f>
        <v>2.74489487979077</v>
      </c>
    </row>
    <row r="211" customFormat="false" ht="15" hidden="false" customHeight="true" outlineLevel="0" collapsed="false">
      <c r="B211" s="14" t="n">
        <v>205</v>
      </c>
      <c r="C211" s="11" t="s">
        <v>403</v>
      </c>
      <c r="D211" s="11" t="s">
        <v>268</v>
      </c>
      <c r="E211" s="14" t="s">
        <v>283</v>
      </c>
      <c r="F211" s="22" t="n">
        <v>3.9</v>
      </c>
      <c r="G211" s="13" t="n">
        <f aca="false">IFERROR(SUMIFS(H328:H1942,B328:B1942,B211),0)</f>
        <v>0.986894273127753</v>
      </c>
      <c r="H211" s="13" t="n">
        <f aca="false">F211-G211</f>
        <v>2.91310572687225</v>
      </c>
      <c r="I211" s="23" t="n">
        <f aca="false">IFERROR((F211-G211)/F211,0)</f>
        <v>0.746950186377499</v>
      </c>
      <c r="J211" s="14" t="n">
        <v>5</v>
      </c>
      <c r="K211" s="24" t="s">
        <v>404</v>
      </c>
      <c r="L211" s="25" t="n">
        <f aca="false">IFERROR((F211-G211)/G211,0)</f>
        <v>2.95179109474389</v>
      </c>
    </row>
    <row r="212" customFormat="false" ht="15" hidden="false" customHeight="true" outlineLevel="0" collapsed="false">
      <c r="B212" s="14" t="n">
        <v>206</v>
      </c>
      <c r="C212" s="11" t="s">
        <v>403</v>
      </c>
      <c r="D212" s="11" t="s">
        <v>279</v>
      </c>
      <c r="E212" s="14" t="s">
        <v>283</v>
      </c>
      <c r="F212" s="22" t="n">
        <v>4.3</v>
      </c>
      <c r="G212" s="13" t="n">
        <f aca="false">IFERROR(SUMIFS(H328:H1942,B328:B1942,B212),0)</f>
        <v>1.75378854625551</v>
      </c>
      <c r="H212" s="13" t="n">
        <f aca="false">F212-G212</f>
        <v>2.54621145374449</v>
      </c>
      <c r="I212" s="23" t="n">
        <f aca="false">IFERROR((F212-G212)/F212,0)</f>
        <v>0.592142198545231</v>
      </c>
      <c r="J212" s="14" t="n">
        <v>5</v>
      </c>
      <c r="K212" s="24" t="s">
        <v>404</v>
      </c>
      <c r="L212" s="25" t="n">
        <f aca="false">IFERROR((F212-G212)/G212,0)</f>
        <v>1.45183491999699</v>
      </c>
    </row>
    <row r="213" customFormat="false" ht="15" hidden="false" customHeight="true" outlineLevel="0" collapsed="false">
      <c r="B213" s="14" t="n">
        <v>207</v>
      </c>
      <c r="C213" s="11" t="s">
        <v>405</v>
      </c>
      <c r="D213" s="11" t="s">
        <v>266</v>
      </c>
      <c r="E213" s="14"/>
      <c r="F213" s="22" t="n">
        <v>4.2</v>
      </c>
      <c r="G213" s="13" t="n">
        <f aca="false">IFERROR(SUMIFS(H328:H1942,B328:B1942,B213),0)</f>
        <v>0.59913362701909</v>
      </c>
      <c r="H213" s="13" t="n">
        <f aca="false">F213-G213</f>
        <v>3.60086637298091</v>
      </c>
      <c r="I213" s="23" t="n">
        <f aca="false">IFERROR((F213-G213)/F213,0)</f>
        <v>0.857349136424026</v>
      </c>
      <c r="J213" s="14" t="n">
        <v>4</v>
      </c>
      <c r="K213" s="24" t="s">
        <v>290</v>
      </c>
      <c r="L213" s="25" t="n">
        <f aca="false">IFERROR((F213-G213)/G213,0)</f>
        <v>6.010122300924</v>
      </c>
    </row>
    <row r="214" customFormat="false" ht="15" hidden="false" customHeight="true" outlineLevel="0" collapsed="false">
      <c r="B214" s="14" t="n">
        <v>208</v>
      </c>
      <c r="C214" s="11" t="s">
        <v>405</v>
      </c>
      <c r="D214" s="11" t="s">
        <v>268</v>
      </c>
      <c r="E214" s="14"/>
      <c r="F214" s="22" t="n">
        <v>4</v>
      </c>
      <c r="G214" s="13" t="n">
        <f aca="false">IFERROR(SUMIFS(H328:H1942,B328:B1942,B214),0)</f>
        <v>0.421204111600587</v>
      </c>
      <c r="H214" s="13" t="n">
        <f aca="false">F214-G214</f>
        <v>3.57879588839941</v>
      </c>
      <c r="I214" s="23" t="n">
        <f aca="false">IFERROR((F214-G214)/F214,0)</f>
        <v>0.894698972099853</v>
      </c>
      <c r="J214" s="14" t="n">
        <v>4</v>
      </c>
      <c r="K214" s="24" t="s">
        <v>290</v>
      </c>
      <c r="L214" s="25" t="n">
        <f aca="false">IFERROR((F214-G214)/G214,0)</f>
        <v>8.49658346116302</v>
      </c>
    </row>
    <row r="215" customFormat="false" ht="15" hidden="false" customHeight="true" outlineLevel="0" collapsed="false">
      <c r="B215" s="14" t="n">
        <v>209</v>
      </c>
      <c r="C215" s="11" t="s">
        <v>405</v>
      </c>
      <c r="D215" s="11" t="s">
        <v>279</v>
      </c>
      <c r="E215" s="14"/>
      <c r="F215" s="22" t="n">
        <v>4.4</v>
      </c>
      <c r="G215" s="13" t="n">
        <f aca="false">IFERROR(SUMIFS(H328:H1942,B328:B1942,B215),0)</f>
        <v>0.787063142437592</v>
      </c>
      <c r="H215" s="13" t="n">
        <f aca="false">F215-G215</f>
        <v>3.61293685756241</v>
      </c>
      <c r="I215" s="23" t="n">
        <f aca="false">IFERROR((F215-G215)/F215,0)</f>
        <v>0.821122013082366</v>
      </c>
      <c r="J215" s="14" t="n">
        <v>4</v>
      </c>
      <c r="K215" s="24" t="s">
        <v>290</v>
      </c>
      <c r="L215" s="25" t="n">
        <f aca="false">IFERROR((F215-G215)/G215,0)</f>
        <v>4.5904028060225</v>
      </c>
    </row>
    <row r="216" customFormat="false" ht="15" hidden="false" customHeight="true" outlineLevel="0" collapsed="false">
      <c r="B216" s="14" t="n">
        <v>210</v>
      </c>
      <c r="C216" s="11" t="s">
        <v>406</v>
      </c>
      <c r="D216" s="11" t="s">
        <v>266</v>
      </c>
      <c r="E216" s="14"/>
      <c r="F216" s="22" t="n">
        <v>4.1</v>
      </c>
      <c r="G216" s="13" t="n">
        <f aca="false">IFERROR(SUMIFS(H328:H1942,B328:B1942,B216),0)</f>
        <v>0.944823788546256</v>
      </c>
      <c r="H216" s="13" t="n">
        <f aca="false">F216-G216</f>
        <v>3.15517621145374</v>
      </c>
      <c r="I216" s="23" t="n">
        <f aca="false">IFERROR((F216-G216)/F216,0)</f>
        <v>0.769555173525304</v>
      </c>
      <c r="J216" s="14" t="n">
        <v>4</v>
      </c>
      <c r="K216" s="24" t="s">
        <v>407</v>
      </c>
      <c r="L216" s="25" t="n">
        <f aca="false">IFERROR((F216-G216)/G216,0)</f>
        <v>3.33943350040797</v>
      </c>
    </row>
    <row r="217" customFormat="false" ht="15" hidden="false" customHeight="true" outlineLevel="0" collapsed="false">
      <c r="B217" s="14" t="n">
        <v>211</v>
      </c>
      <c r="C217" s="11" t="s">
        <v>406</v>
      </c>
      <c r="D217" s="11" t="s">
        <v>268</v>
      </c>
      <c r="E217" s="14"/>
      <c r="F217" s="22" t="n">
        <v>3.9</v>
      </c>
      <c r="G217" s="13" t="n">
        <f aca="false">IFERROR(SUMIFS(H328:H1942,B328:B1942,B217),0)</f>
        <v>0.836894273127753</v>
      </c>
      <c r="H217" s="13" t="n">
        <f aca="false">F217-G217</f>
        <v>3.06310572687225</v>
      </c>
      <c r="I217" s="23" t="n">
        <f aca="false">IFERROR((F217-G217)/F217,0)</f>
        <v>0.785411724839038</v>
      </c>
      <c r="J217" s="14" t="n">
        <v>4</v>
      </c>
      <c r="K217" s="24" t="s">
        <v>407</v>
      </c>
      <c r="L217" s="25" t="n">
        <f aca="false">IFERROR((F217-G217)/G217,0)</f>
        <v>3.66008685353336</v>
      </c>
    </row>
    <row r="218" customFormat="false" ht="15" hidden="false" customHeight="true" outlineLevel="0" collapsed="false">
      <c r="B218" s="14" t="n">
        <v>212</v>
      </c>
      <c r="C218" s="11" t="s">
        <v>406</v>
      </c>
      <c r="D218" s="11" t="s">
        <v>279</v>
      </c>
      <c r="E218" s="14"/>
      <c r="F218" s="22" t="n">
        <v>4.4</v>
      </c>
      <c r="G218" s="13" t="n">
        <f aca="false">IFERROR(SUMIFS(H328:H1942,B328:B1942,B218),0)</f>
        <v>1.60378854625551</v>
      </c>
      <c r="H218" s="13" t="n">
        <f aca="false">F218-G218</f>
        <v>2.79621145374449</v>
      </c>
      <c r="I218" s="23" t="n">
        <f aca="false">IFERROR((F218-G218)/F218,0)</f>
        <v>0.635502603123749</v>
      </c>
      <c r="J218" s="14" t="n">
        <v>4</v>
      </c>
      <c r="K218" s="24" t="s">
        <v>407</v>
      </c>
      <c r="L218" s="25" t="n">
        <f aca="false">IFERROR((F218-G218)/G218,0)</f>
        <v>1.74350381805197</v>
      </c>
    </row>
    <row r="219" customFormat="false" ht="15" hidden="false" customHeight="true" outlineLevel="0" collapsed="false">
      <c r="B219" s="14" t="n">
        <v>213</v>
      </c>
      <c r="C219" s="11" t="s">
        <v>408</v>
      </c>
      <c r="D219" s="11" t="s">
        <v>266</v>
      </c>
      <c r="E219" s="14"/>
      <c r="F219" s="22" t="n">
        <v>3.8</v>
      </c>
      <c r="G219" s="13" t="n">
        <f aca="false">IFERROR(SUMIFS(H328:H1942,B328:B1942,B219),0)</f>
        <v>1.444859030837</v>
      </c>
      <c r="H219" s="13" t="n">
        <f aca="false">F219-G219</f>
        <v>2.355140969163</v>
      </c>
      <c r="I219" s="23" t="n">
        <f aca="false">IFERROR((F219-G219)/F219,0)</f>
        <v>0.61977393925342</v>
      </c>
      <c r="J219" s="14" t="n">
        <v>5</v>
      </c>
      <c r="K219" s="24" t="s">
        <v>409</v>
      </c>
      <c r="L219" s="25" t="n">
        <f aca="false">IFERROR((F219-G219)/G219,0)</f>
        <v>1.63001436050039</v>
      </c>
    </row>
    <row r="220" customFormat="false" ht="15" hidden="false" customHeight="true" outlineLevel="0" collapsed="false">
      <c r="B220" s="14" t="n">
        <v>214</v>
      </c>
      <c r="C220" s="11" t="s">
        <v>408</v>
      </c>
      <c r="D220" s="11" t="s">
        <v>268</v>
      </c>
      <c r="E220" s="14"/>
      <c r="F220" s="22" t="n">
        <v>3.5</v>
      </c>
      <c r="G220" s="13" t="n">
        <f aca="false">IFERROR(SUMIFS(H328:H1942,B328:B1942,B220),0)</f>
        <v>1.14758443465492</v>
      </c>
      <c r="H220" s="13" t="n">
        <f aca="false">F220-G220</f>
        <v>2.35241556534508</v>
      </c>
      <c r="I220" s="23" t="n">
        <f aca="false">IFERROR((F220-G220)/F220,0)</f>
        <v>0.672118732955737</v>
      </c>
      <c r="J220" s="14" t="n">
        <v>5</v>
      </c>
      <c r="K220" s="24" t="s">
        <v>409</v>
      </c>
      <c r="L220" s="25" t="n">
        <f aca="false">IFERROR((F220-G220)/G220,0)</f>
        <v>2.04988451769342</v>
      </c>
    </row>
    <row r="221" customFormat="false" ht="15" hidden="false" customHeight="true" outlineLevel="0" collapsed="false">
      <c r="B221" s="14" t="n">
        <v>215</v>
      </c>
      <c r="C221" s="11" t="s">
        <v>408</v>
      </c>
      <c r="D221" s="11" t="s">
        <v>279</v>
      </c>
      <c r="E221" s="14"/>
      <c r="F221" s="22" t="n">
        <v>4.1</v>
      </c>
      <c r="G221" s="13" t="n">
        <f aca="false">IFERROR(SUMIFS(H328:H1942,B328:B1942,B221),0)</f>
        <v>2.37582378854626</v>
      </c>
      <c r="H221" s="13" t="n">
        <f aca="false">F221-G221</f>
        <v>1.72417621145374</v>
      </c>
      <c r="I221" s="23" t="n">
        <f aca="false">IFERROR((F221-G221)/F221,0)</f>
        <v>0.420530783281401</v>
      </c>
      <c r="J221" s="14" t="n">
        <v>5</v>
      </c>
      <c r="K221" s="24" t="s">
        <v>409</v>
      </c>
      <c r="L221" s="25" t="n">
        <f aca="false">IFERROR((F221-G221)/G221,0)</f>
        <v>0.725717210075059</v>
      </c>
    </row>
    <row r="222" customFormat="false" ht="15" hidden="false" customHeight="true" outlineLevel="0" collapsed="false">
      <c r="B222" s="14" t="n">
        <v>216</v>
      </c>
      <c r="C222" s="11" t="s">
        <v>410</v>
      </c>
      <c r="D222" s="11" t="s">
        <v>266</v>
      </c>
      <c r="E222" s="14" t="s">
        <v>283</v>
      </c>
      <c r="F222" s="22" t="n">
        <v>4.2</v>
      </c>
      <c r="G222" s="13" t="n">
        <f aca="false">IFERROR(SUMIFS(H328:H1942,B328:B1942,B222),0)</f>
        <v>0.74913362701909</v>
      </c>
      <c r="H222" s="13" t="n">
        <f aca="false">F222-G222</f>
        <v>3.45086637298091</v>
      </c>
      <c r="I222" s="23" t="n">
        <f aca="false">IFERROR((F222-G222)/F222,0)</f>
        <v>0.821634850709741</v>
      </c>
      <c r="J222" s="14" t="n">
        <v>5</v>
      </c>
      <c r="K222" s="24" t="s">
        <v>290</v>
      </c>
      <c r="L222" s="25" t="n">
        <f aca="false">IFERROR((F222-G222)/G222,0)</f>
        <v>4.60647639956092</v>
      </c>
    </row>
    <row r="223" customFormat="false" ht="15" hidden="false" customHeight="true" outlineLevel="0" collapsed="false">
      <c r="B223" s="14" t="n">
        <v>217</v>
      </c>
      <c r="C223" s="11" t="s">
        <v>410</v>
      </c>
      <c r="D223" s="11" t="s">
        <v>268</v>
      </c>
      <c r="E223" s="14" t="s">
        <v>283</v>
      </c>
      <c r="F223" s="22" t="n">
        <v>4</v>
      </c>
      <c r="G223" s="13" t="n">
        <f aca="false">IFERROR(SUMIFS(H328:H1942,B328:B1942,B223),0)</f>
        <v>0.571204111600587</v>
      </c>
      <c r="H223" s="13" t="n">
        <f aca="false">F223-G223</f>
        <v>3.42879588839941</v>
      </c>
      <c r="I223" s="23" t="n">
        <f aca="false">IFERROR((F223-G223)/F223,0)</f>
        <v>0.857198972099853</v>
      </c>
      <c r="J223" s="14" t="n">
        <v>5</v>
      </c>
      <c r="K223" s="24" t="s">
        <v>290</v>
      </c>
      <c r="L223" s="25" t="n">
        <f aca="false">IFERROR((F223-G223)/G223,0)</f>
        <v>6.00275071338595</v>
      </c>
    </row>
    <row r="224" customFormat="false" ht="15" hidden="false" customHeight="true" outlineLevel="0" collapsed="false">
      <c r="B224" s="14" t="n">
        <v>218</v>
      </c>
      <c r="C224" s="11" t="s">
        <v>410</v>
      </c>
      <c r="D224" s="11" t="s">
        <v>279</v>
      </c>
      <c r="E224" s="14" t="s">
        <v>283</v>
      </c>
      <c r="F224" s="22" t="n">
        <v>4.4</v>
      </c>
      <c r="G224" s="13" t="n">
        <f aca="false">IFERROR(SUMIFS(H328:H1942,B328:B1942,B224),0)</f>
        <v>0.937063142437592</v>
      </c>
      <c r="H224" s="13" t="n">
        <f aca="false">F224-G224</f>
        <v>3.46293685756241</v>
      </c>
      <c r="I224" s="23" t="n">
        <f aca="false">IFERROR((F224-G224)/F224,0)</f>
        <v>0.787031103991457</v>
      </c>
      <c r="J224" s="14" t="n">
        <v>5</v>
      </c>
      <c r="K224" s="24" t="s">
        <v>290</v>
      </c>
      <c r="L224" s="25" t="n">
        <f aca="false">IFERROR((F224-G224)/G224,0)</f>
        <v>3.69552135894945</v>
      </c>
    </row>
    <row r="225" customFormat="false" ht="15" hidden="false" customHeight="true" outlineLevel="0" collapsed="false">
      <c r="B225" s="14" t="n">
        <v>219</v>
      </c>
      <c r="C225" s="11" t="s">
        <v>411</v>
      </c>
      <c r="D225" s="11" t="s">
        <v>266</v>
      </c>
      <c r="E225" s="14"/>
      <c r="F225" s="22" t="n">
        <v>4.2</v>
      </c>
      <c r="G225" s="13" t="n">
        <f aca="false">IFERROR(SUMIFS(H328:H1942,B328:B1942,B225),0)</f>
        <v>0.74913362701909</v>
      </c>
      <c r="H225" s="13" t="n">
        <f aca="false">F225-G225</f>
        <v>3.45086637298091</v>
      </c>
      <c r="I225" s="23" t="n">
        <f aca="false">IFERROR((F225-G225)/F225,0)</f>
        <v>0.821634850709741</v>
      </c>
      <c r="J225" s="14" t="n">
        <v>5</v>
      </c>
      <c r="K225" s="24" t="s">
        <v>290</v>
      </c>
      <c r="L225" s="25" t="n">
        <f aca="false">IFERROR((F225-G225)/G225,0)</f>
        <v>4.60647639956092</v>
      </c>
    </row>
    <row r="226" customFormat="false" ht="15" hidden="false" customHeight="true" outlineLevel="0" collapsed="false">
      <c r="B226" s="14" t="n">
        <v>220</v>
      </c>
      <c r="C226" s="11" t="s">
        <v>411</v>
      </c>
      <c r="D226" s="11" t="s">
        <v>268</v>
      </c>
      <c r="E226" s="14"/>
      <c r="F226" s="22" t="n">
        <v>4</v>
      </c>
      <c r="G226" s="13" t="n">
        <f aca="false">IFERROR(SUMIFS(H328:H1942,B328:B1942,B226),0)</f>
        <v>0.571204111600587</v>
      </c>
      <c r="H226" s="13" t="n">
        <f aca="false">F226-G226</f>
        <v>3.42879588839941</v>
      </c>
      <c r="I226" s="23" t="n">
        <f aca="false">IFERROR((F226-G226)/F226,0)</f>
        <v>0.857198972099853</v>
      </c>
      <c r="J226" s="14" t="n">
        <v>5</v>
      </c>
      <c r="K226" s="24" t="s">
        <v>290</v>
      </c>
      <c r="L226" s="25" t="n">
        <f aca="false">IFERROR((F226-G226)/G226,0)</f>
        <v>6.00275071338595</v>
      </c>
    </row>
    <row r="227" customFormat="false" ht="15" hidden="false" customHeight="true" outlineLevel="0" collapsed="false">
      <c r="B227" s="14" t="n">
        <v>221</v>
      </c>
      <c r="C227" s="11" t="s">
        <v>411</v>
      </c>
      <c r="D227" s="11" t="s">
        <v>279</v>
      </c>
      <c r="E227" s="14"/>
      <c r="F227" s="22" t="n">
        <v>4.4</v>
      </c>
      <c r="G227" s="13" t="n">
        <f aca="false">IFERROR(SUMIFS(H328:H1942,B328:B1942,B227),0)</f>
        <v>0.937063142437592</v>
      </c>
      <c r="H227" s="13" t="n">
        <f aca="false">F227-G227</f>
        <v>3.46293685756241</v>
      </c>
      <c r="I227" s="23" t="n">
        <f aca="false">IFERROR((F227-G227)/F227,0)</f>
        <v>0.787031103991457</v>
      </c>
      <c r="J227" s="14" t="n">
        <v>5</v>
      </c>
      <c r="K227" s="24" t="s">
        <v>290</v>
      </c>
      <c r="L227" s="25" t="n">
        <f aca="false">IFERROR((F227-G227)/G227,0)</f>
        <v>3.69552135894945</v>
      </c>
    </row>
    <row r="228" customFormat="false" ht="15" hidden="false" customHeight="true" outlineLevel="0" collapsed="false">
      <c r="B228" s="14" t="n">
        <v>222</v>
      </c>
      <c r="C228" s="11" t="s">
        <v>412</v>
      </c>
      <c r="D228" s="11" t="s">
        <v>266</v>
      </c>
      <c r="E228" s="14"/>
      <c r="F228" s="22" t="n">
        <v>4.1</v>
      </c>
      <c r="G228" s="13" t="n">
        <f aca="false">IFERROR(SUMIFS(H328:H1942,B328:B1942,B228),0)</f>
        <v>1.09482378854626</v>
      </c>
      <c r="H228" s="13" t="n">
        <f aca="false">F228-G228</f>
        <v>3.00517621145374</v>
      </c>
      <c r="I228" s="23" t="n">
        <f aca="false">IFERROR((F228-G228)/F228,0)</f>
        <v>0.732969807671645</v>
      </c>
      <c r="J228" s="14" t="n">
        <v>5</v>
      </c>
      <c r="K228" s="24" t="s">
        <v>413</v>
      </c>
      <c r="L228" s="25" t="n">
        <f aca="false">IFERROR((F228-G228)/G228,0)</f>
        <v>2.74489487979077</v>
      </c>
    </row>
    <row r="229" customFormat="false" ht="15" hidden="false" customHeight="true" outlineLevel="0" collapsed="false">
      <c r="B229" s="14" t="n">
        <v>223</v>
      </c>
      <c r="C229" s="11" t="s">
        <v>412</v>
      </c>
      <c r="D229" s="11" t="s">
        <v>268</v>
      </c>
      <c r="E229" s="14"/>
      <c r="F229" s="22" t="n">
        <v>3.9</v>
      </c>
      <c r="G229" s="13" t="n">
        <f aca="false">IFERROR(SUMIFS(H328:H1942,B328:B1942,B229),0)</f>
        <v>0.986894273127753</v>
      </c>
      <c r="H229" s="13" t="n">
        <f aca="false">F229-G229</f>
        <v>2.91310572687225</v>
      </c>
      <c r="I229" s="23" t="n">
        <f aca="false">IFERROR((F229-G229)/F229,0)</f>
        <v>0.746950186377499</v>
      </c>
      <c r="J229" s="14" t="n">
        <v>5</v>
      </c>
      <c r="K229" s="24" t="s">
        <v>413</v>
      </c>
      <c r="L229" s="25" t="n">
        <f aca="false">IFERROR((F229-G229)/G229,0)</f>
        <v>2.95179109474389</v>
      </c>
    </row>
    <row r="230" customFormat="false" ht="15" hidden="false" customHeight="true" outlineLevel="0" collapsed="false">
      <c r="B230" s="14" t="n">
        <v>224</v>
      </c>
      <c r="C230" s="11" t="s">
        <v>412</v>
      </c>
      <c r="D230" s="11" t="s">
        <v>279</v>
      </c>
      <c r="E230" s="14"/>
      <c r="F230" s="22" t="n">
        <v>4.3</v>
      </c>
      <c r="G230" s="13" t="n">
        <f aca="false">IFERROR(SUMIFS(H328:H1942,B328:B1942,B230),0)</f>
        <v>1.75378854625551</v>
      </c>
      <c r="H230" s="13" t="n">
        <f aca="false">F230-G230</f>
        <v>2.54621145374449</v>
      </c>
      <c r="I230" s="23" t="n">
        <f aca="false">IFERROR((F230-G230)/F230,0)</f>
        <v>0.592142198545231</v>
      </c>
      <c r="J230" s="14" t="n">
        <v>5</v>
      </c>
      <c r="K230" s="24" t="s">
        <v>413</v>
      </c>
      <c r="L230" s="25" t="n">
        <f aca="false">IFERROR((F230-G230)/G230,0)</f>
        <v>1.45183491999699</v>
      </c>
    </row>
    <row r="231" customFormat="false" ht="15" hidden="false" customHeight="true" outlineLevel="0" collapsed="false">
      <c r="B231" s="14" t="n">
        <v>225</v>
      </c>
      <c r="C231" s="11" t="s">
        <v>411</v>
      </c>
      <c r="D231" s="11" t="s">
        <v>266</v>
      </c>
      <c r="E231" s="14" t="s">
        <v>283</v>
      </c>
      <c r="F231" s="22" t="n">
        <v>4.2</v>
      </c>
      <c r="G231" s="13" t="n">
        <f aca="false">IFERROR(SUMIFS(H328:H1942,B328:B1942,B231),0)</f>
        <v>0.74913362701909</v>
      </c>
      <c r="H231" s="13" t="n">
        <f aca="false">F231-G231</f>
        <v>3.45086637298091</v>
      </c>
      <c r="I231" s="23" t="n">
        <f aca="false">IFERROR((F231-G231)/F231,0)</f>
        <v>0.821634850709741</v>
      </c>
      <c r="J231" s="14" t="n">
        <v>5</v>
      </c>
      <c r="K231" s="24" t="s">
        <v>290</v>
      </c>
      <c r="L231" s="25" t="n">
        <f aca="false">IFERROR((F231-G231)/G231,0)</f>
        <v>4.60647639956092</v>
      </c>
    </row>
    <row r="232" customFormat="false" ht="15" hidden="false" customHeight="true" outlineLevel="0" collapsed="false">
      <c r="B232" s="14" t="n">
        <v>226</v>
      </c>
      <c r="C232" s="11" t="s">
        <v>411</v>
      </c>
      <c r="D232" s="11" t="s">
        <v>268</v>
      </c>
      <c r="E232" s="14" t="s">
        <v>283</v>
      </c>
      <c r="F232" s="22" t="n">
        <v>4</v>
      </c>
      <c r="G232" s="13" t="n">
        <f aca="false">IFERROR(SUMIFS(H328:H1942,B328:B1942,B232),0)</f>
        <v>0.571204111600587</v>
      </c>
      <c r="H232" s="13" t="n">
        <f aca="false">F232-G232</f>
        <v>3.42879588839941</v>
      </c>
      <c r="I232" s="23" t="n">
        <f aca="false">IFERROR((F232-G232)/F232,0)</f>
        <v>0.857198972099853</v>
      </c>
      <c r="J232" s="14" t="n">
        <v>5</v>
      </c>
      <c r="K232" s="24" t="s">
        <v>290</v>
      </c>
      <c r="L232" s="25" t="n">
        <f aca="false">IFERROR((F232-G232)/G232,0)</f>
        <v>6.00275071338595</v>
      </c>
    </row>
    <row r="233" customFormat="false" ht="15" hidden="false" customHeight="true" outlineLevel="0" collapsed="false">
      <c r="B233" s="14" t="n">
        <v>227</v>
      </c>
      <c r="C233" s="11" t="s">
        <v>411</v>
      </c>
      <c r="D233" s="11" t="s">
        <v>279</v>
      </c>
      <c r="E233" s="14" t="s">
        <v>283</v>
      </c>
      <c r="F233" s="22" t="n">
        <v>4.4</v>
      </c>
      <c r="G233" s="13" t="n">
        <f aca="false">IFERROR(SUMIFS(H328:H1942,B328:B1942,B233),0)</f>
        <v>0.937063142437592</v>
      </c>
      <c r="H233" s="13" t="n">
        <f aca="false">F233-G233</f>
        <v>3.46293685756241</v>
      </c>
      <c r="I233" s="23" t="n">
        <f aca="false">IFERROR((F233-G233)/F233,0)</f>
        <v>0.787031103991457</v>
      </c>
      <c r="J233" s="14" t="n">
        <v>5</v>
      </c>
      <c r="K233" s="24" t="s">
        <v>290</v>
      </c>
      <c r="L233" s="25" t="n">
        <f aca="false">IFERROR((F233-G233)/G233,0)</f>
        <v>3.69552135894945</v>
      </c>
    </row>
    <row r="234" customFormat="false" ht="15" hidden="false" customHeight="true" outlineLevel="0" collapsed="false">
      <c r="B234" s="14" t="n">
        <v>228</v>
      </c>
      <c r="C234" s="11" t="s">
        <v>414</v>
      </c>
      <c r="D234" s="11" t="s">
        <v>266</v>
      </c>
      <c r="E234" s="14" t="s">
        <v>283</v>
      </c>
      <c r="F234" s="22" t="n">
        <v>4.2</v>
      </c>
      <c r="G234" s="13" t="n">
        <f aca="false">IFERROR(SUMIFS(H328:H1942,B328:B1942,B234),0)</f>
        <v>1.27482378854626</v>
      </c>
      <c r="H234" s="13" t="n">
        <f aca="false">F234-G234</f>
        <v>2.92517621145374</v>
      </c>
      <c r="I234" s="23" t="n">
        <f aca="false">IFERROR((F234-G234)/F234,0)</f>
        <v>0.696470526536606</v>
      </c>
      <c r="J234" s="14" t="n">
        <v>6</v>
      </c>
      <c r="K234" s="24" t="s">
        <v>390</v>
      </c>
      <c r="L234" s="25" t="n">
        <f aca="false">IFERROR((F234-G234)/G234,0)</f>
        <v>2.29457297372013</v>
      </c>
    </row>
    <row r="235" customFormat="false" ht="15" hidden="false" customHeight="true" outlineLevel="0" collapsed="false">
      <c r="B235" s="14" t="n">
        <v>229</v>
      </c>
      <c r="C235" s="11" t="s">
        <v>414</v>
      </c>
      <c r="D235" s="11" t="s">
        <v>268</v>
      </c>
      <c r="E235" s="14" t="s">
        <v>283</v>
      </c>
      <c r="F235" s="22" t="n">
        <v>4</v>
      </c>
      <c r="G235" s="13" t="n">
        <f aca="false">IFERROR(SUMIFS(H328:H1942,B328:B1942,B235),0)</f>
        <v>1.10689427312775</v>
      </c>
      <c r="H235" s="13" t="n">
        <f aca="false">F235-G235</f>
        <v>2.89310572687225</v>
      </c>
      <c r="I235" s="23" t="n">
        <f aca="false">IFERROR((F235-G235)/F235,0)</f>
        <v>0.723276431718062</v>
      </c>
      <c r="J235" s="14" t="n">
        <v>6</v>
      </c>
      <c r="K235" s="24" t="s">
        <v>390</v>
      </c>
      <c r="L235" s="25" t="n">
        <f aca="false">IFERROR((F235-G235)/G235,0)</f>
        <v>2.61371460410324</v>
      </c>
    </row>
    <row r="236" customFormat="false" ht="15" hidden="false" customHeight="true" outlineLevel="0" collapsed="false">
      <c r="B236" s="14" t="n">
        <v>230</v>
      </c>
      <c r="C236" s="11" t="s">
        <v>414</v>
      </c>
      <c r="D236" s="11" t="s">
        <v>279</v>
      </c>
      <c r="E236" s="14" t="s">
        <v>283</v>
      </c>
      <c r="F236" s="22" t="n">
        <v>4.6</v>
      </c>
      <c r="G236" s="13" t="n">
        <f aca="false">IFERROR(SUMIFS(H328:H1942,B328:B1942,B236),0)</f>
        <v>1.99378854625551</v>
      </c>
      <c r="H236" s="13" t="n">
        <f aca="false">F236-G236</f>
        <v>2.60621145374449</v>
      </c>
      <c r="I236" s="23" t="n">
        <f aca="false">IFERROR((F236-G236)/F236,0)</f>
        <v>0.56656770733576</v>
      </c>
      <c r="J236" s="14" t="n">
        <v>6</v>
      </c>
      <c r="K236" s="24" t="s">
        <v>390</v>
      </c>
      <c r="L236" s="25" t="n">
        <f aca="false">IFERROR((F236-G236)/G236,0)</f>
        <v>1.30716542566119</v>
      </c>
    </row>
    <row r="237" customFormat="false" ht="15" hidden="false" customHeight="true" outlineLevel="0" collapsed="false">
      <c r="B237" s="14" t="n">
        <v>231</v>
      </c>
      <c r="C237" s="11" t="s">
        <v>415</v>
      </c>
      <c r="D237" s="11" t="s">
        <v>266</v>
      </c>
      <c r="E237" s="14"/>
      <c r="F237" s="22" t="n">
        <v>3.1</v>
      </c>
      <c r="G237" s="13" t="n">
        <f aca="false">IFERROR(SUMIFS(H328:H1942,B328:B1942,B237),0)</f>
        <v>1.3</v>
      </c>
      <c r="H237" s="13" t="n">
        <f aca="false">F237-G237</f>
        <v>1.8</v>
      </c>
      <c r="I237" s="23" t="n">
        <f aca="false">IFERROR((F237-G237)/F237,0)</f>
        <v>0.580645161290323</v>
      </c>
      <c r="J237" s="14" t="n">
        <v>1</v>
      </c>
      <c r="K237" s="24" t="s">
        <v>270</v>
      </c>
      <c r="L237" s="25" t="n">
        <f aca="false">IFERROR((F237-G237)/G237,0)</f>
        <v>1.38461538461538</v>
      </c>
    </row>
    <row r="238" customFormat="false" ht="15" hidden="false" customHeight="true" outlineLevel="0" collapsed="false">
      <c r="B238" s="14" t="n">
        <v>232</v>
      </c>
      <c r="C238" s="11" t="s">
        <v>416</v>
      </c>
      <c r="D238" s="11" t="s">
        <v>266</v>
      </c>
      <c r="E238" s="14"/>
      <c r="F238" s="22" t="n">
        <v>4.8</v>
      </c>
      <c r="G238" s="13" t="n">
        <f aca="false">IFERROR(SUMIFS(H328:H1942,B328:B1942,B238),0)</f>
        <v>1.23241189427313</v>
      </c>
      <c r="H238" s="13" t="n">
        <f aca="false">F238-G238</f>
        <v>3.56758810572687</v>
      </c>
      <c r="I238" s="23" t="n">
        <f aca="false">IFERROR((F238-G238)/F238,0)</f>
        <v>0.743247522026432</v>
      </c>
      <c r="J238" s="14" t="n">
        <v>6</v>
      </c>
      <c r="K238" s="24" t="s">
        <v>267</v>
      </c>
      <c r="L238" s="25" t="n">
        <f aca="false">IFERROR((F238-G238)/G238,0)</f>
        <v>2.89480174794242</v>
      </c>
    </row>
    <row r="239" customFormat="false" ht="15" hidden="false" customHeight="true" outlineLevel="0" collapsed="false">
      <c r="B239" s="14" t="n">
        <v>233</v>
      </c>
      <c r="C239" s="11" t="s">
        <v>416</v>
      </c>
      <c r="D239" s="11" t="s">
        <v>268</v>
      </c>
      <c r="E239" s="14"/>
      <c r="F239" s="22" t="n">
        <v>4.4</v>
      </c>
      <c r="G239" s="13" t="n">
        <f aca="false">IFERROR(SUMIFS(H328:H1942,B328:B1942,B239),0)</f>
        <v>1.20241189427313</v>
      </c>
      <c r="H239" s="13" t="n">
        <f aca="false">F239-G239</f>
        <v>3.19758810572687</v>
      </c>
      <c r="I239" s="23" t="n">
        <f aca="false">IFERROR((F239-G239)/F239,0)</f>
        <v>0.72672456948338</v>
      </c>
      <c r="J239" s="14" t="n">
        <v>6</v>
      </c>
      <c r="K239" s="24" t="s">
        <v>267</v>
      </c>
      <c r="L239" s="25" t="n">
        <f aca="false">IFERROR((F239-G239)/G239,0)</f>
        <v>2.65931177241045</v>
      </c>
    </row>
    <row r="240" customFormat="false" ht="15" hidden="false" customHeight="true" outlineLevel="0" collapsed="false">
      <c r="B240" s="14" t="n">
        <v>234</v>
      </c>
      <c r="C240" s="11" t="s">
        <v>417</v>
      </c>
      <c r="D240" s="11" t="s">
        <v>266</v>
      </c>
      <c r="E240" s="14"/>
      <c r="F240" s="22" t="n">
        <v>4.2</v>
      </c>
      <c r="G240" s="13" t="n">
        <f aca="false">IFERROR(SUMIFS(H328:H1942,B328:B1942,B240),0)</f>
        <v>0.59913362701909</v>
      </c>
      <c r="H240" s="13" t="n">
        <f aca="false">F240-G240</f>
        <v>3.60086637298091</v>
      </c>
      <c r="I240" s="23" t="n">
        <f aca="false">IFERROR((F240-G240)/F240,0)</f>
        <v>0.857349136424026</v>
      </c>
      <c r="J240" s="14" t="n">
        <v>4</v>
      </c>
      <c r="K240" s="24" t="s">
        <v>290</v>
      </c>
      <c r="L240" s="25" t="n">
        <f aca="false">IFERROR((F240-G240)/G240,0)</f>
        <v>6.010122300924</v>
      </c>
    </row>
    <row r="241" customFormat="false" ht="15" hidden="false" customHeight="true" outlineLevel="0" collapsed="false">
      <c r="B241" s="14" t="n">
        <v>235</v>
      </c>
      <c r="C241" s="11" t="s">
        <v>417</v>
      </c>
      <c r="D241" s="11" t="s">
        <v>268</v>
      </c>
      <c r="E241" s="14"/>
      <c r="F241" s="22" t="n">
        <v>4</v>
      </c>
      <c r="G241" s="13" t="n">
        <f aca="false">IFERROR(SUMIFS(H328:H1942,B328:B1942,B241),0)</f>
        <v>0.421204111600587</v>
      </c>
      <c r="H241" s="13" t="n">
        <f aca="false">F241-G241</f>
        <v>3.57879588839941</v>
      </c>
      <c r="I241" s="23" t="n">
        <f aca="false">IFERROR((F241-G241)/F241,0)</f>
        <v>0.894698972099853</v>
      </c>
      <c r="J241" s="14" t="n">
        <v>4</v>
      </c>
      <c r="K241" s="24" t="s">
        <v>290</v>
      </c>
      <c r="L241" s="25" t="n">
        <f aca="false">IFERROR((F241-G241)/G241,0)</f>
        <v>8.49658346116302</v>
      </c>
    </row>
    <row r="242" customFormat="false" ht="15" hidden="false" customHeight="true" outlineLevel="0" collapsed="false">
      <c r="B242" s="14" t="n">
        <v>236</v>
      </c>
      <c r="C242" s="11" t="s">
        <v>417</v>
      </c>
      <c r="D242" s="11" t="s">
        <v>279</v>
      </c>
      <c r="E242" s="14"/>
      <c r="F242" s="22" t="n">
        <v>4.4</v>
      </c>
      <c r="G242" s="13" t="n">
        <f aca="false">IFERROR(SUMIFS(H328:H1942,B328:B1942,B242),0)</f>
        <v>0.787063142437592</v>
      </c>
      <c r="H242" s="13" t="n">
        <f aca="false">F242-G242</f>
        <v>3.61293685756241</v>
      </c>
      <c r="I242" s="23" t="n">
        <f aca="false">IFERROR((F242-G242)/F242,0)</f>
        <v>0.821122013082366</v>
      </c>
      <c r="J242" s="14" t="n">
        <v>4</v>
      </c>
      <c r="K242" s="24" t="s">
        <v>290</v>
      </c>
      <c r="L242" s="25" t="n">
        <f aca="false">IFERROR((F242-G242)/G242,0)</f>
        <v>4.5904028060225</v>
      </c>
    </row>
    <row r="243" customFormat="false" ht="15" hidden="false" customHeight="true" outlineLevel="0" collapsed="false">
      <c r="B243" s="14" t="n">
        <v>237</v>
      </c>
      <c r="C243" s="11" t="s">
        <v>418</v>
      </c>
      <c r="D243" s="11" t="s">
        <v>266</v>
      </c>
      <c r="E243" s="14"/>
      <c r="F243" s="22" t="n">
        <v>4.1</v>
      </c>
      <c r="G243" s="13" t="n">
        <f aca="false">IFERROR(SUMIFS(H328:H1942,B328:B1942,B243),0)</f>
        <v>1.09482378854626</v>
      </c>
      <c r="H243" s="13" t="n">
        <f aca="false">F243-G243</f>
        <v>3.00517621145374</v>
      </c>
      <c r="I243" s="23" t="n">
        <f aca="false">IFERROR((F243-G243)/F243,0)</f>
        <v>0.732969807671645</v>
      </c>
      <c r="J243" s="14" t="n">
        <v>5</v>
      </c>
      <c r="K243" s="24" t="s">
        <v>419</v>
      </c>
      <c r="L243" s="25" t="n">
        <f aca="false">IFERROR((F243-G243)/G243,0)</f>
        <v>2.74489487979077</v>
      </c>
    </row>
    <row r="244" customFormat="false" ht="15" hidden="false" customHeight="true" outlineLevel="0" collapsed="false">
      <c r="B244" s="14" t="n">
        <v>238</v>
      </c>
      <c r="C244" s="11" t="s">
        <v>418</v>
      </c>
      <c r="D244" s="11" t="s">
        <v>268</v>
      </c>
      <c r="E244" s="14"/>
      <c r="F244" s="22" t="n">
        <v>4</v>
      </c>
      <c r="G244" s="13" t="n">
        <f aca="false">IFERROR(SUMIFS(H328:H1942,B328:B1942,B244),0)</f>
        <v>0.986894273127753</v>
      </c>
      <c r="H244" s="13" t="n">
        <f aca="false">F244-G244</f>
        <v>3.01310572687225</v>
      </c>
      <c r="I244" s="23" t="n">
        <f aca="false">IFERROR((F244-G244)/F244,0)</f>
        <v>0.753276431718062</v>
      </c>
      <c r="J244" s="14" t="n">
        <v>5</v>
      </c>
      <c r="K244" s="24" t="s">
        <v>419</v>
      </c>
      <c r="L244" s="25" t="n">
        <f aca="false">IFERROR((F244-G244)/G244,0)</f>
        <v>3.0531190715322</v>
      </c>
    </row>
    <row r="245" customFormat="false" ht="15" hidden="false" customHeight="true" outlineLevel="0" collapsed="false">
      <c r="B245" s="14" t="n">
        <v>239</v>
      </c>
      <c r="C245" s="11" t="s">
        <v>418</v>
      </c>
      <c r="D245" s="11" t="s">
        <v>279</v>
      </c>
      <c r="E245" s="14"/>
      <c r="F245" s="22" t="n">
        <v>4.3</v>
      </c>
      <c r="G245" s="13" t="n">
        <f aca="false">IFERROR(SUMIFS(H328:H1942,B328:B1942,B245),0)</f>
        <v>1.75378854625551</v>
      </c>
      <c r="H245" s="13" t="n">
        <f aca="false">F245-G245</f>
        <v>2.54621145374449</v>
      </c>
      <c r="I245" s="23" t="n">
        <f aca="false">IFERROR((F245-G245)/F245,0)</f>
        <v>0.592142198545231</v>
      </c>
      <c r="J245" s="14" t="n">
        <v>5</v>
      </c>
      <c r="K245" s="24" t="s">
        <v>419</v>
      </c>
      <c r="L245" s="25" t="n">
        <f aca="false">IFERROR((F245-G245)/G245,0)</f>
        <v>1.45183491999699</v>
      </c>
    </row>
    <row r="246" customFormat="false" ht="15" hidden="false" customHeight="true" outlineLevel="0" collapsed="false">
      <c r="B246" s="14" t="n">
        <v>240</v>
      </c>
      <c r="C246" s="11" t="s">
        <v>420</v>
      </c>
      <c r="D246" s="11" t="s">
        <v>266</v>
      </c>
      <c r="E246" s="14"/>
      <c r="F246" s="22" t="n">
        <v>4.6</v>
      </c>
      <c r="G246" s="13" t="n">
        <f aca="false">IFERROR(SUMIFS(H328:H1942,B328:B1942,B246),0)</f>
        <v>0.939911894273128</v>
      </c>
      <c r="H246" s="13" t="n">
        <f aca="false">F246-G246</f>
        <v>3.66008810572687</v>
      </c>
      <c r="I246" s="23" t="n">
        <f aca="false">IFERROR((F246-G246)/F246,0)</f>
        <v>0.795671327331929</v>
      </c>
      <c r="J246" s="14" t="n">
        <v>5</v>
      </c>
      <c r="K246" s="24" t="s">
        <v>267</v>
      </c>
      <c r="L246" s="25" t="n">
        <f aca="false">IFERROR((F246-G246)/G246,0)</f>
        <v>3.89407574053243</v>
      </c>
    </row>
    <row r="247" customFormat="false" ht="15" hidden="false" customHeight="true" outlineLevel="0" collapsed="false">
      <c r="B247" s="14" t="n">
        <v>241</v>
      </c>
      <c r="C247" s="11" t="s">
        <v>420</v>
      </c>
      <c r="D247" s="11" t="s">
        <v>268</v>
      </c>
      <c r="E247" s="14"/>
      <c r="F247" s="22" t="n">
        <v>4.2</v>
      </c>
      <c r="G247" s="13" t="n">
        <f aca="false">IFERROR(SUMIFS(H328:H1942,B328:B1942,B247),0)</f>
        <v>0.909911894273128</v>
      </c>
      <c r="H247" s="13" t="n">
        <f aca="false">F247-G247</f>
        <v>3.29008810572687</v>
      </c>
      <c r="I247" s="23" t="n">
        <f aca="false">IFERROR((F247-G247)/F247,0)</f>
        <v>0.783354310887351</v>
      </c>
      <c r="J247" s="14" t="n">
        <v>5</v>
      </c>
      <c r="K247" s="24" t="s">
        <v>267</v>
      </c>
      <c r="L247" s="25" t="n">
        <f aca="false">IFERROR((F247-G247)/G247,0)</f>
        <v>3.6158315177923</v>
      </c>
    </row>
    <row r="248" customFormat="false" ht="15" hidden="false" customHeight="true" outlineLevel="0" collapsed="false">
      <c r="B248" s="14" t="n">
        <v>242</v>
      </c>
      <c r="C248" s="11" t="s">
        <v>421</v>
      </c>
      <c r="D248" s="11" t="s">
        <v>274</v>
      </c>
      <c r="E248" s="14"/>
      <c r="F248" s="22" t="n">
        <v>1.9</v>
      </c>
      <c r="G248" s="13" t="n">
        <f aca="false">IFERROR(SUMIFS(H328:H1942,B328:B1942,B248),0)</f>
        <v>0.4125</v>
      </c>
      <c r="H248" s="13" t="n">
        <f aca="false">F248-G248</f>
        <v>1.4875</v>
      </c>
      <c r="I248" s="23" t="n">
        <f aca="false">IFERROR((F248-G248)/F248,0)</f>
        <v>0.782894736842105</v>
      </c>
      <c r="J248" s="14" t="n">
        <v>3</v>
      </c>
      <c r="K248" s="24" t="s">
        <v>422</v>
      </c>
      <c r="L248" s="25" t="n">
        <f aca="false">IFERROR((F248-G248)/G248,0)</f>
        <v>3.60606060606061</v>
      </c>
    </row>
    <row r="249" customFormat="false" ht="15" hidden="false" customHeight="true" outlineLevel="0" collapsed="false">
      <c r="B249" s="14" t="n">
        <v>243</v>
      </c>
      <c r="C249" s="11" t="s">
        <v>423</v>
      </c>
      <c r="D249" s="11" t="s">
        <v>274</v>
      </c>
      <c r="E249" s="14"/>
      <c r="F249" s="22" t="n">
        <v>2.2</v>
      </c>
      <c r="G249" s="13" t="n">
        <f aca="false">IFERROR(SUMIFS(H328:H1942,B328:B1942,B249),0)</f>
        <v>0.5485</v>
      </c>
      <c r="H249" s="13" t="n">
        <f aca="false">F249-G249</f>
        <v>1.6515</v>
      </c>
      <c r="I249" s="23" t="n">
        <f aca="false">IFERROR((F249-G249)/F249,0)</f>
        <v>0.750681818181818</v>
      </c>
      <c r="J249" s="14" t="n">
        <v>4</v>
      </c>
      <c r="K249" s="24" t="s">
        <v>424</v>
      </c>
      <c r="L249" s="25" t="n">
        <f aca="false">IFERROR((F249-G249)/G249,0)</f>
        <v>3.01093892433911</v>
      </c>
    </row>
    <row r="250" customFormat="false" ht="15" hidden="false" customHeight="true" outlineLevel="0" collapsed="false">
      <c r="B250" s="14" t="n">
        <v>244</v>
      </c>
      <c r="C250" s="11" t="s">
        <v>425</v>
      </c>
      <c r="D250" s="11" t="s">
        <v>274</v>
      </c>
      <c r="E250" s="14"/>
      <c r="F250" s="22" t="n">
        <v>2</v>
      </c>
      <c r="G250" s="13" t="n">
        <f aca="false">IFERROR(SUMIFS(H328:H1942,B328:B1942,B250),0)</f>
        <v>0.522411894273128</v>
      </c>
      <c r="H250" s="13" t="n">
        <f aca="false">F250-G250</f>
        <v>1.47758810572687</v>
      </c>
      <c r="I250" s="23" t="n">
        <f aca="false">IFERROR((F250-G250)/F250,0)</f>
        <v>0.738794052863436</v>
      </c>
      <c r="J250" s="14" t="n">
        <v>4</v>
      </c>
      <c r="K250" s="24" t="s">
        <v>426</v>
      </c>
      <c r="L250" s="25" t="n">
        <f aca="false">IFERROR((F250-G250)/G250,0)</f>
        <v>2.82839675345209</v>
      </c>
    </row>
    <row r="251" customFormat="false" ht="15" hidden="false" customHeight="true" outlineLevel="0" collapsed="false">
      <c r="B251" s="14" t="n">
        <v>245</v>
      </c>
      <c r="C251" s="11" t="s">
        <v>427</v>
      </c>
      <c r="D251" s="11" t="s">
        <v>274</v>
      </c>
      <c r="E251" s="14"/>
      <c r="F251" s="22" t="n">
        <v>2</v>
      </c>
      <c r="G251" s="13" t="n">
        <f aca="false">IFERROR(SUMIFS(H328:H1942,B328:B1942,B251),0)</f>
        <v>0.199875</v>
      </c>
      <c r="H251" s="13" t="n">
        <f aca="false">F251-G251</f>
        <v>1.800125</v>
      </c>
      <c r="I251" s="23" t="n">
        <f aca="false">IFERROR((F251-G251)/F251,0)</f>
        <v>0.9000625</v>
      </c>
      <c r="J251" s="14" t="n">
        <v>3</v>
      </c>
      <c r="K251" s="24" t="s">
        <v>428</v>
      </c>
      <c r="L251" s="25" t="n">
        <f aca="false">IFERROR((F251-G251)/G251,0)</f>
        <v>9.00625390869293</v>
      </c>
    </row>
    <row r="252" customFormat="false" ht="15" hidden="false" customHeight="true" outlineLevel="0" collapsed="false">
      <c r="B252" s="14" t="n">
        <v>246</v>
      </c>
      <c r="C252" s="11" t="s">
        <v>429</v>
      </c>
      <c r="D252" s="11" t="s">
        <v>266</v>
      </c>
      <c r="E252" s="14"/>
      <c r="F252" s="22" t="n">
        <v>3.1</v>
      </c>
      <c r="G252" s="13" t="n">
        <f aca="false">IFERROR(SUMIFS(H328:H1942,B328:B1942,B252),0)</f>
        <v>1.3</v>
      </c>
      <c r="H252" s="13" t="n">
        <f aca="false">F252-G252</f>
        <v>1.8</v>
      </c>
      <c r="I252" s="23" t="n">
        <f aca="false">IFERROR((F252-G252)/F252,0)</f>
        <v>0.580645161290323</v>
      </c>
      <c r="J252" s="14" t="n">
        <v>1</v>
      </c>
      <c r="K252" s="24" t="s">
        <v>270</v>
      </c>
      <c r="L252" s="25" t="n">
        <f aca="false">IFERROR((F252-G252)/G252,0)</f>
        <v>1.38461538461538</v>
      </c>
    </row>
    <row r="253" customFormat="false" ht="15" hidden="false" customHeight="true" outlineLevel="0" collapsed="false">
      <c r="B253" s="14" t="n">
        <v>247</v>
      </c>
      <c r="C253" s="11" t="s">
        <v>430</v>
      </c>
      <c r="D253" s="11" t="s">
        <v>266</v>
      </c>
      <c r="E253" s="14"/>
      <c r="F253" s="22" t="n">
        <v>4.2</v>
      </c>
      <c r="G253" s="13" t="n">
        <f aca="false">IFERROR(SUMIFS(H328:H1942,B328:B1942,B253),0)</f>
        <v>0</v>
      </c>
      <c r="H253" s="13" t="n">
        <f aca="false">F253-G253</f>
        <v>4.2</v>
      </c>
      <c r="I253" s="23" t="n">
        <f aca="false">IFERROR((F253-G253)/F253,0)</f>
        <v>1</v>
      </c>
      <c r="J253" s="14" t="n">
        <v>6</v>
      </c>
      <c r="K253" s="24" t="s">
        <v>431</v>
      </c>
      <c r="L253" s="25" t="n">
        <f aca="false">IFERROR((F253-G253)/G253,0)</f>
        <v>0</v>
      </c>
    </row>
    <row r="254" customFormat="false" ht="15" hidden="false" customHeight="true" outlineLevel="0" collapsed="false">
      <c r="B254" s="14" t="n">
        <v>248</v>
      </c>
      <c r="C254" s="11" t="s">
        <v>430</v>
      </c>
      <c r="D254" s="11" t="s">
        <v>268</v>
      </c>
      <c r="E254" s="14"/>
      <c r="F254" s="22" t="n">
        <v>3.9</v>
      </c>
      <c r="G254" s="13" t="n">
        <f aca="false">IFERROR(SUMIFS(H328:H1942,B328:B1942,B254),0)</f>
        <v>0</v>
      </c>
      <c r="H254" s="13" t="n">
        <f aca="false">F254-G254</f>
        <v>3.9</v>
      </c>
      <c r="I254" s="23" t="n">
        <f aca="false">IFERROR((F254-G254)/F254,0)</f>
        <v>1</v>
      </c>
      <c r="J254" s="14" t="n">
        <v>6</v>
      </c>
      <c r="K254" s="24" t="s">
        <v>431</v>
      </c>
      <c r="L254" s="25" t="n">
        <f aca="false">IFERROR((F254-G254)/G254,0)</f>
        <v>0</v>
      </c>
    </row>
    <row r="255" customFormat="false" ht="15" hidden="false" customHeight="true" outlineLevel="0" collapsed="false">
      <c r="B255" s="14" t="n">
        <v>249</v>
      </c>
      <c r="C255" s="11" t="s">
        <v>432</v>
      </c>
      <c r="D255" s="11" t="s">
        <v>274</v>
      </c>
      <c r="E255" s="14"/>
      <c r="F255" s="22" t="n">
        <v>2</v>
      </c>
      <c r="G255" s="13" t="n">
        <f aca="false">IFERROR(SUMIFS(H328:H1942,B328:B1942,B255),0)</f>
        <v>0.199875</v>
      </c>
      <c r="H255" s="13" t="n">
        <f aca="false">F255-G255</f>
        <v>1.800125</v>
      </c>
      <c r="I255" s="23" t="n">
        <f aca="false">IFERROR((F255-G255)/F255,0)</f>
        <v>0.9000625</v>
      </c>
      <c r="J255" s="14" t="n">
        <v>3</v>
      </c>
      <c r="K255" s="24" t="s">
        <v>433</v>
      </c>
      <c r="L255" s="25" t="n">
        <f aca="false">IFERROR((F255-G255)/G255,0)</f>
        <v>9.00625390869293</v>
      </c>
    </row>
    <row r="256" customFormat="false" ht="15" hidden="false" customHeight="true" outlineLevel="0" collapsed="false">
      <c r="B256" s="14" t="n">
        <v>250</v>
      </c>
      <c r="C256" s="11" t="s">
        <v>434</v>
      </c>
      <c r="D256" s="11" t="s">
        <v>266</v>
      </c>
      <c r="E256" s="14"/>
      <c r="F256" s="22" t="n">
        <v>4.8</v>
      </c>
      <c r="G256" s="13" t="n">
        <f aca="false">IFERROR(SUMIFS(H328:H1942,B328:B1942,B256),0)</f>
        <v>0.58529919236417</v>
      </c>
      <c r="H256" s="13" t="n">
        <f aca="false">F256-G256</f>
        <v>4.21470080763583</v>
      </c>
      <c r="I256" s="23" t="n">
        <f aca="false">IFERROR((F256-G256)/F256,0)</f>
        <v>0.878062668257464</v>
      </c>
      <c r="J256" s="14" t="n">
        <v>5</v>
      </c>
      <c r="K256" s="24" t="s">
        <v>321</v>
      </c>
      <c r="L256" s="25" t="n">
        <f aca="false">IFERROR((F256-G256)/G256,0)</f>
        <v>7.20093391998645</v>
      </c>
    </row>
    <row r="257" customFormat="false" ht="15" hidden="false" customHeight="true" outlineLevel="0" collapsed="false">
      <c r="B257" s="14" t="n">
        <v>251</v>
      </c>
      <c r="C257" s="11" t="s">
        <v>434</v>
      </c>
      <c r="D257" s="11" t="s">
        <v>268</v>
      </c>
      <c r="E257" s="14"/>
      <c r="F257" s="22" t="n">
        <v>4.4</v>
      </c>
      <c r="G257" s="13" t="n">
        <f aca="false">IFERROR(SUMIFS(H328:H1942,B328:B1942,B257),0)</f>
        <v>0.55529919236417</v>
      </c>
      <c r="H257" s="13" t="n">
        <f aca="false">F257-G257</f>
        <v>3.84470080763583</v>
      </c>
      <c r="I257" s="23" t="n">
        <f aca="false">IFERROR((F257-G257)/F257,0)</f>
        <v>0.873795638099052</v>
      </c>
      <c r="J257" s="14" t="n">
        <v>5</v>
      </c>
      <c r="K257" s="24" t="s">
        <v>321</v>
      </c>
      <c r="L257" s="25" t="n">
        <f aca="false">IFERROR((F257-G257)/G257,0)</f>
        <v>6.92365640091628</v>
      </c>
    </row>
    <row r="258" customFormat="false" ht="15" hidden="false" customHeight="true" outlineLevel="0" collapsed="false">
      <c r="B258" s="14" t="n">
        <v>252</v>
      </c>
      <c r="C258" s="11" t="s">
        <v>435</v>
      </c>
      <c r="D258" s="11" t="s">
        <v>266</v>
      </c>
      <c r="E258" s="14"/>
      <c r="F258" s="22" t="n">
        <v>4.2</v>
      </c>
      <c r="G258" s="13" t="n">
        <f aca="false">IFERROR(SUMIFS(H328:H1942,B328:B1942,B258),0)</f>
        <v>0.59913362701909</v>
      </c>
      <c r="H258" s="13" t="n">
        <f aca="false">F258-G258</f>
        <v>3.60086637298091</v>
      </c>
      <c r="I258" s="23" t="n">
        <f aca="false">IFERROR((F258-G258)/F258,0)</f>
        <v>0.857349136424026</v>
      </c>
      <c r="J258" s="14" t="n">
        <v>4</v>
      </c>
      <c r="K258" s="24" t="s">
        <v>290</v>
      </c>
      <c r="L258" s="25" t="n">
        <f aca="false">IFERROR((F258-G258)/G258,0)</f>
        <v>6.010122300924</v>
      </c>
    </row>
    <row r="259" customFormat="false" ht="15" hidden="false" customHeight="true" outlineLevel="0" collapsed="false">
      <c r="B259" s="14" t="n">
        <v>253</v>
      </c>
      <c r="C259" s="11" t="s">
        <v>435</v>
      </c>
      <c r="D259" s="11" t="s">
        <v>268</v>
      </c>
      <c r="E259" s="14"/>
      <c r="F259" s="22" t="n">
        <v>4</v>
      </c>
      <c r="G259" s="13" t="n">
        <f aca="false">IFERROR(SUMIFS(H328:H1942,B328:B1942,B259),0)</f>
        <v>0.421204111600587</v>
      </c>
      <c r="H259" s="13" t="n">
        <f aca="false">F259-G259</f>
        <v>3.57879588839941</v>
      </c>
      <c r="I259" s="23" t="n">
        <f aca="false">IFERROR((F259-G259)/F259,0)</f>
        <v>0.894698972099853</v>
      </c>
      <c r="J259" s="14" t="n">
        <v>4</v>
      </c>
      <c r="K259" s="24" t="s">
        <v>290</v>
      </c>
      <c r="L259" s="25" t="n">
        <f aca="false">IFERROR((F259-G259)/G259,0)</f>
        <v>8.49658346116302</v>
      </c>
    </row>
    <row r="260" customFormat="false" ht="15" hidden="false" customHeight="true" outlineLevel="0" collapsed="false">
      <c r="B260" s="14" t="n">
        <v>254</v>
      </c>
      <c r="C260" s="11" t="s">
        <v>435</v>
      </c>
      <c r="D260" s="11" t="s">
        <v>279</v>
      </c>
      <c r="E260" s="14"/>
      <c r="F260" s="22" t="n">
        <v>4.4</v>
      </c>
      <c r="G260" s="13" t="n">
        <f aca="false">IFERROR(SUMIFS(H328:H1942,B328:B1942,B260),0)</f>
        <v>0.787063142437592</v>
      </c>
      <c r="H260" s="13" t="n">
        <f aca="false">F260-G260</f>
        <v>3.61293685756241</v>
      </c>
      <c r="I260" s="23" t="n">
        <f aca="false">IFERROR((F260-G260)/F260,0)</f>
        <v>0.821122013082366</v>
      </c>
      <c r="J260" s="14" t="n">
        <v>4</v>
      </c>
      <c r="K260" s="24" t="s">
        <v>290</v>
      </c>
      <c r="L260" s="25" t="n">
        <f aca="false">IFERROR((F260-G260)/G260,0)</f>
        <v>4.5904028060225</v>
      </c>
    </row>
    <row r="261" customFormat="false" ht="15" hidden="false" customHeight="true" outlineLevel="0" collapsed="false">
      <c r="B261" s="14" t="n">
        <v>255</v>
      </c>
      <c r="C261" s="11" t="s">
        <v>436</v>
      </c>
      <c r="D261" s="11" t="s">
        <v>266</v>
      </c>
      <c r="E261" s="14"/>
      <c r="F261" s="22" t="n">
        <v>4.1</v>
      </c>
      <c r="G261" s="13" t="n">
        <f aca="false">IFERROR(SUMIFS(H328:H1942,B328:B1942,B261),0)</f>
        <v>0.944823788546256</v>
      </c>
      <c r="H261" s="13" t="n">
        <f aca="false">F261-G261</f>
        <v>3.15517621145374</v>
      </c>
      <c r="I261" s="23" t="n">
        <f aca="false">IFERROR((F261-G261)/F261,0)</f>
        <v>0.769555173525304</v>
      </c>
      <c r="J261" s="14" t="n">
        <v>4</v>
      </c>
      <c r="K261" s="24" t="s">
        <v>437</v>
      </c>
      <c r="L261" s="25" t="n">
        <f aca="false">IFERROR((F261-G261)/G261,0)</f>
        <v>3.33943350040797</v>
      </c>
    </row>
    <row r="262" customFormat="false" ht="15" hidden="false" customHeight="true" outlineLevel="0" collapsed="false">
      <c r="B262" s="14" t="n">
        <v>256</v>
      </c>
      <c r="C262" s="11" t="s">
        <v>436</v>
      </c>
      <c r="D262" s="11" t="s">
        <v>268</v>
      </c>
      <c r="E262" s="14"/>
      <c r="F262" s="22" t="n">
        <v>3.9</v>
      </c>
      <c r="G262" s="13" t="n">
        <f aca="false">IFERROR(SUMIFS(H328:H1942,B328:B1942,B262),0)</f>
        <v>0.836894273127753</v>
      </c>
      <c r="H262" s="13" t="n">
        <f aca="false">F262-G262</f>
        <v>3.06310572687225</v>
      </c>
      <c r="I262" s="23" t="n">
        <f aca="false">IFERROR((F262-G262)/F262,0)</f>
        <v>0.785411724839038</v>
      </c>
      <c r="J262" s="14" t="n">
        <v>4</v>
      </c>
      <c r="K262" s="24" t="s">
        <v>437</v>
      </c>
      <c r="L262" s="25" t="n">
        <f aca="false">IFERROR((F262-G262)/G262,0)</f>
        <v>3.66008685353336</v>
      </c>
    </row>
    <row r="263" customFormat="false" ht="15" hidden="false" customHeight="true" outlineLevel="0" collapsed="false">
      <c r="B263" s="14" t="n">
        <v>257</v>
      </c>
      <c r="C263" s="11" t="s">
        <v>436</v>
      </c>
      <c r="D263" s="11" t="s">
        <v>279</v>
      </c>
      <c r="E263" s="14"/>
      <c r="F263" s="22" t="n">
        <v>4.4</v>
      </c>
      <c r="G263" s="13" t="n">
        <f aca="false">IFERROR(SUMIFS(H328:H1942,B328:B1942,B263),0)</f>
        <v>1.60378854625551</v>
      </c>
      <c r="H263" s="13" t="n">
        <f aca="false">F263-G263</f>
        <v>2.79621145374449</v>
      </c>
      <c r="I263" s="23" t="n">
        <f aca="false">IFERROR((F263-G263)/F263,0)</f>
        <v>0.635502603123749</v>
      </c>
      <c r="J263" s="14" t="n">
        <v>4</v>
      </c>
      <c r="K263" s="24" t="s">
        <v>437</v>
      </c>
      <c r="L263" s="25" t="n">
        <f aca="false">IFERROR((F263-G263)/G263,0)</f>
        <v>1.74350381805197</v>
      </c>
    </row>
    <row r="264" customFormat="false" ht="15" hidden="false" customHeight="true" outlineLevel="0" collapsed="false">
      <c r="B264" s="26" t="n">
        <v>258</v>
      </c>
      <c r="C264" s="26" t="s">
        <v>438</v>
      </c>
      <c r="D264" s="26" t="s">
        <v>266</v>
      </c>
      <c r="E264" s="26"/>
      <c r="F264" s="27" t="n">
        <v>0</v>
      </c>
      <c r="G264" s="27" t="n">
        <f aca="false">IFERROR(SUMIFS(H328:H1942,B328:B1942,B264),0)</f>
        <v>0</v>
      </c>
      <c r="H264" s="27" t="n">
        <f aca="false">F264-G264</f>
        <v>0</v>
      </c>
      <c r="I264" s="28" t="n">
        <f aca="false">IFERROR((F264-G264)/F264,0)</f>
        <v>0</v>
      </c>
      <c r="J264" s="26" t="n">
        <v>6</v>
      </c>
      <c r="K264" s="29" t="s">
        <v>311</v>
      </c>
      <c r="L264" s="30" t="n">
        <f aca="false">IFERROR((F264-G264)/G264,0)</f>
        <v>0</v>
      </c>
    </row>
    <row r="265" customFormat="false" ht="15" hidden="false" customHeight="true" outlineLevel="0" collapsed="false">
      <c r="B265" s="26" t="n">
        <v>259</v>
      </c>
      <c r="C265" s="26" t="s">
        <v>438</v>
      </c>
      <c r="D265" s="26" t="s">
        <v>268</v>
      </c>
      <c r="E265" s="26"/>
      <c r="F265" s="27" t="n">
        <v>0</v>
      </c>
      <c r="G265" s="27" t="n">
        <f aca="false">IFERROR(SUMIFS(H328:H1942,B328:B1942,B265),0)</f>
        <v>0</v>
      </c>
      <c r="H265" s="27" t="n">
        <f aca="false">F265-G265</f>
        <v>0</v>
      </c>
      <c r="I265" s="28" t="n">
        <f aca="false">IFERROR((F265-G265)/F265,0)</f>
        <v>0</v>
      </c>
      <c r="J265" s="26" t="n">
        <v>6</v>
      </c>
      <c r="K265" s="29" t="s">
        <v>311</v>
      </c>
      <c r="L265" s="30" t="n">
        <f aca="false">IFERROR((F265-G265)/G265,0)</f>
        <v>0</v>
      </c>
    </row>
    <row r="266" customFormat="false" ht="15" hidden="false" customHeight="true" outlineLevel="0" collapsed="false">
      <c r="B266" s="14" t="n">
        <v>260</v>
      </c>
      <c r="C266" s="11" t="s">
        <v>439</v>
      </c>
      <c r="D266" s="11" t="s">
        <v>266</v>
      </c>
      <c r="E266" s="14"/>
      <c r="F266" s="22" t="n">
        <v>1.6</v>
      </c>
      <c r="G266" s="13" t="n">
        <f aca="false">IFERROR(SUMIFS(H328:H1942,B328:B1942,B266),0)</f>
        <v>0</v>
      </c>
      <c r="H266" s="13" t="n">
        <f aca="false">F266-G266</f>
        <v>1.6</v>
      </c>
      <c r="I266" s="23" t="n">
        <f aca="false">IFERROR((F266-G266)/F266,0)</f>
        <v>1</v>
      </c>
      <c r="J266" s="14" t="n">
        <v>1</v>
      </c>
      <c r="K266" s="24" t="s">
        <v>380</v>
      </c>
      <c r="L266" s="25" t="n">
        <f aca="false">IFERROR((F266-G266)/G266,0)</f>
        <v>0</v>
      </c>
    </row>
    <row r="267" customFormat="false" ht="15" hidden="false" customHeight="true" outlineLevel="0" collapsed="false">
      <c r="B267" s="14" t="n">
        <v>261</v>
      </c>
      <c r="C267" s="11" t="s">
        <v>440</v>
      </c>
      <c r="D267" s="11" t="s">
        <v>266</v>
      </c>
      <c r="E267" s="14"/>
      <c r="F267" s="22" t="n">
        <v>3.1</v>
      </c>
      <c r="G267" s="13" t="n">
        <f aca="false">IFERROR(SUMIFS(H328:H1942,B328:B1942,B267),0)</f>
        <v>0.761637298091043</v>
      </c>
      <c r="H267" s="13" t="n">
        <f aca="false">F267-G267</f>
        <v>2.33836270190896</v>
      </c>
      <c r="I267" s="23" t="n">
        <f aca="false">IFERROR((F267-G267)/F267,0)</f>
        <v>0.75431054900289</v>
      </c>
      <c r="J267" s="14" t="n">
        <v>4</v>
      </c>
      <c r="K267" s="24" t="s">
        <v>278</v>
      </c>
      <c r="L267" s="25" t="n">
        <f aca="false">IFERROR((F267-G267)/G267,0)</f>
        <v>3.07017882103437</v>
      </c>
    </row>
    <row r="268" customFormat="false" ht="15" hidden="false" customHeight="true" outlineLevel="0" collapsed="false">
      <c r="B268" s="14" t="n">
        <v>262</v>
      </c>
      <c r="C268" s="11" t="s">
        <v>440</v>
      </c>
      <c r="D268" s="11" t="s">
        <v>268</v>
      </c>
      <c r="E268" s="14"/>
      <c r="F268" s="22" t="n">
        <v>2.8</v>
      </c>
      <c r="G268" s="13" t="n">
        <f aca="false">IFERROR(SUMIFS(H328:H1942,B328:B1942,B268),0)</f>
        <v>0.726982378854626</v>
      </c>
      <c r="H268" s="13" t="n">
        <f aca="false">F268-G268</f>
        <v>2.07301762114537</v>
      </c>
      <c r="I268" s="23" t="n">
        <f aca="false">IFERROR((F268-G268)/F268,0)</f>
        <v>0.740363436123348</v>
      </c>
      <c r="J268" s="14" t="n">
        <v>4</v>
      </c>
      <c r="K268" s="24" t="s">
        <v>278</v>
      </c>
      <c r="L268" s="25" t="n">
        <f aca="false">IFERROR((F268-G268)/G268,0)</f>
        <v>2.85153764581124</v>
      </c>
    </row>
    <row r="269" customFormat="false" ht="15" hidden="false" customHeight="true" outlineLevel="0" collapsed="false">
      <c r="B269" s="14" t="n">
        <v>263</v>
      </c>
      <c r="C269" s="11" t="s">
        <v>440</v>
      </c>
      <c r="D269" s="11" t="s">
        <v>279</v>
      </c>
      <c r="E269" s="14"/>
      <c r="F269" s="22" t="n">
        <v>3.4</v>
      </c>
      <c r="G269" s="13" t="n">
        <f aca="false">IFERROR(SUMIFS(H328:H1942,B328:B1942,B269),0)</f>
        <v>1.39861967694567</v>
      </c>
      <c r="H269" s="13" t="n">
        <f aca="false">F269-G269</f>
        <v>2.00138032305433</v>
      </c>
      <c r="I269" s="23" t="n">
        <f aca="false">IFERROR((F269-G269)/F269,0)</f>
        <v>0.588641271486568</v>
      </c>
      <c r="J269" s="14" t="n">
        <v>4</v>
      </c>
      <c r="K269" s="24" t="s">
        <v>278</v>
      </c>
      <c r="L269" s="25" t="n">
        <f aca="false">IFERROR((F269-G269)/G269,0)</f>
        <v>1.43096822963694</v>
      </c>
    </row>
    <row r="270" customFormat="false" ht="15" hidden="false" customHeight="true" outlineLevel="0" collapsed="false">
      <c r="B270" s="14" t="n">
        <v>264</v>
      </c>
      <c r="C270" s="11" t="s">
        <v>441</v>
      </c>
      <c r="D270" s="11" t="s">
        <v>266</v>
      </c>
      <c r="E270" s="14"/>
      <c r="F270" s="22" t="n">
        <v>3.7</v>
      </c>
      <c r="G270" s="13" t="n">
        <f aca="false">IFERROR(SUMIFS(H328:H1942,B328:B1942,B270),0)</f>
        <v>0.56913362701909</v>
      </c>
      <c r="H270" s="13" t="n">
        <f aca="false">F270-G270</f>
        <v>3.13086637298091</v>
      </c>
      <c r="I270" s="23" t="n">
        <f aca="false">IFERROR((F270-G270)/F270,0)</f>
        <v>0.846180100805651</v>
      </c>
      <c r="J270" s="14" t="n">
        <v>4</v>
      </c>
      <c r="K270" s="24" t="s">
        <v>290</v>
      </c>
      <c r="L270" s="25" t="n">
        <f aca="false">IFERROR((F270-G270)/G270,0)</f>
        <v>5.50110944837195</v>
      </c>
    </row>
    <row r="271" customFormat="false" ht="15" hidden="false" customHeight="true" outlineLevel="0" collapsed="false">
      <c r="B271" s="14" t="n">
        <v>265</v>
      </c>
      <c r="C271" s="11" t="s">
        <v>441</v>
      </c>
      <c r="D271" s="11" t="s">
        <v>268</v>
      </c>
      <c r="E271" s="14"/>
      <c r="F271" s="22" t="n">
        <v>3.4</v>
      </c>
      <c r="G271" s="13" t="n">
        <f aca="false">IFERROR(SUMIFS(H328:H1942,B328:B1942,B271),0)</f>
        <v>0.401204111600587</v>
      </c>
      <c r="H271" s="13" t="n">
        <f aca="false">F271-G271</f>
        <v>2.99879588839941</v>
      </c>
      <c r="I271" s="23" t="n">
        <f aca="false">IFERROR((F271-G271)/F271,0)</f>
        <v>0.88199879070571</v>
      </c>
      <c r="J271" s="14" t="n">
        <v>4</v>
      </c>
      <c r="K271" s="24" t="s">
        <v>290</v>
      </c>
      <c r="L271" s="25" t="n">
        <f aca="false">IFERROR((F271-G271)/G271,0)</f>
        <v>7.47448942244345</v>
      </c>
    </row>
    <row r="272" customFormat="false" ht="15" hidden="false" customHeight="true" outlineLevel="0" collapsed="false">
      <c r="B272" s="14" t="n">
        <v>266</v>
      </c>
      <c r="C272" s="11" t="s">
        <v>441</v>
      </c>
      <c r="D272" s="11" t="s">
        <v>279</v>
      </c>
      <c r="E272" s="14"/>
      <c r="F272" s="22" t="n">
        <v>4</v>
      </c>
      <c r="G272" s="13" t="n">
        <f aca="false">IFERROR(SUMIFS(H328:H1942,B328:B1942,B272),0)</f>
        <v>0.747063142437592</v>
      </c>
      <c r="H272" s="13" t="n">
        <f aca="false">F272-G272</f>
        <v>3.25293685756241</v>
      </c>
      <c r="I272" s="23" t="n">
        <f aca="false">IFERROR((F272-G272)/F272,0)</f>
        <v>0.813234214390602</v>
      </c>
      <c r="J272" s="14" t="n">
        <v>4</v>
      </c>
      <c r="K272" s="24" t="s">
        <v>290</v>
      </c>
      <c r="L272" s="25" t="n">
        <f aca="false">IFERROR((F272-G272)/G272,0)</f>
        <v>4.35429975429975</v>
      </c>
    </row>
    <row r="273" customFormat="false" ht="15" hidden="false" customHeight="true" outlineLevel="0" collapsed="false">
      <c r="B273" s="14" t="n">
        <v>267</v>
      </c>
      <c r="C273" s="11" t="s">
        <v>442</v>
      </c>
      <c r="D273" s="11" t="s">
        <v>266</v>
      </c>
      <c r="E273" s="14"/>
      <c r="F273" s="22" t="n">
        <v>3.8</v>
      </c>
      <c r="G273" s="13" t="n">
        <f aca="false">IFERROR(SUMIFS(H328:H1942,B328:B1942,B273),0)</f>
        <v>1.12482378854626</v>
      </c>
      <c r="H273" s="13" t="n">
        <f aca="false">F273-G273</f>
        <v>2.67517621145374</v>
      </c>
      <c r="I273" s="23" t="n">
        <f aca="false">IFERROR((F273-G273)/F273,0)</f>
        <v>0.703993739856249</v>
      </c>
      <c r="J273" s="14" t="n">
        <v>5</v>
      </c>
      <c r="K273" s="24" t="s">
        <v>390</v>
      </c>
      <c r="L273" s="25" t="n">
        <f aca="false">IFERROR((F273-G273)/G273,0)</f>
        <v>2.37830693011142</v>
      </c>
    </row>
    <row r="274" customFormat="false" ht="15" hidden="false" customHeight="true" outlineLevel="0" collapsed="false">
      <c r="B274" s="14" t="n">
        <v>268</v>
      </c>
      <c r="C274" s="11" t="s">
        <v>442</v>
      </c>
      <c r="D274" s="11" t="s">
        <v>268</v>
      </c>
      <c r="E274" s="14"/>
      <c r="F274" s="22" t="n">
        <v>3.5</v>
      </c>
      <c r="G274" s="13" t="n">
        <f aca="false">IFERROR(SUMIFS(H328:H1942,B328:B1942,B274),0)</f>
        <v>0.956894273127753</v>
      </c>
      <c r="H274" s="13" t="n">
        <f aca="false">F274-G274</f>
        <v>2.54310572687225</v>
      </c>
      <c r="I274" s="23" t="n">
        <f aca="false">IFERROR((F274-G274)/F274,0)</f>
        <v>0.726601636249213</v>
      </c>
      <c r="J274" s="14" t="n">
        <v>5</v>
      </c>
      <c r="K274" s="24" t="s">
        <v>390</v>
      </c>
      <c r="L274" s="25" t="n">
        <f aca="false">IFERROR((F274-G274)/G274,0)</f>
        <v>2.65766636742398</v>
      </c>
    </row>
    <row r="275" customFormat="false" ht="15" hidden="false" customHeight="true" outlineLevel="0" collapsed="false">
      <c r="B275" s="14" t="n">
        <v>269</v>
      </c>
      <c r="C275" s="11" t="s">
        <v>442</v>
      </c>
      <c r="D275" s="11" t="s">
        <v>279</v>
      </c>
      <c r="E275" s="14"/>
      <c r="F275" s="22" t="n">
        <v>4.1</v>
      </c>
      <c r="G275" s="13" t="n">
        <f aca="false">IFERROR(SUMIFS(H328:H1942,B328:B1942,B275),0)</f>
        <v>1.84378854625551</v>
      </c>
      <c r="H275" s="13" t="n">
        <f aca="false">F275-G275</f>
        <v>2.25621145374449</v>
      </c>
      <c r="I275" s="23" t="n">
        <f aca="false">IFERROR((F275-G275)/F275,0)</f>
        <v>0.550295476523047</v>
      </c>
      <c r="J275" s="14" t="n">
        <v>5</v>
      </c>
      <c r="K275" s="24" t="s">
        <v>390</v>
      </c>
      <c r="L275" s="25" t="n">
        <f aca="false">IFERROR((F275-G275)/G275,0)</f>
        <v>1.22368232427008</v>
      </c>
    </row>
    <row r="276" customFormat="false" ht="15" hidden="false" customHeight="true" outlineLevel="0" collapsed="false">
      <c r="B276" s="14" t="n">
        <v>270</v>
      </c>
      <c r="C276" s="11" t="s">
        <v>443</v>
      </c>
      <c r="D276" s="11" t="s">
        <v>266</v>
      </c>
      <c r="E276" s="14"/>
      <c r="F276" s="22" t="n">
        <v>5</v>
      </c>
      <c r="G276" s="13" t="n">
        <f aca="false">IFERROR(SUMIFS(H328:H1942,B328:B1942,B276),0)</f>
        <v>0</v>
      </c>
      <c r="H276" s="13" t="n">
        <f aca="false">F276-G276</f>
        <v>5</v>
      </c>
      <c r="I276" s="23" t="n">
        <f aca="false">IFERROR((F276-G276)/F276,0)</f>
        <v>1</v>
      </c>
      <c r="J276" s="14" t="n">
        <v>1</v>
      </c>
      <c r="K276" s="24" t="s">
        <v>444</v>
      </c>
      <c r="L276" s="25" t="n">
        <f aca="false">IFERROR((F276-G276)/G276,0)</f>
        <v>0</v>
      </c>
    </row>
    <row r="277" customFormat="false" ht="15" hidden="false" customHeight="true" outlineLevel="0" collapsed="false">
      <c r="B277" s="14" t="n">
        <v>271</v>
      </c>
      <c r="C277" s="11" t="s">
        <v>445</v>
      </c>
      <c r="D277" s="11" t="s">
        <v>266</v>
      </c>
      <c r="E277" s="14"/>
      <c r="F277" s="22" t="n">
        <v>1.6</v>
      </c>
      <c r="G277" s="13" t="n">
        <f aca="false">IFERROR(SUMIFS(H328:H1942,B328:B1942,B277),0)</f>
        <v>0</v>
      </c>
      <c r="H277" s="13" t="n">
        <f aca="false">F277-G277</f>
        <v>1.6</v>
      </c>
      <c r="I277" s="23" t="n">
        <f aca="false">IFERROR((F277-G277)/F277,0)</f>
        <v>1</v>
      </c>
      <c r="J277" s="14" t="n">
        <v>1</v>
      </c>
      <c r="K277" s="24" t="s">
        <v>380</v>
      </c>
      <c r="L277" s="25" t="n">
        <f aca="false">IFERROR((F277-G277)/G277,0)</f>
        <v>0</v>
      </c>
    </row>
    <row r="278" customFormat="false" ht="15" hidden="false" customHeight="true" outlineLevel="0" collapsed="false">
      <c r="B278" s="14" t="n">
        <v>272</v>
      </c>
      <c r="C278" s="11" t="s">
        <v>446</v>
      </c>
      <c r="D278" s="11" t="s">
        <v>266</v>
      </c>
      <c r="E278" s="14"/>
      <c r="F278" s="22" t="n">
        <v>0.5</v>
      </c>
      <c r="G278" s="13" t="n">
        <f aca="false">IFERROR(SUMIFS(H328:H1942,B328:B1942,B278),0)</f>
        <v>0</v>
      </c>
      <c r="H278" s="13" t="n">
        <f aca="false">F278-G278</f>
        <v>0.5</v>
      </c>
      <c r="I278" s="23" t="n">
        <f aca="false">IFERROR((F278-G278)/F278,0)</f>
        <v>1</v>
      </c>
      <c r="J278" s="14" t="n">
        <v>2</v>
      </c>
      <c r="K278" s="24" t="s">
        <v>447</v>
      </c>
      <c r="L278" s="25" t="n">
        <f aca="false">IFERROR((F278-G278)/G278,0)</f>
        <v>0</v>
      </c>
    </row>
    <row r="279" customFormat="false" ht="15" hidden="false" customHeight="true" outlineLevel="0" collapsed="false">
      <c r="B279" s="14" t="n">
        <v>273</v>
      </c>
      <c r="C279" s="11" t="s">
        <v>172</v>
      </c>
      <c r="D279" s="11" t="s">
        <v>266</v>
      </c>
      <c r="E279" s="14"/>
      <c r="F279" s="22" t="n">
        <v>3.6</v>
      </c>
      <c r="G279" s="13" t="n">
        <f aca="false">IFERROR(SUMIFS(H328:H1942,B328:B1942,B279),0)</f>
        <v>1.21</v>
      </c>
      <c r="H279" s="13" t="n">
        <f aca="false">F279-G279</f>
        <v>2.39</v>
      </c>
      <c r="I279" s="23" t="n">
        <f aca="false">IFERROR((F279-G279)/F279,0)</f>
        <v>0.663888888888889</v>
      </c>
      <c r="J279" s="14" t="n">
        <v>1</v>
      </c>
      <c r="K279" s="24" t="s">
        <v>270</v>
      </c>
      <c r="L279" s="25" t="n">
        <f aca="false">IFERROR((F279-G279)/G279,0)</f>
        <v>1.97520661157025</v>
      </c>
    </row>
    <row r="280" customFormat="false" ht="15" hidden="false" customHeight="true" outlineLevel="0" collapsed="false">
      <c r="B280" s="14" t="n">
        <v>274</v>
      </c>
      <c r="C280" s="11" t="s">
        <v>448</v>
      </c>
      <c r="D280" s="11" t="s">
        <v>266</v>
      </c>
      <c r="E280" s="14"/>
      <c r="F280" s="22" t="n">
        <v>20</v>
      </c>
      <c r="G280" s="13" t="n">
        <f aca="false">IFERROR(SUMIFS(H328:H1942,B328:B1942,B280),0)</f>
        <v>0</v>
      </c>
      <c r="H280" s="13" t="n">
        <f aca="false">F280-G280</f>
        <v>20</v>
      </c>
      <c r="I280" s="23" t="n">
        <f aca="false">IFERROR((F280-G280)/F280,0)</f>
        <v>1</v>
      </c>
      <c r="J280" s="14" t="n">
        <v>1</v>
      </c>
      <c r="K280" s="24" t="s">
        <v>270</v>
      </c>
      <c r="L280" s="25" t="n">
        <f aca="false">IFERROR((F280-G280)/G280,0)</f>
        <v>0</v>
      </c>
    </row>
    <row r="281" customFormat="false" ht="15" hidden="false" customHeight="true" outlineLevel="0" collapsed="false">
      <c r="B281" s="14" t="n">
        <v>275</v>
      </c>
      <c r="C281" s="11" t="s">
        <v>449</v>
      </c>
      <c r="D281" s="11" t="s">
        <v>266</v>
      </c>
      <c r="E281" s="14"/>
      <c r="F281" s="22" t="n">
        <v>3.2</v>
      </c>
      <c r="G281" s="13" t="n">
        <f aca="false">IFERROR(SUMIFS(H328:H1942,B328:B1942,B281),0)</f>
        <v>1.76</v>
      </c>
      <c r="H281" s="13" t="n">
        <f aca="false">F281-G281</f>
        <v>1.44</v>
      </c>
      <c r="I281" s="23" t="n">
        <f aca="false">IFERROR((F281-G281)/F281,0)</f>
        <v>0.45</v>
      </c>
      <c r="J281" s="14" t="n">
        <v>1</v>
      </c>
      <c r="K281" s="24" t="s">
        <v>270</v>
      </c>
      <c r="L281" s="25" t="n">
        <f aca="false">IFERROR((F281-G281)/G281,0)</f>
        <v>0.818181818181818</v>
      </c>
    </row>
    <row r="282" customFormat="false" ht="15" hidden="false" customHeight="true" outlineLevel="0" collapsed="false">
      <c r="B282" s="14" t="n">
        <v>276</v>
      </c>
      <c r="C282" s="11" t="s">
        <v>450</v>
      </c>
      <c r="D282" s="11" t="s">
        <v>266</v>
      </c>
      <c r="E282" s="14"/>
      <c r="F282" s="22" t="n">
        <v>2.05</v>
      </c>
      <c r="G282" s="13" t="n">
        <f aca="false">IFERROR(SUMIFS(H328:H1942,B328:B1942,B282),0)</f>
        <v>1.09</v>
      </c>
      <c r="H282" s="13" t="n">
        <f aca="false">F282-G282</f>
        <v>0.96</v>
      </c>
      <c r="I282" s="23" t="n">
        <f aca="false">IFERROR((F282-G282)/F282,0)</f>
        <v>0.468292682926829</v>
      </c>
      <c r="J282" s="14" t="n">
        <v>1</v>
      </c>
      <c r="K282" s="24" t="s">
        <v>270</v>
      </c>
      <c r="L282" s="25" t="n">
        <f aca="false">IFERROR((F282-G282)/G282,0)</f>
        <v>0.880733944954128</v>
      </c>
    </row>
    <row r="283" customFormat="false" ht="15" hidden="false" customHeight="true" outlineLevel="0" collapsed="false">
      <c r="B283" s="14" t="n">
        <v>277</v>
      </c>
      <c r="C283" s="11" t="s">
        <v>451</v>
      </c>
      <c r="D283" s="11" t="s">
        <v>266</v>
      </c>
      <c r="E283" s="14"/>
      <c r="F283" s="22" t="n">
        <v>1.6</v>
      </c>
      <c r="G283" s="13" t="n">
        <f aca="false">IFERROR(SUMIFS(H328:H1942,B328:B1942,B283),0)</f>
        <v>0</v>
      </c>
      <c r="H283" s="13" t="n">
        <f aca="false">F283-G283</f>
        <v>1.6</v>
      </c>
      <c r="I283" s="23" t="n">
        <f aca="false">IFERROR((F283-G283)/F283,0)</f>
        <v>1</v>
      </c>
      <c r="J283" s="14" t="n">
        <v>1</v>
      </c>
      <c r="K283" s="24" t="s">
        <v>380</v>
      </c>
      <c r="L283" s="25" t="n">
        <f aca="false">IFERROR((F283-G283)/G283,0)</f>
        <v>0</v>
      </c>
    </row>
    <row r="284" customFormat="false" ht="15" hidden="false" customHeight="true" outlineLevel="0" collapsed="false">
      <c r="B284" s="14" t="n">
        <v>278</v>
      </c>
      <c r="C284" s="11" t="s">
        <v>452</v>
      </c>
      <c r="D284" s="11" t="s">
        <v>266</v>
      </c>
      <c r="E284" s="14"/>
      <c r="F284" s="22" t="n">
        <v>0.4</v>
      </c>
      <c r="G284" s="13" t="n">
        <f aca="false">IFERROR(SUMIFS(H328:H1942,B328:B1942,B284),0)</f>
        <v>0.15</v>
      </c>
      <c r="H284" s="13" t="n">
        <f aca="false">F284-G284</f>
        <v>0.25</v>
      </c>
      <c r="I284" s="23" t="n">
        <f aca="false">IFERROR((F284-G284)/F284,0)</f>
        <v>0.625</v>
      </c>
      <c r="J284" s="14" t="n">
        <v>1</v>
      </c>
      <c r="K284" s="24" t="s">
        <v>453</v>
      </c>
      <c r="L284" s="25" t="n">
        <f aca="false">IFERROR((F284-G284)/G284,0)</f>
        <v>1.66666666666667</v>
      </c>
    </row>
    <row r="285" customFormat="false" ht="15" hidden="false" customHeight="true" outlineLevel="0" collapsed="false">
      <c r="B285" s="14" t="n">
        <v>279</v>
      </c>
      <c r="C285" s="11" t="s">
        <v>454</v>
      </c>
      <c r="D285" s="11" t="s">
        <v>266</v>
      </c>
      <c r="E285" s="14"/>
      <c r="F285" s="22" t="n">
        <v>3</v>
      </c>
      <c r="G285" s="13" t="n">
        <f aca="false">IFERROR(SUMIFS(H328:H1942,B328:B1942,B285),0)</f>
        <v>0</v>
      </c>
      <c r="H285" s="13" t="n">
        <f aca="false">F285-G285</f>
        <v>3</v>
      </c>
      <c r="I285" s="23" t="n">
        <f aca="false">IFERROR((F285-G285)/F285,0)</f>
        <v>1</v>
      </c>
      <c r="J285" s="14" t="n">
        <v>0</v>
      </c>
      <c r="K285" s="24" t="s">
        <v>455</v>
      </c>
      <c r="L285" s="25" t="n">
        <f aca="false">IFERROR((F285-G285)/G285,0)</f>
        <v>0</v>
      </c>
    </row>
    <row r="286" customFormat="false" ht="15" hidden="false" customHeight="true" outlineLevel="0" collapsed="false">
      <c r="B286" s="14" t="n">
        <v>280</v>
      </c>
      <c r="C286" s="11" t="s">
        <v>201</v>
      </c>
      <c r="D286" s="11" t="s">
        <v>266</v>
      </c>
      <c r="E286" s="14"/>
      <c r="F286" s="22" t="n">
        <v>1.9</v>
      </c>
      <c r="G286" s="13" t="n">
        <f aca="false">IFERROR(SUMIFS(H328:H1942,B328:B1942,B286),0)</f>
        <v>0</v>
      </c>
      <c r="H286" s="13" t="n">
        <f aca="false">F286-G286</f>
        <v>1.9</v>
      </c>
      <c r="I286" s="23" t="n">
        <f aca="false">IFERROR((F286-G286)/F286,0)</f>
        <v>1</v>
      </c>
      <c r="J286" s="14" t="n">
        <v>1</v>
      </c>
      <c r="K286" s="24" t="s">
        <v>380</v>
      </c>
      <c r="L286" s="25" t="n">
        <f aca="false">IFERROR((F286-G286)/G286,0)</f>
        <v>0</v>
      </c>
    </row>
    <row r="287" customFormat="false" ht="21.75" hidden="false" customHeight="true" outlineLevel="0" collapsed="false">
      <c r="B287" s="14" t="n">
        <v>281</v>
      </c>
      <c r="C287" s="11" t="s">
        <v>456</v>
      </c>
      <c r="D287" s="11" t="s">
        <v>266</v>
      </c>
      <c r="E287" s="14"/>
      <c r="F287" s="22" t="n">
        <v>0.5</v>
      </c>
      <c r="G287" s="13" t="n">
        <f aca="false">IFERROR(SUMIFS(H328:H1942,B328:B1942,B287),0)</f>
        <v>0.125</v>
      </c>
      <c r="H287" s="13" t="n">
        <f aca="false">F287-G287</f>
        <v>0.375</v>
      </c>
      <c r="I287" s="23" t="n">
        <f aca="false">IFERROR((F287-G287)/F287,0)</f>
        <v>0.75</v>
      </c>
      <c r="J287" s="14" t="n">
        <v>1</v>
      </c>
      <c r="K287" s="24" t="s">
        <v>457</v>
      </c>
      <c r="L287" s="25" t="n">
        <f aca="false">IFERROR((F287-G287)/G287,0)</f>
        <v>3</v>
      </c>
    </row>
    <row r="288" customFormat="false" ht="15" hidden="false" customHeight="true" outlineLevel="0" collapsed="false">
      <c r="B288" s="14" t="n">
        <v>282</v>
      </c>
      <c r="C288" s="11" t="s">
        <v>458</v>
      </c>
      <c r="D288" s="11" t="s">
        <v>266</v>
      </c>
      <c r="E288" s="14"/>
      <c r="F288" s="22" t="n">
        <v>2.5</v>
      </c>
      <c r="G288" s="13" t="n">
        <f aca="false">IFERROR(SUMIFS(H328:H1942,B328:B1942,B288),0)</f>
        <v>0.65</v>
      </c>
      <c r="H288" s="13" t="n">
        <f aca="false">F288-G288</f>
        <v>1.85</v>
      </c>
      <c r="I288" s="23" t="n">
        <f aca="false">IFERROR((F288-G288)/F288,0)</f>
        <v>0.74</v>
      </c>
      <c r="J288" s="14" t="n">
        <v>1</v>
      </c>
      <c r="K288" s="24" t="s">
        <v>459</v>
      </c>
      <c r="L288" s="25" t="n">
        <f aca="false">IFERROR((F288-G288)/G288,0)</f>
        <v>2.84615384615385</v>
      </c>
    </row>
    <row r="289" customFormat="false" ht="15" hidden="false" customHeight="true" outlineLevel="0" collapsed="false">
      <c r="B289" s="14" t="n">
        <v>283</v>
      </c>
      <c r="C289" s="11" t="s">
        <v>460</v>
      </c>
      <c r="D289" s="11" t="s">
        <v>266</v>
      </c>
      <c r="E289" s="14"/>
      <c r="F289" s="22" t="n">
        <v>1.9</v>
      </c>
      <c r="G289" s="13" t="n">
        <f aca="false">IFERROR(SUMIFS(H328:H1942,B328:B1942,B289),0)</f>
        <v>0</v>
      </c>
      <c r="H289" s="13" t="n">
        <f aca="false">F289-G289</f>
        <v>1.9</v>
      </c>
      <c r="I289" s="23" t="n">
        <f aca="false">IFERROR((F289-G289)/F289,0)</f>
        <v>1</v>
      </c>
      <c r="J289" s="14" t="n">
        <v>1</v>
      </c>
      <c r="K289" s="24" t="s">
        <v>380</v>
      </c>
      <c r="L289" s="25" t="n">
        <f aca="false">IFERROR((F289-G289)/G289,0)</f>
        <v>0</v>
      </c>
    </row>
    <row r="290" customFormat="false" ht="15" hidden="false" customHeight="true" outlineLevel="0" collapsed="false">
      <c r="B290" s="14" t="n">
        <v>284</v>
      </c>
      <c r="C290" s="11" t="s">
        <v>461</v>
      </c>
      <c r="D290" s="11" t="s">
        <v>266</v>
      </c>
      <c r="E290" s="14"/>
      <c r="F290" s="22" t="n">
        <v>0.5</v>
      </c>
      <c r="G290" s="13" t="n">
        <f aca="false">IFERROR(SUMIFS(H328:H1942,B328:B1942,B290),0)</f>
        <v>0.2925</v>
      </c>
      <c r="H290" s="13" t="n">
        <f aca="false">F290-G290</f>
        <v>0.2075</v>
      </c>
      <c r="I290" s="23" t="n">
        <f aca="false">IFERROR((F290-G290)/F290,0)</f>
        <v>0.415</v>
      </c>
      <c r="J290" s="14" t="n">
        <v>1</v>
      </c>
      <c r="K290" s="24" t="s">
        <v>462</v>
      </c>
      <c r="L290" s="25" t="n">
        <f aca="false">IFERROR((F290-G290)/G290,0)</f>
        <v>0.70940170940171</v>
      </c>
    </row>
    <row r="291" customFormat="false" ht="15" hidden="false" customHeight="true" outlineLevel="0" collapsed="false">
      <c r="B291" s="14" t="n">
        <v>285</v>
      </c>
      <c r="C291" s="11" t="s">
        <v>203</v>
      </c>
      <c r="D291" s="11" t="s">
        <v>266</v>
      </c>
      <c r="E291" s="14"/>
      <c r="F291" s="22" t="n">
        <v>1.9</v>
      </c>
      <c r="G291" s="13" t="n">
        <f aca="false">IFERROR(SUMIFS(H328:H1942,B328:B1942,B291),0)</f>
        <v>0</v>
      </c>
      <c r="H291" s="13" t="n">
        <f aca="false">F291-G291</f>
        <v>1.9</v>
      </c>
      <c r="I291" s="23" t="n">
        <f aca="false">IFERROR((F291-G291)/F291,0)</f>
        <v>1</v>
      </c>
      <c r="J291" s="14" t="n">
        <v>1</v>
      </c>
      <c r="K291" s="24" t="s">
        <v>380</v>
      </c>
      <c r="L291" s="25" t="n">
        <f aca="false">IFERROR((F291-G291)/G291,0)</f>
        <v>0</v>
      </c>
    </row>
    <row r="292" customFormat="false" ht="15" hidden="false" customHeight="true" outlineLevel="0" collapsed="false">
      <c r="B292" s="14" t="n">
        <v>286</v>
      </c>
      <c r="C292" s="11" t="s">
        <v>463</v>
      </c>
      <c r="D292" s="11" t="s">
        <v>266</v>
      </c>
      <c r="E292" s="14"/>
      <c r="F292" s="22" t="n">
        <v>4</v>
      </c>
      <c r="G292" s="13" t="n">
        <f aca="false">IFERROR(SUMIFS(H328:H1942,B328:B1942,B292),0)</f>
        <v>0</v>
      </c>
      <c r="H292" s="13" t="n">
        <f aca="false">F292-G292</f>
        <v>4</v>
      </c>
      <c r="I292" s="23" t="n">
        <f aca="false">IFERROR((F292-G292)/F292,0)</f>
        <v>1</v>
      </c>
      <c r="J292" s="14" t="n">
        <v>3</v>
      </c>
      <c r="K292" s="24" t="s">
        <v>464</v>
      </c>
      <c r="L292" s="25" t="n">
        <f aca="false">IFERROR((F292-G292)/G292,0)</f>
        <v>0</v>
      </c>
    </row>
    <row r="293" customFormat="false" ht="15" hidden="false" customHeight="true" outlineLevel="0" collapsed="false">
      <c r="B293" s="14" t="n">
        <v>287</v>
      </c>
      <c r="C293" s="11" t="s">
        <v>465</v>
      </c>
      <c r="D293" s="11" t="s">
        <v>266</v>
      </c>
      <c r="E293" s="14"/>
      <c r="F293" s="22" t="n">
        <v>4.2</v>
      </c>
      <c r="G293" s="13" t="n">
        <f aca="false">IFERROR(SUMIFS(H328:H1942,B328:B1942,B293),0)</f>
        <v>0</v>
      </c>
      <c r="H293" s="13" t="n">
        <f aca="false">F293-G293</f>
        <v>4.2</v>
      </c>
      <c r="I293" s="23" t="n">
        <f aca="false">IFERROR((F293-G293)/F293,0)</f>
        <v>1</v>
      </c>
      <c r="J293" s="14" t="n">
        <v>4</v>
      </c>
      <c r="K293" s="24" t="s">
        <v>466</v>
      </c>
      <c r="L293" s="25" t="n">
        <f aca="false">IFERROR((F293-G293)/G293,0)</f>
        <v>0</v>
      </c>
    </row>
    <row r="294" customFormat="false" ht="15" hidden="false" customHeight="true" outlineLevel="0" collapsed="false">
      <c r="B294" s="14" t="n">
        <v>288</v>
      </c>
      <c r="C294" s="11" t="s">
        <v>467</v>
      </c>
      <c r="D294" s="11" t="s">
        <v>266</v>
      </c>
      <c r="E294" s="14"/>
      <c r="F294" s="22" t="n">
        <v>3.6</v>
      </c>
      <c r="G294" s="13" t="n">
        <f aca="false">IFERROR(SUMIFS(H328:H1942,B328:B1942,B294),0)</f>
        <v>0.65</v>
      </c>
      <c r="H294" s="13" t="n">
        <f aca="false">F294-G294</f>
        <v>2.95</v>
      </c>
      <c r="I294" s="23" t="n">
        <f aca="false">IFERROR((F294-G294)/F294,0)</f>
        <v>0.819444444444444</v>
      </c>
      <c r="J294" s="14" t="n">
        <v>1</v>
      </c>
      <c r="K294" s="24" t="s">
        <v>468</v>
      </c>
      <c r="L294" s="25" t="n">
        <f aca="false">IFERROR((F294-G294)/G294,0)</f>
        <v>4.53846153846154</v>
      </c>
    </row>
    <row r="295" customFormat="false" ht="15" hidden="false" customHeight="true" outlineLevel="0" collapsed="false">
      <c r="B295" s="14" t="n">
        <v>289</v>
      </c>
      <c r="C295" s="11" t="s">
        <v>469</v>
      </c>
      <c r="D295" s="11" t="s">
        <v>266</v>
      </c>
      <c r="E295" s="14"/>
      <c r="F295" s="22" t="n">
        <v>3.8</v>
      </c>
      <c r="G295" s="13" t="n">
        <f aca="false">IFERROR(SUMIFS(H328:H1942,B328:B1942,B295),0)</f>
        <v>0</v>
      </c>
      <c r="H295" s="13" t="n">
        <f aca="false">F295-G295</f>
        <v>3.8</v>
      </c>
      <c r="I295" s="23" t="n">
        <f aca="false">IFERROR((F295-G295)/F295,0)</f>
        <v>1</v>
      </c>
      <c r="J295" s="14" t="n">
        <v>2</v>
      </c>
      <c r="K295" s="24" t="s">
        <v>470</v>
      </c>
      <c r="L295" s="25" t="n">
        <f aca="false">IFERROR((F295-G295)/G295,0)</f>
        <v>0</v>
      </c>
    </row>
    <row r="296" customFormat="false" ht="15" hidden="false" customHeight="true" outlineLevel="0" collapsed="false">
      <c r="B296" s="14" t="n">
        <v>290</v>
      </c>
      <c r="C296" s="11" t="s">
        <v>471</v>
      </c>
      <c r="D296" s="11" t="s">
        <v>266</v>
      </c>
      <c r="E296" s="14"/>
      <c r="F296" s="22" t="n">
        <v>3</v>
      </c>
      <c r="G296" s="13" t="n">
        <f aca="false">IFERROR(SUMIFS(H328:H1942,B328:B1942,B296),0)</f>
        <v>0</v>
      </c>
      <c r="H296" s="13" t="n">
        <f aca="false">F296-G296</f>
        <v>3</v>
      </c>
      <c r="I296" s="23" t="n">
        <f aca="false">IFERROR((F296-G296)/F296,0)</f>
        <v>1</v>
      </c>
      <c r="J296" s="14" t="n">
        <v>1</v>
      </c>
      <c r="K296" s="24" t="s">
        <v>470</v>
      </c>
      <c r="L296" s="25" t="n">
        <f aca="false">IFERROR((F296-G296)/G296,0)</f>
        <v>0</v>
      </c>
    </row>
    <row r="297" customFormat="false" ht="15" hidden="false" customHeight="true" outlineLevel="0" collapsed="false">
      <c r="B297" s="14" t="n">
        <v>291</v>
      </c>
      <c r="C297" s="11" t="s">
        <v>472</v>
      </c>
      <c r="D297" s="11" t="s">
        <v>266</v>
      </c>
      <c r="E297" s="14"/>
      <c r="F297" s="22" t="n">
        <v>4</v>
      </c>
      <c r="G297" s="13" t="n">
        <f aca="false">IFERROR(SUMIFS(H328:H1942,B328:B1942,B297),0)</f>
        <v>1.04062341476438</v>
      </c>
      <c r="H297" s="13" t="n">
        <f aca="false">F297-G297</f>
        <v>2.95937658523562</v>
      </c>
      <c r="I297" s="23" t="n">
        <f aca="false">IFERROR((F297-G297)/F297,0)</f>
        <v>0.739844146308904</v>
      </c>
      <c r="J297" s="14" t="n">
        <v>5</v>
      </c>
      <c r="K297" s="24" t="s">
        <v>327</v>
      </c>
      <c r="L297" s="25" t="n">
        <f aca="false">IFERROR((F297-G297)/G297,0)</f>
        <v>2.84384969937052</v>
      </c>
    </row>
    <row r="298" customFormat="false" ht="15" hidden="false" customHeight="true" outlineLevel="0" collapsed="false">
      <c r="B298" s="14" t="n">
        <v>292</v>
      </c>
      <c r="C298" s="11" t="s">
        <v>473</v>
      </c>
      <c r="D298" s="11" t="s">
        <v>266</v>
      </c>
      <c r="E298" s="14"/>
      <c r="F298" s="22" t="n">
        <v>4</v>
      </c>
      <c r="G298" s="13" t="n">
        <f aca="false">IFERROR(SUMIFS(H328:H1942,B328:B1942,B298),0)</f>
        <v>0.61413362701909</v>
      </c>
      <c r="H298" s="13" t="n">
        <f aca="false">F298-G298</f>
        <v>3.38586637298091</v>
      </c>
      <c r="I298" s="23" t="n">
        <f aca="false">IFERROR((F298-G298)/F298,0)</f>
        <v>0.846466593245228</v>
      </c>
      <c r="J298" s="14" t="n">
        <v>4</v>
      </c>
      <c r="K298" s="24" t="s">
        <v>284</v>
      </c>
      <c r="L298" s="25" t="n">
        <f aca="false">IFERROR((F298-G298)/G298,0)</f>
        <v>5.51324048060255</v>
      </c>
    </row>
    <row r="299" customFormat="false" ht="15" hidden="false" customHeight="true" outlineLevel="0" collapsed="false">
      <c r="B299" s="14" t="n">
        <v>293</v>
      </c>
      <c r="C299" s="11" t="s">
        <v>474</v>
      </c>
      <c r="D299" s="11" t="s">
        <v>266</v>
      </c>
      <c r="E299" s="14"/>
      <c r="F299" s="22" t="n">
        <v>4</v>
      </c>
      <c r="G299" s="13" t="n">
        <f aca="false">IFERROR(SUMIFS(H328:H1942,B328:B1942,B299),0)</f>
        <v>0.862003737818716</v>
      </c>
      <c r="H299" s="13" t="n">
        <f aca="false">F299-G299</f>
        <v>3.13799626218128</v>
      </c>
      <c r="I299" s="23" t="n">
        <f aca="false">IFERROR((F299-G299)/F299,0)</f>
        <v>0.784499065545321</v>
      </c>
      <c r="J299" s="14" t="n">
        <v>4</v>
      </c>
      <c r="K299" s="24" t="s">
        <v>345</v>
      </c>
      <c r="L299" s="25" t="n">
        <f aca="false">IFERROR((F299-G299)/G299,0)</f>
        <v>3.64035110813084</v>
      </c>
    </row>
    <row r="300" customFormat="false" ht="15" hidden="false" customHeight="true" outlineLevel="0" collapsed="false">
      <c r="B300" s="14" t="n">
        <v>294</v>
      </c>
      <c r="C300" s="11" t="s">
        <v>179</v>
      </c>
      <c r="D300" s="11" t="s">
        <v>266</v>
      </c>
      <c r="E300" s="14"/>
      <c r="F300" s="22" t="n">
        <v>4.1</v>
      </c>
      <c r="G300" s="13" t="n">
        <f aca="false">IFERROR(SUMIFS(H328:H1942,B328:B1942,B300),0)</f>
        <v>1.75</v>
      </c>
      <c r="H300" s="13" t="n">
        <f aca="false">F300-G300</f>
        <v>2.35</v>
      </c>
      <c r="I300" s="23" t="n">
        <f aca="false">IFERROR((F300-G300)/F300,0)</f>
        <v>0.573170731707317</v>
      </c>
      <c r="J300" s="14" t="n">
        <v>1</v>
      </c>
      <c r="K300" s="24" t="s">
        <v>270</v>
      </c>
      <c r="L300" s="25" t="n">
        <f aca="false">IFERROR((F300-G300)/G300,0)</f>
        <v>1.34285714285714</v>
      </c>
    </row>
    <row r="301" customFormat="false" ht="15" hidden="false" customHeight="true" outlineLevel="0" collapsed="false">
      <c r="B301" s="14" t="n">
        <v>295</v>
      </c>
      <c r="C301" s="11" t="s">
        <v>475</v>
      </c>
      <c r="D301" s="11" t="s">
        <v>266</v>
      </c>
      <c r="E301" s="14"/>
      <c r="F301" s="22" t="n">
        <v>2.05</v>
      </c>
      <c r="G301" s="13" t="n">
        <f aca="false">IFERROR(SUMIFS(H328:H1942,B328:B1942,B301),0)</f>
        <v>0.91</v>
      </c>
      <c r="H301" s="13" t="n">
        <f aca="false">F301-G301</f>
        <v>1.14</v>
      </c>
      <c r="I301" s="23" t="n">
        <f aca="false">IFERROR((F301-G301)/F301,0)</f>
        <v>0.55609756097561</v>
      </c>
      <c r="J301" s="14" t="n">
        <v>1</v>
      </c>
      <c r="K301" s="24" t="s">
        <v>270</v>
      </c>
      <c r="L301" s="25" t="n">
        <f aca="false">IFERROR((F301-G301)/G301,0)</f>
        <v>1.25274725274725</v>
      </c>
    </row>
    <row r="302" customFormat="false" ht="15" hidden="false" customHeight="true" outlineLevel="0" collapsed="false">
      <c r="B302" s="14" t="n">
        <v>296</v>
      </c>
      <c r="C302" s="11" t="s">
        <v>476</v>
      </c>
      <c r="D302" s="11" t="s">
        <v>266</v>
      </c>
      <c r="E302" s="14"/>
      <c r="F302" s="22" t="n">
        <v>6.95</v>
      </c>
      <c r="G302" s="13" t="n">
        <f aca="false">IFERROR(SUMIFS(H328:H1942,B328:B1942,B302),0)</f>
        <v>0</v>
      </c>
      <c r="H302" s="13" t="n">
        <f aca="false">F302-G302</f>
        <v>6.95</v>
      </c>
      <c r="I302" s="23" t="n">
        <f aca="false">IFERROR((F302-G302)/F302,0)</f>
        <v>1</v>
      </c>
      <c r="J302" s="14" t="n">
        <v>3</v>
      </c>
      <c r="K302" s="24" t="s">
        <v>444</v>
      </c>
      <c r="L302" s="25" t="n">
        <f aca="false">IFERROR((F302-G302)/G302,0)</f>
        <v>0</v>
      </c>
    </row>
    <row r="303" customFormat="false" ht="15" hidden="false" customHeight="true" outlineLevel="0" collapsed="false">
      <c r="B303" s="14" t="n">
        <v>297</v>
      </c>
      <c r="C303" s="11" t="s">
        <v>151</v>
      </c>
      <c r="D303" s="11" t="s">
        <v>266</v>
      </c>
      <c r="E303" s="14"/>
      <c r="F303" s="22" t="n">
        <v>0.5</v>
      </c>
      <c r="G303" s="13" t="n">
        <f aca="false">IFERROR(SUMIFS(H328:H1942,B328:B1942,B303),0)</f>
        <v>0.04</v>
      </c>
      <c r="H303" s="13" t="n">
        <f aca="false">F303-G303</f>
        <v>0.46</v>
      </c>
      <c r="I303" s="23" t="n">
        <f aca="false">IFERROR((F303-G303)/F303,0)</f>
        <v>0.92</v>
      </c>
      <c r="J303" s="14" t="n">
        <v>1</v>
      </c>
      <c r="K303" s="24" t="s">
        <v>477</v>
      </c>
      <c r="L303" s="25" t="n">
        <f aca="false">IFERROR((F303-G303)/G303,0)</f>
        <v>11.5</v>
      </c>
    </row>
    <row r="304" customFormat="false" ht="15" hidden="false" customHeight="true" outlineLevel="0" collapsed="false">
      <c r="B304" s="14" t="n">
        <v>298</v>
      </c>
      <c r="C304" s="11" t="s">
        <v>478</v>
      </c>
      <c r="D304" s="11" t="s">
        <v>266</v>
      </c>
      <c r="E304" s="14"/>
      <c r="F304" s="22" t="n">
        <v>3.55</v>
      </c>
      <c r="G304" s="13" t="n">
        <f aca="false">IFERROR(SUMIFS(H328:H1942,B328:B1942,B304),0)</f>
        <v>1.4</v>
      </c>
      <c r="H304" s="13" t="n">
        <f aca="false">F304-G304</f>
        <v>2.15</v>
      </c>
      <c r="I304" s="23" t="n">
        <f aca="false">IFERROR((F304-G304)/F304,0)</f>
        <v>0.605633802816901</v>
      </c>
      <c r="J304" s="14" t="n">
        <v>1</v>
      </c>
      <c r="K304" s="24" t="s">
        <v>270</v>
      </c>
      <c r="L304" s="25" t="n">
        <f aca="false">IFERROR((F304-G304)/G304,0)</f>
        <v>1.53571428571429</v>
      </c>
    </row>
    <row r="305" customFormat="false" ht="21.75" hidden="false" customHeight="true" outlineLevel="0" collapsed="false">
      <c r="B305" s="14" t="n">
        <v>299</v>
      </c>
      <c r="C305" s="11" t="s">
        <v>479</v>
      </c>
      <c r="D305" s="11" t="s">
        <v>266</v>
      </c>
      <c r="E305" s="14"/>
      <c r="F305" s="22" t="n">
        <v>0.5</v>
      </c>
      <c r="G305" s="13" t="n">
        <f aca="false">IFERROR(SUMIFS(H328:H1942,B328:B1942,B305),0)</f>
        <v>0.125</v>
      </c>
      <c r="H305" s="13" t="n">
        <f aca="false">F305-G305</f>
        <v>0.375</v>
      </c>
      <c r="I305" s="23" t="n">
        <f aca="false">IFERROR((F305-G305)/F305,0)</f>
        <v>0.75</v>
      </c>
      <c r="J305" s="14" t="n">
        <v>1</v>
      </c>
      <c r="K305" s="24" t="s">
        <v>457</v>
      </c>
      <c r="L305" s="25" t="n">
        <f aca="false">IFERROR((F305-G305)/G305,0)</f>
        <v>3</v>
      </c>
    </row>
    <row r="306" customFormat="false" ht="15" hidden="false" customHeight="true" outlineLevel="0" collapsed="false">
      <c r="B306" s="14" t="n">
        <v>300</v>
      </c>
      <c r="C306" s="11" t="s">
        <v>480</v>
      </c>
      <c r="D306" s="11" t="s">
        <v>266</v>
      </c>
      <c r="E306" s="14"/>
      <c r="F306" s="22" t="n">
        <v>1.6</v>
      </c>
      <c r="G306" s="13" t="n">
        <f aca="false">IFERROR(SUMIFS(H328:H1942,B328:B1942,B306),0)</f>
        <v>0</v>
      </c>
      <c r="H306" s="13" t="n">
        <f aca="false">F306-G306</f>
        <v>1.6</v>
      </c>
      <c r="I306" s="23" t="n">
        <f aca="false">IFERROR((F306-G306)/F306,0)</f>
        <v>1</v>
      </c>
      <c r="J306" s="14" t="n">
        <v>1</v>
      </c>
      <c r="K306" s="24" t="s">
        <v>380</v>
      </c>
      <c r="L306" s="25" t="n">
        <f aca="false">IFERROR((F306-G306)/G306,0)</f>
        <v>0</v>
      </c>
    </row>
    <row r="307" customFormat="false" ht="15" hidden="false" customHeight="true" outlineLevel="0" collapsed="false">
      <c r="B307" s="14" t="n">
        <v>301</v>
      </c>
      <c r="C307" s="11" t="s">
        <v>212</v>
      </c>
      <c r="D307" s="11" t="s">
        <v>266</v>
      </c>
      <c r="E307" s="14"/>
      <c r="F307" s="22" t="n">
        <v>1</v>
      </c>
      <c r="G307" s="13" t="n">
        <f aca="false">IFERROR(SUMIFS(H328:H1942,B328:B1942,B307),0)</f>
        <v>0</v>
      </c>
      <c r="H307" s="13" t="n">
        <f aca="false">F307-G307</f>
        <v>1</v>
      </c>
      <c r="I307" s="23" t="n">
        <f aca="false">IFERROR((F307-G307)/F307,0)</f>
        <v>1</v>
      </c>
      <c r="J307" s="14" t="n">
        <v>1</v>
      </c>
      <c r="K307" s="24" t="s">
        <v>380</v>
      </c>
      <c r="L307" s="25" t="n">
        <f aca="false">IFERROR((F307-G307)/G307,0)</f>
        <v>0</v>
      </c>
    </row>
    <row r="308" customFormat="false" ht="15" hidden="false" customHeight="true" outlineLevel="0" collapsed="false">
      <c r="B308" s="14" t="n">
        <v>302</v>
      </c>
      <c r="C308" s="11" t="s">
        <v>481</v>
      </c>
      <c r="D308" s="11" t="s">
        <v>266</v>
      </c>
      <c r="E308" s="14"/>
      <c r="F308" s="22" t="n">
        <v>1.9</v>
      </c>
      <c r="G308" s="13" t="n">
        <f aca="false">IFERROR(SUMIFS(H328:H1942,B328:B1942,B308),0)</f>
        <v>0</v>
      </c>
      <c r="H308" s="13" t="n">
        <f aca="false">F308-G308</f>
        <v>1.9</v>
      </c>
      <c r="I308" s="23" t="n">
        <f aca="false">IFERROR((F308-G308)/F308,0)</f>
        <v>1</v>
      </c>
      <c r="J308" s="14" t="n">
        <v>1</v>
      </c>
      <c r="K308" s="24" t="s">
        <v>380</v>
      </c>
      <c r="L308" s="25" t="n">
        <f aca="false">IFERROR((F308-G308)/G308,0)</f>
        <v>0</v>
      </c>
    </row>
    <row r="309" customFormat="false" ht="15" hidden="false" customHeight="true" outlineLevel="0" collapsed="false">
      <c r="B309" s="14" t="n">
        <v>303</v>
      </c>
      <c r="C309" s="11" t="s">
        <v>482</v>
      </c>
      <c r="D309" s="11" t="s">
        <v>266</v>
      </c>
      <c r="E309" s="14"/>
      <c r="F309" s="22" t="n">
        <v>3.2</v>
      </c>
      <c r="G309" s="13" t="n">
        <f aca="false">IFERROR(SUMIFS(H328:H1942,B328:B1942,B309),0)</f>
        <v>0</v>
      </c>
      <c r="H309" s="13" t="n">
        <f aca="false">F309-G309</f>
        <v>3.2</v>
      </c>
      <c r="I309" s="23" t="n">
        <f aca="false">IFERROR((F309-G309)/F309,0)</f>
        <v>1</v>
      </c>
      <c r="J309" s="14" t="n">
        <v>1</v>
      </c>
      <c r="K309" s="24" t="s">
        <v>270</v>
      </c>
      <c r="L309" s="25" t="n">
        <f aca="false">IFERROR((F309-G309)/G309,0)</f>
        <v>0</v>
      </c>
    </row>
    <row r="310" customFormat="false" ht="15" hidden="false" customHeight="true" outlineLevel="0" collapsed="false">
      <c r="B310" s="14" t="n">
        <v>304</v>
      </c>
      <c r="C310" s="11" t="s">
        <v>483</v>
      </c>
      <c r="D310" s="11" t="s">
        <v>266</v>
      </c>
      <c r="E310" s="14"/>
      <c r="F310" s="22" t="n">
        <v>3.6</v>
      </c>
      <c r="G310" s="13" t="n">
        <f aca="false">IFERROR(SUMIFS(H328:H1942,B328:B1942,B310),0)</f>
        <v>1.6</v>
      </c>
      <c r="H310" s="13" t="n">
        <f aca="false">F310-G310</f>
        <v>2</v>
      </c>
      <c r="I310" s="23" t="n">
        <f aca="false">IFERROR((F310-G310)/F310,0)</f>
        <v>0.555555555555556</v>
      </c>
      <c r="J310" s="14" t="n">
        <v>1</v>
      </c>
      <c r="K310" s="24" t="s">
        <v>270</v>
      </c>
      <c r="L310" s="25" t="n">
        <f aca="false">IFERROR((F310-G310)/G310,0)</f>
        <v>1.25</v>
      </c>
    </row>
    <row r="311" customFormat="false" ht="15" hidden="false" customHeight="true" outlineLevel="0" collapsed="false">
      <c r="B311" s="14" t="n">
        <v>305</v>
      </c>
      <c r="C311" s="11" t="s">
        <v>484</v>
      </c>
      <c r="D311" s="11" t="s">
        <v>266</v>
      </c>
      <c r="E311" s="14"/>
      <c r="F311" s="22" t="n">
        <v>3.4</v>
      </c>
      <c r="G311" s="13" t="n">
        <f aca="false">IFERROR(SUMIFS(H328:H1942,B328:B1942,B311),0)</f>
        <v>0</v>
      </c>
      <c r="H311" s="13" t="n">
        <f aca="false">F311-G311</f>
        <v>3.4</v>
      </c>
      <c r="I311" s="23" t="n">
        <f aca="false">IFERROR((F311-G311)/F311,0)</f>
        <v>1</v>
      </c>
      <c r="J311" s="14" t="n">
        <v>1</v>
      </c>
      <c r="K311" s="24" t="s">
        <v>270</v>
      </c>
      <c r="L311" s="25" t="n">
        <f aca="false">IFERROR((F311-G311)/G311,0)</f>
        <v>0</v>
      </c>
    </row>
    <row r="312" customFormat="false" ht="15" hidden="false" customHeight="true" outlineLevel="0" collapsed="false">
      <c r="B312" s="14" t="n">
        <v>306</v>
      </c>
      <c r="C312" s="11" t="s">
        <v>485</v>
      </c>
      <c r="D312" s="11" t="s">
        <v>266</v>
      </c>
      <c r="E312" s="14"/>
      <c r="F312" s="22" t="n">
        <v>3.6</v>
      </c>
      <c r="G312" s="13" t="n">
        <f aca="false">IFERROR(SUMIFS(H328:H1942,B328:B1942,B312),0)</f>
        <v>0</v>
      </c>
      <c r="H312" s="13" t="n">
        <f aca="false">F312-G312</f>
        <v>3.6</v>
      </c>
      <c r="I312" s="23" t="n">
        <f aca="false">IFERROR((F312-G312)/F312,0)</f>
        <v>1</v>
      </c>
      <c r="J312" s="14" t="n">
        <v>3</v>
      </c>
      <c r="K312" s="24" t="s">
        <v>468</v>
      </c>
      <c r="L312" s="25" t="n">
        <f aca="false">IFERROR((F312-G312)/G312,0)</f>
        <v>0</v>
      </c>
    </row>
    <row r="313" customFormat="false" ht="15" hidden="false" customHeight="true" outlineLevel="0" collapsed="false">
      <c r="B313" s="14" t="n">
        <v>307</v>
      </c>
      <c r="C313" s="11" t="s">
        <v>486</v>
      </c>
      <c r="D313" s="11" t="s">
        <v>266</v>
      </c>
      <c r="E313" s="14"/>
      <c r="F313" s="22" t="n">
        <v>2.6</v>
      </c>
      <c r="G313" s="13" t="n">
        <f aca="false">IFERROR(SUMIFS(H328:H1942,B328:B1942,B313),0)</f>
        <v>0</v>
      </c>
      <c r="H313" s="13" t="n">
        <f aca="false">F313-G313</f>
        <v>2.6</v>
      </c>
      <c r="I313" s="23" t="n">
        <f aca="false">IFERROR((F313-G313)/F313,0)</f>
        <v>1</v>
      </c>
      <c r="J313" s="14" t="n">
        <v>3</v>
      </c>
      <c r="K313" s="24" t="s">
        <v>487</v>
      </c>
      <c r="L313" s="25" t="n">
        <f aca="false">IFERROR((F313-G313)/G313,0)</f>
        <v>0</v>
      </c>
    </row>
    <row r="314" customFormat="false" ht="15" hidden="false" customHeight="true" outlineLevel="0" collapsed="false">
      <c r="B314" s="14" t="n">
        <v>308</v>
      </c>
      <c r="C314" s="11" t="s">
        <v>488</v>
      </c>
      <c r="D314" s="11" t="s">
        <v>266</v>
      </c>
      <c r="E314" s="14"/>
      <c r="F314" s="22" t="n">
        <v>4</v>
      </c>
      <c r="G314" s="13" t="n">
        <f aca="false">IFERROR(SUMIFS(H328:H1942,B328:B1942,B314),0)</f>
        <v>0</v>
      </c>
      <c r="H314" s="13" t="n">
        <f aca="false">F314-G314</f>
        <v>4</v>
      </c>
      <c r="I314" s="23" t="n">
        <f aca="false">IFERROR((F314-G314)/F314,0)</f>
        <v>1</v>
      </c>
      <c r="J314" s="14" t="n">
        <v>3</v>
      </c>
      <c r="K314" s="24" t="s">
        <v>468</v>
      </c>
      <c r="L314" s="25" t="n">
        <f aca="false">IFERROR((F314-G314)/G314,0)</f>
        <v>0</v>
      </c>
    </row>
    <row r="315" customFormat="false" ht="15" hidden="false" customHeight="true" outlineLevel="0" collapsed="false">
      <c r="B315" s="14" t="n">
        <v>309</v>
      </c>
      <c r="C315" s="11" t="s">
        <v>489</v>
      </c>
      <c r="D315" s="11" t="s">
        <v>266</v>
      </c>
      <c r="E315" s="14"/>
      <c r="F315" s="22" t="n">
        <v>1.9</v>
      </c>
      <c r="G315" s="13" t="n">
        <f aca="false">IFERROR(SUMIFS(H328:H1942,B328:B1942,B315),0)</f>
        <v>0.75</v>
      </c>
      <c r="H315" s="13" t="n">
        <f aca="false">F315-G315</f>
        <v>1.15</v>
      </c>
      <c r="I315" s="23" t="n">
        <f aca="false">IFERROR((F315-G315)/F315,0)</f>
        <v>0.605263157894737</v>
      </c>
      <c r="J315" s="14" t="n">
        <v>1</v>
      </c>
      <c r="K315" s="24" t="s">
        <v>270</v>
      </c>
      <c r="L315" s="25" t="n">
        <f aca="false">IFERROR((F315-G315)/G315,0)</f>
        <v>1.53333333333333</v>
      </c>
    </row>
    <row r="316" customFormat="false" ht="15" hidden="false" customHeight="true" outlineLevel="0" collapsed="false">
      <c r="B316" s="14" t="n">
        <v>310</v>
      </c>
      <c r="C316" s="11" t="s">
        <v>490</v>
      </c>
      <c r="D316" s="11" t="s">
        <v>266</v>
      </c>
      <c r="E316" s="14"/>
      <c r="F316" s="22" t="n">
        <v>1.6</v>
      </c>
      <c r="G316" s="13" t="n">
        <f aca="false">IFERROR(SUMIFS(H328:H1942,B328:B1942,B316),0)</f>
        <v>0</v>
      </c>
      <c r="H316" s="13" t="n">
        <f aca="false">F316-G316</f>
        <v>1.6</v>
      </c>
      <c r="I316" s="23" t="n">
        <f aca="false">IFERROR((F316-G316)/F316,0)</f>
        <v>1</v>
      </c>
      <c r="J316" s="14" t="n">
        <v>1</v>
      </c>
      <c r="K316" s="24" t="s">
        <v>380</v>
      </c>
      <c r="L316" s="25" t="n">
        <f aca="false">IFERROR((F316-G316)/G316,0)</f>
        <v>0</v>
      </c>
    </row>
    <row r="317" customFormat="false" ht="15" hidden="false" customHeight="true" outlineLevel="0" collapsed="false">
      <c r="B317" s="14" t="n">
        <v>311</v>
      </c>
      <c r="C317" s="11" t="s">
        <v>491</v>
      </c>
      <c r="D317" s="11" t="s">
        <v>266</v>
      </c>
      <c r="E317" s="14"/>
      <c r="F317" s="22" t="n">
        <v>4</v>
      </c>
      <c r="G317" s="13" t="n">
        <f aca="false">IFERROR(SUMIFS(H328:H1942,B328:B1942,B317),0)</f>
        <v>0</v>
      </c>
      <c r="H317" s="13" t="n">
        <f aca="false">F317-G317</f>
        <v>4</v>
      </c>
      <c r="I317" s="23" t="n">
        <f aca="false">IFERROR((F317-G317)/F317,0)</f>
        <v>1</v>
      </c>
      <c r="J317" s="14" t="n">
        <v>6</v>
      </c>
      <c r="K317" s="24" t="s">
        <v>492</v>
      </c>
      <c r="L317" s="25" t="n">
        <f aca="false">IFERROR((F317-G317)/G317,0)</f>
        <v>0</v>
      </c>
    </row>
    <row r="318" customFormat="false" ht="15" hidden="false" customHeight="true" outlineLevel="0" collapsed="false">
      <c r="B318" s="14" t="n">
        <v>312</v>
      </c>
      <c r="C318" s="11" t="s">
        <v>493</v>
      </c>
      <c r="D318" s="11" t="s">
        <v>266</v>
      </c>
      <c r="E318" s="14"/>
      <c r="F318" s="22" t="n">
        <v>3</v>
      </c>
      <c r="G318" s="13" t="n">
        <f aca="false">IFERROR(SUMIFS(H328:H1942,B328:B1942,B318),0)</f>
        <v>0</v>
      </c>
      <c r="H318" s="13" t="n">
        <f aca="false">F318-G318</f>
        <v>3</v>
      </c>
      <c r="I318" s="23" t="n">
        <f aca="false">IFERROR((F318-G318)/F318,0)</f>
        <v>1</v>
      </c>
      <c r="J318" s="14" t="n">
        <v>3</v>
      </c>
      <c r="K318" s="24" t="s">
        <v>494</v>
      </c>
      <c r="L318" s="25" t="n">
        <f aca="false">IFERROR((F318-G318)/G318,0)</f>
        <v>0</v>
      </c>
    </row>
    <row r="319" customFormat="false" ht="15" hidden="false" customHeight="true" outlineLevel="0" collapsed="false">
      <c r="B319" s="14" t="n">
        <v>313</v>
      </c>
      <c r="C319" s="11" t="s">
        <v>495</v>
      </c>
      <c r="D319" s="11" t="s">
        <v>266</v>
      </c>
      <c r="E319" s="14"/>
      <c r="F319" s="22" t="n">
        <v>0.4</v>
      </c>
      <c r="G319" s="13" t="n">
        <f aca="false">IFERROR(SUMIFS(H328:H1942,B328:B1942,B319),0)</f>
        <v>0</v>
      </c>
      <c r="H319" s="13" t="n">
        <f aca="false">F319-G319</f>
        <v>0.4</v>
      </c>
      <c r="I319" s="23" t="n">
        <f aca="false">IFERROR((F319-G319)/F319,0)</f>
        <v>1</v>
      </c>
      <c r="J319" s="14" t="n">
        <v>1</v>
      </c>
      <c r="K319" s="24" t="s">
        <v>453</v>
      </c>
      <c r="L319" s="25" t="n">
        <f aca="false">IFERROR((F319-G319)/G319,0)</f>
        <v>0</v>
      </c>
    </row>
    <row r="320" customFormat="false" ht="15" hidden="false" customHeight="true" outlineLevel="0" collapsed="false">
      <c r="B320" s="14" t="n">
        <v>314</v>
      </c>
      <c r="C320" s="11" t="s">
        <v>496</v>
      </c>
      <c r="D320" s="11" t="s">
        <v>266</v>
      </c>
      <c r="E320" s="14"/>
      <c r="F320" s="22" t="n">
        <v>10.99</v>
      </c>
      <c r="G320" s="13" t="n">
        <f aca="false">IFERROR(SUMIFS(H328:H1942,B328:B1942,B320),0)</f>
        <v>0</v>
      </c>
      <c r="H320" s="13" t="n">
        <f aca="false">F320-G320</f>
        <v>10.99</v>
      </c>
      <c r="I320" s="23" t="n">
        <f aca="false">IFERROR((F320-G320)/F320,0)</f>
        <v>1</v>
      </c>
      <c r="J320" s="14" t="n">
        <v>1</v>
      </c>
      <c r="K320" s="24" t="s">
        <v>497</v>
      </c>
      <c r="L320" s="25" t="n">
        <f aca="false">IFERROR((F320-G320)/G320,0)</f>
        <v>0</v>
      </c>
    </row>
    <row r="321" customFormat="false" ht="15" hidden="false" customHeight="true" outlineLevel="0" collapsed="false">
      <c r="B321" s="14" t="n">
        <v>315</v>
      </c>
      <c r="C321" s="11" t="s">
        <v>498</v>
      </c>
      <c r="D321" s="11" t="s">
        <v>266</v>
      </c>
      <c r="E321" s="14"/>
      <c r="F321" s="22" t="n">
        <v>2</v>
      </c>
      <c r="G321" s="13" t="n">
        <f aca="false">IFERROR(SUMIFS(H328:H1942,B328:B1942,B321),0)</f>
        <v>0</v>
      </c>
      <c r="H321" s="13" t="n">
        <f aca="false">F321-G321</f>
        <v>2</v>
      </c>
      <c r="I321" s="23" t="n">
        <f aca="false">IFERROR((F321-G321)/F321,0)</f>
        <v>1</v>
      </c>
      <c r="J321" s="14" t="n">
        <v>1</v>
      </c>
      <c r="K321" s="24" t="s">
        <v>380</v>
      </c>
      <c r="L321" s="25" t="n">
        <f aca="false">IFERROR((F321-G321)/G321,0)</f>
        <v>0</v>
      </c>
    </row>
    <row r="322" customFormat="false" ht="15" hidden="false" customHeight="true" outlineLevel="0" collapsed="false">
      <c r="B322" s="14" t="n">
        <v>316</v>
      </c>
      <c r="C322" s="11" t="s">
        <v>499</v>
      </c>
      <c r="D322" s="11" t="s">
        <v>266</v>
      </c>
      <c r="E322" s="14"/>
      <c r="F322" s="22" t="n">
        <v>4.2</v>
      </c>
      <c r="G322" s="13" t="n">
        <f aca="false">IFERROR(SUMIFS(H328:H1942,B328:B1942,B322),0)</f>
        <v>0</v>
      </c>
      <c r="H322" s="13" t="n">
        <f aca="false">F322-G322</f>
        <v>4.2</v>
      </c>
      <c r="I322" s="23" t="n">
        <f aca="false">IFERROR((F322-G322)/F322,0)</f>
        <v>1</v>
      </c>
      <c r="J322" s="14" t="n">
        <v>4</v>
      </c>
      <c r="K322" s="24" t="s">
        <v>466</v>
      </c>
      <c r="L322" s="25" t="n">
        <f aca="false">IFERROR((F322-G322)/G322,0)</f>
        <v>0</v>
      </c>
    </row>
    <row r="323" customFormat="false" ht="15" hidden="false" customHeight="true" outlineLevel="0" collapsed="false">
      <c r="B323" s="14" t="n">
        <v>317</v>
      </c>
      <c r="C323" s="11" t="s">
        <v>500</v>
      </c>
      <c r="D323" s="11" t="s">
        <v>266</v>
      </c>
      <c r="E323" s="14"/>
      <c r="F323" s="22" t="n">
        <v>0.4</v>
      </c>
      <c r="G323" s="13" t="n">
        <f aca="false">IFERROR(SUMIFS(H328:H1942,B328:B1942,B323),0)</f>
        <v>0.15</v>
      </c>
      <c r="H323" s="13" t="n">
        <f aca="false">F323-G323</f>
        <v>0.25</v>
      </c>
      <c r="I323" s="23" t="n">
        <f aca="false">IFERROR((F323-G323)/F323,0)</f>
        <v>0.625</v>
      </c>
      <c r="J323" s="14" t="n">
        <v>1</v>
      </c>
      <c r="K323" s="24" t="s">
        <v>453</v>
      </c>
      <c r="L323" s="25" t="n">
        <f aca="false">IFERROR((F323-G323)/G323,0)</f>
        <v>1.66666666666667</v>
      </c>
    </row>
    <row r="326" customFormat="false" ht="15" hidden="false" customHeight="true" outlineLevel="0" collapsed="false">
      <c r="B326" s="20" t="s">
        <v>501</v>
      </c>
      <c r="C326" s="20"/>
      <c r="D326" s="20"/>
      <c r="E326" s="20"/>
      <c r="F326" s="20"/>
      <c r="G326" s="20"/>
      <c r="H326" s="20"/>
    </row>
    <row r="327" customFormat="false" ht="26.25" hidden="false" customHeight="true" outlineLevel="0" collapsed="false">
      <c r="B327" s="10" t="s">
        <v>255</v>
      </c>
      <c r="C327" s="10" t="s">
        <v>502</v>
      </c>
      <c r="D327" s="10" t="s">
        <v>503</v>
      </c>
      <c r="E327" s="10" t="s">
        <v>61</v>
      </c>
      <c r="F327" s="10" t="s">
        <v>504</v>
      </c>
      <c r="G327" s="10" t="s">
        <v>505</v>
      </c>
      <c r="H327" s="10" t="s">
        <v>506</v>
      </c>
    </row>
    <row r="328" customFormat="false" ht="15" hidden="false" customHeight="true" outlineLevel="0" collapsed="false">
      <c r="B328" s="14" t="n">
        <v>1</v>
      </c>
      <c r="C328" s="11" t="s">
        <v>248</v>
      </c>
      <c r="D328" s="17" t="n">
        <v>0.06</v>
      </c>
      <c r="E328" s="11" t="s">
        <v>79</v>
      </c>
      <c r="F328" s="14" t="str">
        <f aca="false">IFERROR(VLOOKUP(C328,Ingredients!$B$6:$I$206,7,FALSE()),"?")</f>
        <v>For milkshakes (60g per drink)</v>
      </c>
      <c r="G328" s="31" t="n">
        <f aca="false">IFERROR(VLOOKUP(C328,Ingredients!$B$6:$I$206,6,FALSE()),0)</f>
        <v>8.5</v>
      </c>
      <c r="H328" s="32" t="n">
        <f aca="false">IFERROR(D328*G328,0)</f>
        <v>0.51</v>
      </c>
    </row>
    <row r="329" customFormat="false" ht="15" hidden="false" customHeight="true" outlineLevel="0" collapsed="false">
      <c r="B329" s="14" t="n">
        <v>1</v>
      </c>
      <c r="C329" s="11" t="s">
        <v>63</v>
      </c>
      <c r="D329" s="17" t="n">
        <v>0.15</v>
      </c>
      <c r="E329" s="11" t="s">
        <v>65</v>
      </c>
      <c r="F329" s="14" t="str">
        <f aca="false">IFERROR(VLOOKUP(C329,Ingredients!$B$6:$I$206,7,FALSE()),"?")</f>
        <v>L</v>
      </c>
      <c r="G329" s="31" t="n">
        <f aca="false">IFERROR(VLOOKUP(C329,Ingredients!$B$6:$I$206,6,FALSE()),0)</f>
        <v>0.732745961820852</v>
      </c>
      <c r="H329" s="32" t="n">
        <f aca="false">IFERROR(D329*G329,0)</f>
        <v>0.109911894273128</v>
      </c>
    </row>
    <row r="330" customFormat="false" ht="15" hidden="false" customHeight="true" outlineLevel="0" collapsed="false">
      <c r="B330" s="14" t="n">
        <v>1</v>
      </c>
      <c r="C330" s="11" t="s">
        <v>102</v>
      </c>
      <c r="D330" s="17" t="n">
        <v>30</v>
      </c>
      <c r="E330" s="11" t="s">
        <v>84</v>
      </c>
      <c r="F330" s="14" t="str">
        <f aca="false">IFERROR(VLOOKUP(C330,Ingredients!$B$6:$I$206,7,FALSE()),"?")</f>
        <v>ml</v>
      </c>
      <c r="G330" s="31" t="n">
        <f aca="false">IFERROR(VLOOKUP(C330,Ingredients!$B$6:$I$206,6,FALSE()),0)</f>
        <v>0.005</v>
      </c>
      <c r="H330" s="32" t="n">
        <f aca="false">IFERROR(D330*G330,0)</f>
        <v>0.15</v>
      </c>
    </row>
    <row r="331" customFormat="false" ht="15" hidden="false" customHeight="true" outlineLevel="0" collapsed="false">
      <c r="B331" s="14" t="n">
        <v>1</v>
      </c>
      <c r="C331" s="11" t="s">
        <v>142</v>
      </c>
      <c r="D331" s="17" t="n">
        <v>1</v>
      </c>
      <c r="E331" s="11" t="s">
        <v>112</v>
      </c>
      <c r="F331" s="14" t="str">
        <f aca="false">IFERROR(VLOOKUP(C331,Ingredients!$B$6:$I$206,7,FALSE()),"?")</f>
        <v>unit</v>
      </c>
      <c r="G331" s="31" t="n">
        <f aca="false">IFERROR(VLOOKUP(C331,Ingredients!$B$6:$I$206,6,FALSE()),0)</f>
        <v>0.14</v>
      </c>
      <c r="H331" s="32" t="n">
        <f aca="false">IFERROR(D331*G331,0)</f>
        <v>0.14</v>
      </c>
    </row>
    <row r="332" customFormat="false" ht="15" hidden="false" customHeight="true" outlineLevel="0" collapsed="false">
      <c r="B332" s="14" t="n">
        <v>1</v>
      </c>
      <c r="C332" s="11" t="s">
        <v>144</v>
      </c>
      <c r="D332" s="17" t="n">
        <v>1</v>
      </c>
      <c r="E332" s="11" t="s">
        <v>112</v>
      </c>
      <c r="F332" s="14" t="str">
        <f aca="false">IFERROR(VLOOKUP(C332,Ingredients!$B$6:$I$206,7,FALSE()),"?")</f>
        <v>unit</v>
      </c>
      <c r="G332" s="31" t="n">
        <f aca="false">IFERROR(VLOOKUP(C332,Ingredients!$B$6:$I$206,6,FALSE()),0)</f>
        <v>0.03</v>
      </c>
      <c r="H332" s="32" t="n">
        <f aca="false">IFERROR(D332*G332,0)</f>
        <v>0.03</v>
      </c>
    </row>
    <row r="333" customFormat="false" ht="15" hidden="false" customHeight="true" outlineLevel="0" collapsed="false">
      <c r="B333" s="14" t="n">
        <v>2</v>
      </c>
      <c r="C333" s="11" t="s">
        <v>248</v>
      </c>
      <c r="D333" s="17" t="n">
        <v>0.06</v>
      </c>
      <c r="E333" s="11" t="s">
        <v>79</v>
      </c>
      <c r="F333" s="14" t="str">
        <f aca="false">IFERROR(VLOOKUP(C333,Ingredients!$B$6:$I$206,7,FALSE()),"?")</f>
        <v>For milkshakes (60g per drink)</v>
      </c>
      <c r="G333" s="31" t="n">
        <f aca="false">IFERROR(VLOOKUP(C333,Ingredients!$B$6:$I$206,6,FALSE()),0)</f>
        <v>8.5</v>
      </c>
      <c r="H333" s="32" t="n">
        <f aca="false">IFERROR(D333*G333,0)</f>
        <v>0.51</v>
      </c>
    </row>
    <row r="334" customFormat="false" ht="15" hidden="false" customHeight="true" outlineLevel="0" collapsed="false">
      <c r="B334" s="14" t="n">
        <v>2</v>
      </c>
      <c r="C334" s="11" t="s">
        <v>63</v>
      </c>
      <c r="D334" s="17" t="n">
        <v>0.15</v>
      </c>
      <c r="E334" s="11" t="s">
        <v>65</v>
      </c>
      <c r="F334" s="14" t="str">
        <f aca="false">IFERROR(VLOOKUP(C334,Ingredients!$B$6:$I$206,7,FALSE()),"?")</f>
        <v>L</v>
      </c>
      <c r="G334" s="31" t="n">
        <f aca="false">IFERROR(VLOOKUP(C334,Ingredients!$B$6:$I$206,6,FALSE()),0)</f>
        <v>0.732745961820852</v>
      </c>
      <c r="H334" s="32" t="n">
        <f aca="false">IFERROR(D334*G334,0)</f>
        <v>0.109911894273128</v>
      </c>
    </row>
    <row r="335" customFormat="false" ht="15" hidden="false" customHeight="true" outlineLevel="0" collapsed="false">
      <c r="B335" s="14" t="n">
        <v>2</v>
      </c>
      <c r="C335" s="11" t="s">
        <v>102</v>
      </c>
      <c r="D335" s="17" t="n">
        <v>30</v>
      </c>
      <c r="E335" s="11" t="s">
        <v>84</v>
      </c>
      <c r="F335" s="14" t="str">
        <f aca="false">IFERROR(VLOOKUP(C335,Ingredients!$B$6:$I$206,7,FALSE()),"?")</f>
        <v>ml</v>
      </c>
      <c r="G335" s="31" t="n">
        <f aca="false">IFERROR(VLOOKUP(C335,Ingredients!$B$6:$I$206,6,FALSE()),0)</f>
        <v>0.005</v>
      </c>
      <c r="H335" s="32" t="n">
        <f aca="false">IFERROR(D335*G335,0)</f>
        <v>0.15</v>
      </c>
    </row>
    <row r="336" customFormat="false" ht="15" hidden="false" customHeight="true" outlineLevel="0" collapsed="false">
      <c r="B336" s="14" t="n">
        <v>2</v>
      </c>
      <c r="C336" s="11" t="s">
        <v>138</v>
      </c>
      <c r="D336" s="17" t="n">
        <v>1</v>
      </c>
      <c r="E336" s="11" t="s">
        <v>112</v>
      </c>
      <c r="F336" s="14" t="str">
        <f aca="false">IFERROR(VLOOKUP(C336,Ingredients!$B$6:$I$206,7,FALSE()),"?")</f>
        <v>unit</v>
      </c>
      <c r="G336" s="31" t="n">
        <f aca="false">IFERROR(VLOOKUP(C336,Ingredients!$B$6:$I$206,6,FALSE()),0)</f>
        <v>0.11</v>
      </c>
      <c r="H336" s="32" t="n">
        <f aca="false">IFERROR(D336*G336,0)</f>
        <v>0.11</v>
      </c>
    </row>
    <row r="337" customFormat="false" ht="15" hidden="false" customHeight="true" outlineLevel="0" collapsed="false">
      <c r="B337" s="14" t="n">
        <v>2</v>
      </c>
      <c r="C337" s="11" t="s">
        <v>140</v>
      </c>
      <c r="D337" s="17" t="n">
        <v>1</v>
      </c>
      <c r="E337" s="11" t="s">
        <v>112</v>
      </c>
      <c r="F337" s="14" t="str">
        <f aca="false">IFERROR(VLOOKUP(C337,Ingredients!$B$6:$I$206,7,FALSE()),"?")</f>
        <v>unit</v>
      </c>
      <c r="G337" s="31" t="n">
        <f aca="false">IFERROR(VLOOKUP(C337,Ingredients!$B$6:$I$206,6,FALSE()),0)</f>
        <v>0.03</v>
      </c>
      <c r="H337" s="32" t="n">
        <f aca="false">IFERROR(D337*G337,0)</f>
        <v>0.03</v>
      </c>
    </row>
    <row r="338" customFormat="false" ht="15" hidden="false" customHeight="true" outlineLevel="0" collapsed="false">
      <c r="B338" s="14" t="n">
        <v>6</v>
      </c>
      <c r="C338" s="11" t="s">
        <v>110</v>
      </c>
      <c r="D338" s="17" t="n">
        <v>1</v>
      </c>
      <c r="E338" s="11" t="s">
        <v>112</v>
      </c>
      <c r="F338" s="14" t="str">
        <f aca="false">IFERROR(VLOOKUP(C338,Ingredients!$B$6:$I$206,7,FALSE()),"?")</f>
        <v>unit</v>
      </c>
      <c r="G338" s="31" t="n">
        <f aca="false">IFERROR(VLOOKUP(C338,Ingredients!$B$6:$I$206,6,FALSE()),0)</f>
        <v>0.059875</v>
      </c>
      <c r="H338" s="32" t="n">
        <f aca="false">IFERROR(D338*G338,0)</f>
        <v>0.059875</v>
      </c>
    </row>
    <row r="339" customFormat="false" ht="15" hidden="false" customHeight="true" outlineLevel="0" collapsed="false">
      <c r="B339" s="14" t="n">
        <v>6</v>
      </c>
      <c r="C339" s="11" t="s">
        <v>138</v>
      </c>
      <c r="D339" s="17" t="n">
        <v>1</v>
      </c>
      <c r="E339" s="11" t="s">
        <v>112</v>
      </c>
      <c r="F339" s="14" t="str">
        <f aca="false">IFERROR(VLOOKUP(C339,Ingredients!$B$6:$I$206,7,FALSE()),"?")</f>
        <v>unit</v>
      </c>
      <c r="G339" s="31" t="n">
        <f aca="false">IFERROR(VLOOKUP(C339,Ingredients!$B$6:$I$206,6,FALSE()),0)</f>
        <v>0.11</v>
      </c>
      <c r="H339" s="32" t="n">
        <f aca="false">IFERROR(D339*G339,0)</f>
        <v>0.11</v>
      </c>
    </row>
    <row r="340" customFormat="false" ht="15" hidden="false" customHeight="true" outlineLevel="0" collapsed="false">
      <c r="B340" s="14" t="n">
        <v>6</v>
      </c>
      <c r="C340" s="11" t="s">
        <v>140</v>
      </c>
      <c r="D340" s="17" t="n">
        <v>1</v>
      </c>
      <c r="E340" s="11" t="s">
        <v>112</v>
      </c>
      <c r="F340" s="14" t="str">
        <f aca="false">IFERROR(VLOOKUP(C340,Ingredients!$B$6:$I$206,7,FALSE()),"?")</f>
        <v>unit</v>
      </c>
      <c r="G340" s="31" t="n">
        <f aca="false">IFERROR(VLOOKUP(C340,Ingredients!$B$6:$I$206,6,FALSE()),0)</f>
        <v>0.03</v>
      </c>
      <c r="H340" s="32" t="n">
        <f aca="false">IFERROR(D340*G340,0)</f>
        <v>0.03</v>
      </c>
    </row>
    <row r="341" customFormat="false" ht="15" hidden="false" customHeight="true" outlineLevel="0" collapsed="false">
      <c r="B341" s="14" t="n">
        <v>7</v>
      </c>
      <c r="C341" s="11" t="s">
        <v>77</v>
      </c>
      <c r="D341" s="17" t="n">
        <v>0.036</v>
      </c>
      <c r="E341" s="11" t="s">
        <v>79</v>
      </c>
      <c r="F341" s="14" t="str">
        <f aca="false">IFERROR(VLOOKUP(C341,Ingredients!$B$6:$I$206,7,FALSE()),"?")</f>
        <v>kg</v>
      </c>
      <c r="G341" s="31" t="n">
        <f aca="false">IFERROR(VLOOKUP(C341,Ingredients!$B$6:$I$206,6,FALSE()),0)</f>
        <v>16.25</v>
      </c>
      <c r="H341" s="32" t="n">
        <f aca="false">IFERROR(D341*G341,0)</f>
        <v>0.585</v>
      </c>
    </row>
    <row r="342" customFormat="false" ht="15" hidden="false" customHeight="true" outlineLevel="0" collapsed="false">
      <c r="B342" s="14" t="n">
        <v>7</v>
      </c>
      <c r="C342" s="11" t="s">
        <v>138</v>
      </c>
      <c r="D342" s="17" t="n">
        <v>1</v>
      </c>
      <c r="E342" s="11" t="s">
        <v>112</v>
      </c>
      <c r="F342" s="14" t="str">
        <f aca="false">IFERROR(VLOOKUP(C342,Ingredients!$B$6:$I$206,7,FALSE()),"?")</f>
        <v>unit</v>
      </c>
      <c r="G342" s="31" t="n">
        <f aca="false">IFERROR(VLOOKUP(C342,Ingredients!$B$6:$I$206,6,FALSE()),0)</f>
        <v>0.11</v>
      </c>
      <c r="H342" s="32" t="n">
        <f aca="false">IFERROR(D342*G342,0)</f>
        <v>0.11</v>
      </c>
    </row>
    <row r="343" customFormat="false" ht="15" hidden="false" customHeight="true" outlineLevel="0" collapsed="false">
      <c r="B343" s="14" t="n">
        <v>7</v>
      </c>
      <c r="C343" s="11" t="s">
        <v>140</v>
      </c>
      <c r="D343" s="17" t="n">
        <v>1</v>
      </c>
      <c r="E343" s="11" t="s">
        <v>112</v>
      </c>
      <c r="F343" s="14" t="str">
        <f aca="false">IFERROR(VLOOKUP(C343,Ingredients!$B$6:$I$206,7,FALSE()),"?")</f>
        <v>unit</v>
      </c>
      <c r="G343" s="31" t="n">
        <f aca="false">IFERROR(VLOOKUP(C343,Ingredients!$B$6:$I$206,6,FALSE()),0)</f>
        <v>0.03</v>
      </c>
      <c r="H343" s="32" t="n">
        <f aca="false">IFERROR(D343*G343,0)</f>
        <v>0.03</v>
      </c>
    </row>
    <row r="344" customFormat="false" ht="15" hidden="false" customHeight="true" outlineLevel="0" collapsed="false">
      <c r="B344" s="14" t="n">
        <v>8</v>
      </c>
      <c r="C344" s="11" t="s">
        <v>77</v>
      </c>
      <c r="D344" s="17" t="n">
        <v>0.036</v>
      </c>
      <c r="E344" s="11" t="s">
        <v>79</v>
      </c>
      <c r="F344" s="14" t="str">
        <f aca="false">IFERROR(VLOOKUP(C344,Ingredients!$B$6:$I$206,7,FALSE()),"?")</f>
        <v>kg</v>
      </c>
      <c r="G344" s="31" t="n">
        <f aca="false">IFERROR(VLOOKUP(C344,Ingredients!$B$6:$I$206,6,FALSE()),0)</f>
        <v>16.25</v>
      </c>
      <c r="H344" s="32" t="n">
        <f aca="false">IFERROR(D344*G344,0)</f>
        <v>0.585</v>
      </c>
    </row>
    <row r="345" customFormat="false" ht="15" hidden="false" customHeight="true" outlineLevel="0" collapsed="false">
      <c r="B345" s="14" t="n">
        <v>8</v>
      </c>
      <c r="C345" s="11" t="s">
        <v>134</v>
      </c>
      <c r="D345" s="17" t="n">
        <v>1</v>
      </c>
      <c r="E345" s="11" t="s">
        <v>112</v>
      </c>
      <c r="F345" s="14" t="str">
        <f aca="false">IFERROR(VLOOKUP(C345,Ingredients!$B$6:$I$206,7,FALSE()),"?")</f>
        <v>unit</v>
      </c>
      <c r="G345" s="31" t="n">
        <f aca="false">IFERROR(VLOOKUP(C345,Ingredients!$B$6:$I$206,6,FALSE()),0)</f>
        <v>0.09</v>
      </c>
      <c r="H345" s="32" t="n">
        <f aca="false">IFERROR(D345*G345,0)</f>
        <v>0.09</v>
      </c>
    </row>
    <row r="346" customFormat="false" ht="15" hidden="false" customHeight="true" outlineLevel="0" collapsed="false">
      <c r="B346" s="14" t="n">
        <v>8</v>
      </c>
      <c r="C346" s="11" t="s">
        <v>136</v>
      </c>
      <c r="D346" s="17" t="n">
        <v>1</v>
      </c>
      <c r="E346" s="11" t="s">
        <v>112</v>
      </c>
      <c r="F346" s="14" t="str">
        <f aca="false">IFERROR(VLOOKUP(C346,Ingredients!$B$6:$I$206,7,FALSE()),"?")</f>
        <v>unit</v>
      </c>
      <c r="G346" s="31" t="n">
        <f aca="false">IFERROR(VLOOKUP(C346,Ingredients!$B$6:$I$206,6,FALSE()),0)</f>
        <v>0.03</v>
      </c>
      <c r="H346" s="32" t="n">
        <f aca="false">IFERROR(D346*G346,0)</f>
        <v>0.03</v>
      </c>
    </row>
    <row r="347" customFormat="false" ht="15" hidden="false" customHeight="true" outlineLevel="0" collapsed="false">
      <c r="B347" s="14" t="n">
        <v>9</v>
      </c>
      <c r="C347" s="11" t="s">
        <v>77</v>
      </c>
      <c r="D347" s="17" t="n">
        <v>0.072</v>
      </c>
      <c r="E347" s="11" t="s">
        <v>79</v>
      </c>
      <c r="F347" s="14" t="str">
        <f aca="false">IFERROR(VLOOKUP(C347,Ingredients!$B$6:$I$206,7,FALSE()),"?")</f>
        <v>kg</v>
      </c>
      <c r="G347" s="31" t="n">
        <f aca="false">IFERROR(VLOOKUP(C347,Ingredients!$B$6:$I$206,6,FALSE()),0)</f>
        <v>16.25</v>
      </c>
      <c r="H347" s="32" t="n">
        <f aca="false">IFERROR(D347*G347,0)</f>
        <v>1.17</v>
      </c>
    </row>
    <row r="348" customFormat="false" ht="15" hidden="false" customHeight="true" outlineLevel="0" collapsed="false">
      <c r="B348" s="14" t="n">
        <v>9</v>
      </c>
      <c r="C348" s="11" t="s">
        <v>142</v>
      </c>
      <c r="D348" s="17" t="n">
        <v>1</v>
      </c>
      <c r="E348" s="11" t="s">
        <v>112</v>
      </c>
      <c r="F348" s="14" t="str">
        <f aca="false">IFERROR(VLOOKUP(C348,Ingredients!$B$6:$I$206,7,FALSE()),"?")</f>
        <v>unit</v>
      </c>
      <c r="G348" s="31" t="n">
        <f aca="false">IFERROR(VLOOKUP(C348,Ingredients!$B$6:$I$206,6,FALSE()),0)</f>
        <v>0.14</v>
      </c>
      <c r="H348" s="32" t="n">
        <f aca="false">IFERROR(D348*G348,0)</f>
        <v>0.14</v>
      </c>
    </row>
    <row r="349" customFormat="false" ht="15" hidden="false" customHeight="true" outlineLevel="0" collapsed="false">
      <c r="B349" s="14" t="n">
        <v>9</v>
      </c>
      <c r="C349" s="11" t="s">
        <v>144</v>
      </c>
      <c r="D349" s="17" t="n">
        <v>1</v>
      </c>
      <c r="E349" s="11" t="s">
        <v>112</v>
      </c>
      <c r="F349" s="14" t="str">
        <f aca="false">IFERROR(VLOOKUP(C349,Ingredients!$B$6:$I$206,7,FALSE()),"?")</f>
        <v>unit</v>
      </c>
      <c r="G349" s="31" t="n">
        <f aca="false">IFERROR(VLOOKUP(C349,Ingredients!$B$6:$I$206,6,FALSE()),0)</f>
        <v>0.03</v>
      </c>
      <c r="H349" s="32" t="n">
        <f aca="false">IFERROR(D349*G349,0)</f>
        <v>0.03</v>
      </c>
    </row>
    <row r="350" customFormat="false" ht="15" hidden="false" customHeight="true" outlineLevel="0" collapsed="false">
      <c r="B350" s="14" t="n">
        <v>10</v>
      </c>
      <c r="C350" s="11" t="s">
        <v>110</v>
      </c>
      <c r="D350" s="17" t="n">
        <v>1</v>
      </c>
      <c r="E350" s="11" t="s">
        <v>112</v>
      </c>
      <c r="F350" s="14" t="str">
        <f aca="false">IFERROR(VLOOKUP(C350,Ingredients!$B$6:$I$206,7,FALSE()),"?")</f>
        <v>unit</v>
      </c>
      <c r="G350" s="31" t="n">
        <f aca="false">IFERROR(VLOOKUP(C350,Ingredients!$B$6:$I$206,6,FALSE()),0)</f>
        <v>0.059875</v>
      </c>
      <c r="H350" s="32" t="n">
        <f aca="false">IFERROR(D350*G350,0)</f>
        <v>0.059875</v>
      </c>
    </row>
    <row r="351" customFormat="false" ht="15" hidden="false" customHeight="true" outlineLevel="0" collapsed="false">
      <c r="B351" s="14" t="n">
        <v>10</v>
      </c>
      <c r="C351" s="11" t="s">
        <v>107</v>
      </c>
      <c r="D351" s="17" t="n">
        <v>15</v>
      </c>
      <c r="E351" s="11" t="s">
        <v>84</v>
      </c>
      <c r="F351" s="14" t="str">
        <f aca="false">IFERROR(VLOOKUP(C351,Ingredients!$B$6:$I$206,7,FALSE()),"?")</f>
        <v>ml</v>
      </c>
      <c r="G351" s="31" t="n">
        <f aca="false">IFERROR(VLOOKUP(C351,Ingredients!$B$6:$I$206,6,FALSE()),0)</f>
        <v>0.0112</v>
      </c>
      <c r="H351" s="32" t="n">
        <f aca="false">IFERROR(D351*G351,0)</f>
        <v>0.168</v>
      </c>
    </row>
    <row r="352" customFormat="false" ht="15" hidden="false" customHeight="true" outlineLevel="0" collapsed="false">
      <c r="B352" s="14" t="n">
        <v>10</v>
      </c>
      <c r="C352" s="11" t="s">
        <v>138</v>
      </c>
      <c r="D352" s="17" t="n">
        <v>1</v>
      </c>
      <c r="E352" s="11" t="s">
        <v>112</v>
      </c>
      <c r="F352" s="14" t="str">
        <f aca="false">IFERROR(VLOOKUP(C352,Ingredients!$B$6:$I$206,7,FALSE()),"?")</f>
        <v>unit</v>
      </c>
      <c r="G352" s="31" t="n">
        <f aca="false">IFERROR(VLOOKUP(C352,Ingredients!$B$6:$I$206,6,FALSE()),0)</f>
        <v>0.11</v>
      </c>
      <c r="H352" s="32" t="n">
        <f aca="false">IFERROR(D352*G352,0)</f>
        <v>0.11</v>
      </c>
    </row>
    <row r="353" customFormat="false" ht="15" hidden="false" customHeight="true" outlineLevel="0" collapsed="false">
      <c r="B353" s="14" t="n">
        <v>10</v>
      </c>
      <c r="C353" s="11" t="s">
        <v>140</v>
      </c>
      <c r="D353" s="17" t="n">
        <v>1</v>
      </c>
      <c r="E353" s="11" t="s">
        <v>112</v>
      </c>
      <c r="F353" s="14" t="str">
        <f aca="false">IFERROR(VLOOKUP(C353,Ingredients!$B$6:$I$206,7,FALSE()),"?")</f>
        <v>unit</v>
      </c>
      <c r="G353" s="31" t="n">
        <f aca="false">IFERROR(VLOOKUP(C353,Ingredients!$B$6:$I$206,6,FALSE()),0)</f>
        <v>0.03</v>
      </c>
      <c r="H353" s="32" t="n">
        <f aca="false">IFERROR(D353*G353,0)</f>
        <v>0.03</v>
      </c>
    </row>
    <row r="354" customFormat="false" ht="15" hidden="false" customHeight="true" outlineLevel="0" collapsed="false">
      <c r="B354" s="14" t="n">
        <v>11</v>
      </c>
      <c r="C354" s="11" t="s">
        <v>110</v>
      </c>
      <c r="D354" s="17" t="n">
        <v>1</v>
      </c>
      <c r="E354" s="11" t="s">
        <v>112</v>
      </c>
      <c r="F354" s="14" t="str">
        <f aca="false">IFERROR(VLOOKUP(C354,Ingredients!$B$6:$I$206,7,FALSE()),"?")</f>
        <v>unit</v>
      </c>
      <c r="G354" s="31" t="n">
        <f aca="false">IFERROR(VLOOKUP(C354,Ingredients!$B$6:$I$206,6,FALSE()),0)</f>
        <v>0.059875</v>
      </c>
      <c r="H354" s="32" t="n">
        <f aca="false">IFERROR(D354*G354,0)</f>
        <v>0.059875</v>
      </c>
    </row>
    <row r="355" customFormat="false" ht="15" hidden="false" customHeight="true" outlineLevel="0" collapsed="false">
      <c r="B355" s="14" t="n">
        <v>11</v>
      </c>
      <c r="C355" s="11" t="s">
        <v>107</v>
      </c>
      <c r="D355" s="17" t="n">
        <v>15</v>
      </c>
      <c r="E355" s="11" t="s">
        <v>84</v>
      </c>
      <c r="F355" s="14" t="str">
        <f aca="false">IFERROR(VLOOKUP(C355,Ingredients!$B$6:$I$206,7,FALSE()),"?")</f>
        <v>ml</v>
      </c>
      <c r="G355" s="31" t="n">
        <f aca="false">IFERROR(VLOOKUP(C355,Ingredients!$B$6:$I$206,6,FALSE()),0)</f>
        <v>0.0112</v>
      </c>
      <c r="H355" s="32" t="n">
        <f aca="false">IFERROR(D355*G355,0)</f>
        <v>0.168</v>
      </c>
    </row>
    <row r="356" customFormat="false" ht="15" hidden="false" customHeight="true" outlineLevel="0" collapsed="false">
      <c r="B356" s="14" t="n">
        <v>11</v>
      </c>
      <c r="C356" s="11" t="s">
        <v>134</v>
      </c>
      <c r="D356" s="17" t="n">
        <v>1</v>
      </c>
      <c r="E356" s="11" t="s">
        <v>112</v>
      </c>
      <c r="F356" s="14" t="str">
        <f aca="false">IFERROR(VLOOKUP(C356,Ingredients!$B$6:$I$206,7,FALSE()),"?")</f>
        <v>unit</v>
      </c>
      <c r="G356" s="31" t="n">
        <f aca="false">IFERROR(VLOOKUP(C356,Ingredients!$B$6:$I$206,6,FALSE()),0)</f>
        <v>0.09</v>
      </c>
      <c r="H356" s="32" t="n">
        <f aca="false">IFERROR(D356*G356,0)</f>
        <v>0.09</v>
      </c>
    </row>
    <row r="357" customFormat="false" ht="15" hidden="false" customHeight="true" outlineLevel="0" collapsed="false">
      <c r="B357" s="14" t="n">
        <v>11</v>
      </c>
      <c r="C357" s="11" t="s">
        <v>136</v>
      </c>
      <c r="D357" s="17" t="n">
        <v>1</v>
      </c>
      <c r="E357" s="11" t="s">
        <v>112</v>
      </c>
      <c r="F357" s="14" t="str">
        <f aca="false">IFERROR(VLOOKUP(C357,Ingredients!$B$6:$I$206,7,FALSE()),"?")</f>
        <v>unit</v>
      </c>
      <c r="G357" s="31" t="n">
        <f aca="false">IFERROR(VLOOKUP(C357,Ingredients!$B$6:$I$206,6,FALSE()),0)</f>
        <v>0.03</v>
      </c>
      <c r="H357" s="32" t="n">
        <f aca="false">IFERROR(D357*G357,0)</f>
        <v>0.03</v>
      </c>
    </row>
    <row r="358" customFormat="false" ht="15" hidden="false" customHeight="true" outlineLevel="0" collapsed="false">
      <c r="B358" s="14" t="n">
        <v>12</v>
      </c>
      <c r="C358" s="11" t="s">
        <v>115</v>
      </c>
      <c r="D358" s="17" t="n">
        <v>0.00125</v>
      </c>
      <c r="E358" s="11" t="s">
        <v>79</v>
      </c>
      <c r="F358" s="14" t="str">
        <f aca="false">IFERROR(VLOOKUP(C358,Ingredients!$B$6:$I$206,7,FALSE()),"?")</f>
        <v>kg</v>
      </c>
      <c r="G358" s="31" t="n">
        <f aca="false">IFERROR(VLOOKUP(C358,Ingredients!$B$6:$I$206,6,FALSE()),0)</f>
        <v>180</v>
      </c>
      <c r="H358" s="32" t="n">
        <f aca="false">IFERROR(D358*G358,0)</f>
        <v>0.225</v>
      </c>
    </row>
    <row r="359" customFormat="false" ht="15" hidden="false" customHeight="true" outlineLevel="0" collapsed="false">
      <c r="B359" s="14" t="n">
        <v>12</v>
      </c>
      <c r="C359" s="11" t="s">
        <v>63</v>
      </c>
      <c r="D359" s="17" t="n">
        <v>0.34</v>
      </c>
      <c r="E359" s="11" t="s">
        <v>65</v>
      </c>
      <c r="F359" s="14" t="str">
        <f aca="false">IFERROR(VLOOKUP(C359,Ingredients!$B$6:$I$206,7,FALSE()),"?")</f>
        <v>L</v>
      </c>
      <c r="G359" s="31" t="n">
        <f aca="false">IFERROR(VLOOKUP(C359,Ingredients!$B$6:$I$206,6,FALSE()),0)</f>
        <v>0.732745961820852</v>
      </c>
      <c r="H359" s="32" t="n">
        <f aca="false">IFERROR(D359*G359,0)</f>
        <v>0.24913362701909</v>
      </c>
    </row>
    <row r="360" customFormat="false" ht="15" hidden="false" customHeight="true" outlineLevel="0" collapsed="false">
      <c r="B360" s="14" t="n">
        <v>12</v>
      </c>
      <c r="C360" s="11" t="s">
        <v>107</v>
      </c>
      <c r="D360" s="17" t="n">
        <v>15</v>
      </c>
      <c r="E360" s="11" t="s">
        <v>84</v>
      </c>
      <c r="F360" s="14" t="str">
        <f aca="false">IFERROR(VLOOKUP(C360,Ingredients!$B$6:$I$206,7,FALSE()),"?")</f>
        <v>ml</v>
      </c>
      <c r="G360" s="31" t="n">
        <f aca="false">IFERROR(VLOOKUP(C360,Ingredients!$B$6:$I$206,6,FALSE()),0)</f>
        <v>0.0112</v>
      </c>
      <c r="H360" s="32" t="n">
        <f aca="false">IFERROR(D360*G360,0)</f>
        <v>0.168</v>
      </c>
    </row>
    <row r="361" customFormat="false" ht="15" hidden="false" customHeight="true" outlineLevel="0" collapsed="false">
      <c r="B361" s="14" t="n">
        <v>12</v>
      </c>
      <c r="C361" s="11" t="s">
        <v>138</v>
      </c>
      <c r="D361" s="17" t="n">
        <v>1</v>
      </c>
      <c r="E361" s="11" t="s">
        <v>112</v>
      </c>
      <c r="F361" s="14" t="str">
        <f aca="false">IFERROR(VLOOKUP(C361,Ingredients!$B$6:$I$206,7,FALSE()),"?")</f>
        <v>unit</v>
      </c>
      <c r="G361" s="31" t="n">
        <f aca="false">IFERROR(VLOOKUP(C361,Ingredients!$B$6:$I$206,6,FALSE()),0)</f>
        <v>0.11</v>
      </c>
      <c r="H361" s="32" t="n">
        <f aca="false">IFERROR(D361*G361,0)</f>
        <v>0.11</v>
      </c>
    </row>
    <row r="362" customFormat="false" ht="15" hidden="false" customHeight="true" outlineLevel="0" collapsed="false">
      <c r="B362" s="14" t="n">
        <v>12</v>
      </c>
      <c r="C362" s="11" t="s">
        <v>140</v>
      </c>
      <c r="D362" s="17" t="n">
        <v>1</v>
      </c>
      <c r="E362" s="11" t="s">
        <v>112</v>
      </c>
      <c r="F362" s="14" t="str">
        <f aca="false">IFERROR(VLOOKUP(C362,Ingredients!$B$6:$I$206,7,FALSE()),"?")</f>
        <v>unit</v>
      </c>
      <c r="G362" s="31" t="n">
        <f aca="false">IFERROR(VLOOKUP(C362,Ingredients!$B$6:$I$206,6,FALSE()),0)</f>
        <v>0.03</v>
      </c>
      <c r="H362" s="32" t="n">
        <f aca="false">IFERROR(D362*G362,0)</f>
        <v>0.03</v>
      </c>
    </row>
    <row r="363" customFormat="false" ht="15" hidden="false" customHeight="true" outlineLevel="0" collapsed="false">
      <c r="B363" s="14" t="n">
        <v>13</v>
      </c>
      <c r="C363" s="11" t="s">
        <v>115</v>
      </c>
      <c r="D363" s="17" t="n">
        <v>0.00125</v>
      </c>
      <c r="E363" s="11" t="s">
        <v>79</v>
      </c>
      <c r="F363" s="14" t="str">
        <f aca="false">IFERROR(VLOOKUP(C363,Ingredients!$B$6:$I$206,7,FALSE()),"?")</f>
        <v>kg</v>
      </c>
      <c r="G363" s="31" t="n">
        <f aca="false">IFERROR(VLOOKUP(C363,Ingredients!$B$6:$I$206,6,FALSE()),0)</f>
        <v>180</v>
      </c>
      <c r="H363" s="32" t="n">
        <f aca="false">IFERROR(D363*G363,0)</f>
        <v>0.225</v>
      </c>
    </row>
    <row r="364" customFormat="false" ht="15" hidden="false" customHeight="true" outlineLevel="0" collapsed="false">
      <c r="B364" s="14" t="n">
        <v>13</v>
      </c>
      <c r="C364" s="11" t="s">
        <v>63</v>
      </c>
      <c r="D364" s="17" t="n">
        <v>0.22</v>
      </c>
      <c r="E364" s="11" t="s">
        <v>65</v>
      </c>
      <c r="F364" s="14" t="str">
        <f aca="false">IFERROR(VLOOKUP(C364,Ingredients!$B$6:$I$206,7,FALSE()),"?")</f>
        <v>L</v>
      </c>
      <c r="G364" s="31" t="n">
        <f aca="false">IFERROR(VLOOKUP(C364,Ingredients!$B$6:$I$206,6,FALSE()),0)</f>
        <v>0.732745961820852</v>
      </c>
      <c r="H364" s="32" t="n">
        <f aca="false">IFERROR(D364*G364,0)</f>
        <v>0.161204111600587</v>
      </c>
    </row>
    <row r="365" customFormat="false" ht="15" hidden="false" customHeight="true" outlineLevel="0" collapsed="false">
      <c r="B365" s="14" t="n">
        <v>13</v>
      </c>
      <c r="C365" s="11" t="s">
        <v>107</v>
      </c>
      <c r="D365" s="17" t="n">
        <v>15</v>
      </c>
      <c r="E365" s="11" t="s">
        <v>84</v>
      </c>
      <c r="F365" s="14" t="str">
        <f aca="false">IFERROR(VLOOKUP(C365,Ingredients!$B$6:$I$206,7,FALSE()),"?")</f>
        <v>ml</v>
      </c>
      <c r="G365" s="31" t="n">
        <f aca="false">IFERROR(VLOOKUP(C365,Ingredients!$B$6:$I$206,6,FALSE()),0)</f>
        <v>0.0112</v>
      </c>
      <c r="H365" s="32" t="n">
        <f aca="false">IFERROR(D365*G365,0)</f>
        <v>0.168</v>
      </c>
    </row>
    <row r="366" customFormat="false" ht="15" hidden="false" customHeight="true" outlineLevel="0" collapsed="false">
      <c r="B366" s="14" t="n">
        <v>13</v>
      </c>
      <c r="C366" s="11" t="s">
        <v>134</v>
      </c>
      <c r="D366" s="17" t="n">
        <v>1</v>
      </c>
      <c r="E366" s="11" t="s">
        <v>112</v>
      </c>
      <c r="F366" s="14" t="str">
        <f aca="false">IFERROR(VLOOKUP(C366,Ingredients!$B$6:$I$206,7,FALSE()),"?")</f>
        <v>unit</v>
      </c>
      <c r="G366" s="31" t="n">
        <f aca="false">IFERROR(VLOOKUP(C366,Ingredients!$B$6:$I$206,6,FALSE()),0)</f>
        <v>0.09</v>
      </c>
      <c r="H366" s="32" t="n">
        <f aca="false">IFERROR(D366*G366,0)</f>
        <v>0.09</v>
      </c>
    </row>
    <row r="367" customFormat="false" ht="15" hidden="false" customHeight="true" outlineLevel="0" collapsed="false">
      <c r="B367" s="14" t="n">
        <v>13</v>
      </c>
      <c r="C367" s="11" t="s">
        <v>136</v>
      </c>
      <c r="D367" s="17" t="n">
        <v>1</v>
      </c>
      <c r="E367" s="11" t="s">
        <v>112</v>
      </c>
      <c r="F367" s="14" t="str">
        <f aca="false">IFERROR(VLOOKUP(C367,Ingredients!$B$6:$I$206,7,FALSE()),"?")</f>
        <v>unit</v>
      </c>
      <c r="G367" s="31" t="n">
        <f aca="false">IFERROR(VLOOKUP(C367,Ingredients!$B$6:$I$206,6,FALSE()),0)</f>
        <v>0.03</v>
      </c>
      <c r="H367" s="32" t="n">
        <f aca="false">IFERROR(D367*G367,0)</f>
        <v>0.03</v>
      </c>
    </row>
    <row r="368" customFormat="false" ht="15" hidden="false" customHeight="true" outlineLevel="0" collapsed="false">
      <c r="B368" s="14" t="n">
        <v>14</v>
      </c>
      <c r="C368" s="11" t="s">
        <v>115</v>
      </c>
      <c r="D368" s="17" t="n">
        <v>0.00125</v>
      </c>
      <c r="E368" s="11" t="s">
        <v>79</v>
      </c>
      <c r="F368" s="14" t="str">
        <f aca="false">IFERROR(VLOOKUP(C368,Ingredients!$B$6:$I$206,7,FALSE()),"?")</f>
        <v>kg</v>
      </c>
      <c r="G368" s="31" t="n">
        <f aca="false">IFERROR(VLOOKUP(C368,Ingredients!$B$6:$I$206,6,FALSE()),0)</f>
        <v>180</v>
      </c>
      <c r="H368" s="32" t="n">
        <f aca="false">IFERROR(D368*G368,0)</f>
        <v>0.225</v>
      </c>
    </row>
    <row r="369" customFormat="false" ht="15" hidden="false" customHeight="true" outlineLevel="0" collapsed="false">
      <c r="B369" s="14" t="n">
        <v>14</v>
      </c>
      <c r="C369" s="11" t="s">
        <v>63</v>
      </c>
      <c r="D369" s="17" t="n">
        <v>0.46</v>
      </c>
      <c r="E369" s="11" t="s">
        <v>65</v>
      </c>
      <c r="F369" s="14" t="str">
        <f aca="false">IFERROR(VLOOKUP(C369,Ingredients!$B$6:$I$206,7,FALSE()),"?")</f>
        <v>L</v>
      </c>
      <c r="G369" s="31" t="n">
        <f aca="false">IFERROR(VLOOKUP(C369,Ingredients!$B$6:$I$206,6,FALSE()),0)</f>
        <v>0.732745961820852</v>
      </c>
      <c r="H369" s="32" t="n">
        <f aca="false">IFERROR(D369*G369,0)</f>
        <v>0.337063142437592</v>
      </c>
    </row>
    <row r="370" customFormat="false" ht="15" hidden="false" customHeight="true" outlineLevel="0" collapsed="false">
      <c r="B370" s="14" t="n">
        <v>14</v>
      </c>
      <c r="C370" s="11" t="s">
        <v>107</v>
      </c>
      <c r="D370" s="17" t="n">
        <v>15</v>
      </c>
      <c r="E370" s="11" t="s">
        <v>84</v>
      </c>
      <c r="F370" s="14" t="str">
        <f aca="false">IFERROR(VLOOKUP(C370,Ingredients!$B$6:$I$206,7,FALSE()),"?")</f>
        <v>ml</v>
      </c>
      <c r="G370" s="31" t="n">
        <f aca="false">IFERROR(VLOOKUP(C370,Ingredients!$B$6:$I$206,6,FALSE()),0)</f>
        <v>0.0112</v>
      </c>
      <c r="H370" s="32" t="n">
        <f aca="false">IFERROR(D370*G370,0)</f>
        <v>0.168</v>
      </c>
    </row>
    <row r="371" customFormat="false" ht="15" hidden="false" customHeight="true" outlineLevel="0" collapsed="false">
      <c r="B371" s="14" t="n">
        <v>14</v>
      </c>
      <c r="C371" s="11" t="s">
        <v>142</v>
      </c>
      <c r="D371" s="17" t="n">
        <v>1</v>
      </c>
      <c r="E371" s="11" t="s">
        <v>112</v>
      </c>
      <c r="F371" s="14" t="str">
        <f aca="false">IFERROR(VLOOKUP(C371,Ingredients!$B$6:$I$206,7,FALSE()),"?")</f>
        <v>unit</v>
      </c>
      <c r="G371" s="31" t="n">
        <f aca="false">IFERROR(VLOOKUP(C371,Ingredients!$B$6:$I$206,6,FALSE()),0)</f>
        <v>0.14</v>
      </c>
      <c r="H371" s="32" t="n">
        <f aca="false">IFERROR(D371*G371,0)</f>
        <v>0.14</v>
      </c>
    </row>
    <row r="372" customFormat="false" ht="15" hidden="false" customHeight="true" outlineLevel="0" collapsed="false">
      <c r="B372" s="14" t="n">
        <v>14</v>
      </c>
      <c r="C372" s="11" t="s">
        <v>144</v>
      </c>
      <c r="D372" s="17" t="n">
        <v>1</v>
      </c>
      <c r="E372" s="11" t="s">
        <v>112</v>
      </c>
      <c r="F372" s="14" t="str">
        <f aca="false">IFERROR(VLOOKUP(C372,Ingredients!$B$6:$I$206,7,FALSE()),"?")</f>
        <v>unit</v>
      </c>
      <c r="G372" s="31" t="n">
        <f aca="false">IFERROR(VLOOKUP(C372,Ingredients!$B$6:$I$206,6,FALSE()),0)</f>
        <v>0.03</v>
      </c>
      <c r="H372" s="32" t="n">
        <f aca="false">IFERROR(D372*G372,0)</f>
        <v>0.03</v>
      </c>
    </row>
    <row r="373" customFormat="false" ht="15" hidden="false" customHeight="true" outlineLevel="0" collapsed="false">
      <c r="B373" s="14" t="n">
        <v>15</v>
      </c>
      <c r="C373" s="11" t="s">
        <v>115</v>
      </c>
      <c r="D373" s="17" t="n">
        <v>0.00125</v>
      </c>
      <c r="E373" s="11" t="s">
        <v>79</v>
      </c>
      <c r="F373" s="14" t="str">
        <f aca="false">IFERROR(VLOOKUP(C373,Ingredients!$B$6:$I$206,7,FALSE()),"?")</f>
        <v>kg</v>
      </c>
      <c r="G373" s="31" t="n">
        <f aca="false">IFERROR(VLOOKUP(C373,Ingredients!$B$6:$I$206,6,FALSE()),0)</f>
        <v>180</v>
      </c>
      <c r="H373" s="32" t="n">
        <f aca="false">IFERROR(D373*G373,0)</f>
        <v>0.225</v>
      </c>
    </row>
    <row r="374" customFormat="false" ht="15" hidden="false" customHeight="true" outlineLevel="0" collapsed="false">
      <c r="B374" s="14" t="n">
        <v>15</v>
      </c>
      <c r="C374" s="11" t="s">
        <v>63</v>
      </c>
      <c r="D374" s="17" t="n">
        <v>0.34</v>
      </c>
      <c r="E374" s="11" t="s">
        <v>65</v>
      </c>
      <c r="F374" s="14" t="str">
        <f aca="false">IFERROR(VLOOKUP(C374,Ingredients!$B$6:$I$206,7,FALSE()),"?")</f>
        <v>L</v>
      </c>
      <c r="G374" s="31" t="n">
        <f aca="false">IFERROR(VLOOKUP(C374,Ingredients!$B$6:$I$206,6,FALSE()),0)</f>
        <v>0.732745961820852</v>
      </c>
      <c r="H374" s="32" t="n">
        <f aca="false">IFERROR(D374*G374,0)</f>
        <v>0.24913362701909</v>
      </c>
    </row>
    <row r="375" customFormat="false" ht="15" hidden="false" customHeight="true" outlineLevel="0" collapsed="false">
      <c r="B375" s="14" t="n">
        <v>15</v>
      </c>
      <c r="C375" s="11" t="s">
        <v>138</v>
      </c>
      <c r="D375" s="17" t="n">
        <v>1</v>
      </c>
      <c r="E375" s="11" t="s">
        <v>112</v>
      </c>
      <c r="F375" s="14" t="str">
        <f aca="false">IFERROR(VLOOKUP(C375,Ingredients!$B$6:$I$206,7,FALSE()),"?")</f>
        <v>unit</v>
      </c>
      <c r="G375" s="31" t="n">
        <f aca="false">IFERROR(VLOOKUP(C375,Ingredients!$B$6:$I$206,6,FALSE()),0)</f>
        <v>0.11</v>
      </c>
      <c r="H375" s="32" t="n">
        <f aca="false">IFERROR(D375*G375,0)</f>
        <v>0.11</v>
      </c>
    </row>
    <row r="376" customFormat="false" ht="15" hidden="false" customHeight="true" outlineLevel="0" collapsed="false">
      <c r="B376" s="14" t="n">
        <v>15</v>
      </c>
      <c r="C376" s="11" t="s">
        <v>140</v>
      </c>
      <c r="D376" s="17" t="n">
        <v>1</v>
      </c>
      <c r="E376" s="11" t="s">
        <v>112</v>
      </c>
      <c r="F376" s="14" t="str">
        <f aca="false">IFERROR(VLOOKUP(C376,Ingredients!$B$6:$I$206,7,FALSE()),"?")</f>
        <v>unit</v>
      </c>
      <c r="G376" s="31" t="n">
        <f aca="false">IFERROR(VLOOKUP(C376,Ingredients!$B$6:$I$206,6,FALSE()),0)</f>
        <v>0.03</v>
      </c>
      <c r="H376" s="32" t="n">
        <f aca="false">IFERROR(D376*G376,0)</f>
        <v>0.03</v>
      </c>
    </row>
    <row r="377" customFormat="false" ht="15" hidden="false" customHeight="true" outlineLevel="0" collapsed="false">
      <c r="B377" s="14" t="n">
        <v>15</v>
      </c>
      <c r="C377" s="11" t="s">
        <v>95</v>
      </c>
      <c r="D377" s="17" t="n">
        <v>30</v>
      </c>
      <c r="E377" s="11" t="s">
        <v>84</v>
      </c>
      <c r="F377" s="14" t="str">
        <f aca="false">IFERROR(VLOOKUP(C377,Ingredients!$B$6:$I$206,7,FALSE()),"?")</f>
        <v>ml</v>
      </c>
      <c r="G377" s="31" t="n">
        <f aca="false">IFERROR(VLOOKUP(C377,Ingredients!$B$6:$I$206,6,FALSE()),0)</f>
        <v>0.005</v>
      </c>
      <c r="H377" s="32" t="n">
        <f aca="false">IFERROR(D377*G377,0)</f>
        <v>0.15</v>
      </c>
    </row>
    <row r="378" customFormat="false" ht="15" hidden="false" customHeight="true" outlineLevel="0" collapsed="false">
      <c r="B378" s="14" t="n">
        <v>16</v>
      </c>
      <c r="C378" s="11" t="s">
        <v>115</v>
      </c>
      <c r="D378" s="17" t="n">
        <v>0.00125</v>
      </c>
      <c r="E378" s="11" t="s">
        <v>79</v>
      </c>
      <c r="F378" s="14" t="str">
        <f aca="false">IFERROR(VLOOKUP(C378,Ingredients!$B$6:$I$206,7,FALSE()),"?")</f>
        <v>kg</v>
      </c>
      <c r="G378" s="31" t="n">
        <f aca="false">IFERROR(VLOOKUP(C378,Ingredients!$B$6:$I$206,6,FALSE()),0)</f>
        <v>180</v>
      </c>
      <c r="H378" s="32" t="n">
        <f aca="false">IFERROR(D378*G378,0)</f>
        <v>0.225</v>
      </c>
    </row>
    <row r="379" customFormat="false" ht="15" hidden="false" customHeight="true" outlineLevel="0" collapsed="false">
      <c r="B379" s="14" t="n">
        <v>16</v>
      </c>
      <c r="C379" s="11" t="s">
        <v>63</v>
      </c>
      <c r="D379" s="17" t="n">
        <v>0.22</v>
      </c>
      <c r="E379" s="11" t="s">
        <v>65</v>
      </c>
      <c r="F379" s="14" t="str">
        <f aca="false">IFERROR(VLOOKUP(C379,Ingredients!$B$6:$I$206,7,FALSE()),"?")</f>
        <v>L</v>
      </c>
      <c r="G379" s="31" t="n">
        <f aca="false">IFERROR(VLOOKUP(C379,Ingredients!$B$6:$I$206,6,FALSE()),0)</f>
        <v>0.732745961820852</v>
      </c>
      <c r="H379" s="32" t="n">
        <f aca="false">IFERROR(D379*G379,0)</f>
        <v>0.161204111600587</v>
      </c>
    </row>
    <row r="380" customFormat="false" ht="15" hidden="false" customHeight="true" outlineLevel="0" collapsed="false">
      <c r="B380" s="14" t="n">
        <v>16</v>
      </c>
      <c r="C380" s="11" t="s">
        <v>134</v>
      </c>
      <c r="D380" s="17" t="n">
        <v>1</v>
      </c>
      <c r="E380" s="11" t="s">
        <v>112</v>
      </c>
      <c r="F380" s="14" t="str">
        <f aca="false">IFERROR(VLOOKUP(C380,Ingredients!$B$6:$I$206,7,FALSE()),"?")</f>
        <v>unit</v>
      </c>
      <c r="G380" s="31" t="n">
        <f aca="false">IFERROR(VLOOKUP(C380,Ingredients!$B$6:$I$206,6,FALSE()),0)</f>
        <v>0.09</v>
      </c>
      <c r="H380" s="32" t="n">
        <f aca="false">IFERROR(D380*G380,0)</f>
        <v>0.09</v>
      </c>
    </row>
    <row r="381" customFormat="false" ht="15" hidden="false" customHeight="true" outlineLevel="0" collapsed="false">
      <c r="B381" s="14" t="n">
        <v>16</v>
      </c>
      <c r="C381" s="11" t="s">
        <v>136</v>
      </c>
      <c r="D381" s="17" t="n">
        <v>1</v>
      </c>
      <c r="E381" s="11" t="s">
        <v>112</v>
      </c>
      <c r="F381" s="14" t="str">
        <f aca="false">IFERROR(VLOOKUP(C381,Ingredients!$B$6:$I$206,7,FALSE()),"?")</f>
        <v>unit</v>
      </c>
      <c r="G381" s="31" t="n">
        <f aca="false">IFERROR(VLOOKUP(C381,Ingredients!$B$6:$I$206,6,FALSE()),0)</f>
        <v>0.03</v>
      </c>
      <c r="H381" s="32" t="n">
        <f aca="false">IFERROR(D381*G381,0)</f>
        <v>0.03</v>
      </c>
    </row>
    <row r="382" customFormat="false" ht="15" hidden="false" customHeight="true" outlineLevel="0" collapsed="false">
      <c r="B382" s="14" t="n">
        <v>16</v>
      </c>
      <c r="C382" s="11" t="s">
        <v>95</v>
      </c>
      <c r="D382" s="17" t="n">
        <v>30</v>
      </c>
      <c r="E382" s="11" t="s">
        <v>84</v>
      </c>
      <c r="F382" s="14" t="str">
        <f aca="false">IFERROR(VLOOKUP(C382,Ingredients!$B$6:$I$206,7,FALSE()),"?")</f>
        <v>ml</v>
      </c>
      <c r="G382" s="31" t="n">
        <f aca="false">IFERROR(VLOOKUP(C382,Ingredients!$B$6:$I$206,6,FALSE()),0)</f>
        <v>0.005</v>
      </c>
      <c r="H382" s="32" t="n">
        <f aca="false">IFERROR(D382*G382,0)</f>
        <v>0.15</v>
      </c>
    </row>
    <row r="383" customFormat="false" ht="15" hidden="false" customHeight="true" outlineLevel="0" collapsed="false">
      <c r="B383" s="14" t="n">
        <v>17</v>
      </c>
      <c r="C383" s="11" t="s">
        <v>115</v>
      </c>
      <c r="D383" s="17" t="n">
        <v>0.00125</v>
      </c>
      <c r="E383" s="11" t="s">
        <v>79</v>
      </c>
      <c r="F383" s="14" t="str">
        <f aca="false">IFERROR(VLOOKUP(C383,Ingredients!$B$6:$I$206,7,FALSE()),"?")</f>
        <v>kg</v>
      </c>
      <c r="G383" s="31" t="n">
        <f aca="false">IFERROR(VLOOKUP(C383,Ingredients!$B$6:$I$206,6,FALSE()),0)</f>
        <v>180</v>
      </c>
      <c r="H383" s="32" t="n">
        <f aca="false">IFERROR(D383*G383,0)</f>
        <v>0.225</v>
      </c>
    </row>
    <row r="384" customFormat="false" ht="15" hidden="false" customHeight="true" outlineLevel="0" collapsed="false">
      <c r="B384" s="14" t="n">
        <v>17</v>
      </c>
      <c r="C384" s="11" t="s">
        <v>63</v>
      </c>
      <c r="D384" s="17" t="n">
        <v>0.46</v>
      </c>
      <c r="E384" s="11" t="s">
        <v>65</v>
      </c>
      <c r="F384" s="14" t="str">
        <f aca="false">IFERROR(VLOOKUP(C384,Ingredients!$B$6:$I$206,7,FALSE()),"?")</f>
        <v>L</v>
      </c>
      <c r="G384" s="31" t="n">
        <f aca="false">IFERROR(VLOOKUP(C384,Ingredients!$B$6:$I$206,6,FALSE()),0)</f>
        <v>0.732745961820852</v>
      </c>
      <c r="H384" s="32" t="n">
        <f aca="false">IFERROR(D384*G384,0)</f>
        <v>0.337063142437592</v>
      </c>
    </row>
    <row r="385" customFormat="false" ht="15" hidden="false" customHeight="true" outlineLevel="0" collapsed="false">
      <c r="B385" s="14" t="n">
        <v>17</v>
      </c>
      <c r="C385" s="11" t="s">
        <v>142</v>
      </c>
      <c r="D385" s="17" t="n">
        <v>1</v>
      </c>
      <c r="E385" s="11" t="s">
        <v>112</v>
      </c>
      <c r="F385" s="14" t="str">
        <f aca="false">IFERROR(VLOOKUP(C385,Ingredients!$B$6:$I$206,7,FALSE()),"?")</f>
        <v>unit</v>
      </c>
      <c r="G385" s="31" t="n">
        <f aca="false">IFERROR(VLOOKUP(C385,Ingredients!$B$6:$I$206,6,FALSE()),0)</f>
        <v>0.14</v>
      </c>
      <c r="H385" s="32" t="n">
        <f aca="false">IFERROR(D385*G385,0)</f>
        <v>0.14</v>
      </c>
    </row>
    <row r="386" customFormat="false" ht="15" hidden="false" customHeight="true" outlineLevel="0" collapsed="false">
      <c r="B386" s="14" t="n">
        <v>17</v>
      </c>
      <c r="C386" s="11" t="s">
        <v>144</v>
      </c>
      <c r="D386" s="17" t="n">
        <v>1</v>
      </c>
      <c r="E386" s="11" t="s">
        <v>112</v>
      </c>
      <c r="F386" s="14" t="str">
        <f aca="false">IFERROR(VLOOKUP(C386,Ingredients!$B$6:$I$206,7,FALSE()),"?")</f>
        <v>unit</v>
      </c>
      <c r="G386" s="31" t="n">
        <f aca="false">IFERROR(VLOOKUP(C386,Ingredients!$B$6:$I$206,6,FALSE()),0)</f>
        <v>0.03</v>
      </c>
      <c r="H386" s="32" t="n">
        <f aca="false">IFERROR(D386*G386,0)</f>
        <v>0.03</v>
      </c>
    </row>
    <row r="387" customFormat="false" ht="15" hidden="false" customHeight="true" outlineLevel="0" collapsed="false">
      <c r="B387" s="14" t="n">
        <v>17</v>
      </c>
      <c r="C387" s="11" t="s">
        <v>95</v>
      </c>
      <c r="D387" s="17" t="n">
        <v>30</v>
      </c>
      <c r="E387" s="11" t="s">
        <v>84</v>
      </c>
      <c r="F387" s="14" t="str">
        <f aca="false">IFERROR(VLOOKUP(C387,Ingredients!$B$6:$I$206,7,FALSE()),"?")</f>
        <v>ml</v>
      </c>
      <c r="G387" s="31" t="n">
        <f aca="false">IFERROR(VLOOKUP(C387,Ingredients!$B$6:$I$206,6,FALSE()),0)</f>
        <v>0.005</v>
      </c>
      <c r="H387" s="32" t="n">
        <f aca="false">IFERROR(D387*G387,0)</f>
        <v>0.15</v>
      </c>
    </row>
    <row r="388" customFormat="false" ht="15" hidden="false" customHeight="true" outlineLevel="0" collapsed="false">
      <c r="B388" s="14" t="n">
        <v>18</v>
      </c>
      <c r="C388" s="11" t="s">
        <v>115</v>
      </c>
      <c r="D388" s="17" t="n">
        <v>0.00125</v>
      </c>
      <c r="E388" s="11" t="s">
        <v>79</v>
      </c>
      <c r="F388" s="14" t="str">
        <f aca="false">IFERROR(VLOOKUP(C388,Ingredients!$B$6:$I$206,7,FALSE()),"?")</f>
        <v>kg</v>
      </c>
      <c r="G388" s="31" t="n">
        <f aca="false">IFERROR(VLOOKUP(C388,Ingredients!$B$6:$I$206,6,FALSE()),0)</f>
        <v>180</v>
      </c>
      <c r="H388" s="32" t="n">
        <f aca="false">IFERROR(D388*G388,0)</f>
        <v>0.225</v>
      </c>
    </row>
    <row r="389" customFormat="false" ht="15" hidden="false" customHeight="true" outlineLevel="0" collapsed="false">
      <c r="B389" s="14" t="n">
        <v>18</v>
      </c>
      <c r="C389" s="11" t="s">
        <v>63</v>
      </c>
      <c r="D389" s="17" t="n">
        <v>0.34</v>
      </c>
      <c r="E389" s="11" t="s">
        <v>65</v>
      </c>
      <c r="F389" s="14" t="str">
        <f aca="false">IFERROR(VLOOKUP(C389,Ingredients!$B$6:$I$206,7,FALSE()),"?")</f>
        <v>L</v>
      </c>
      <c r="G389" s="31" t="n">
        <f aca="false">IFERROR(VLOOKUP(C389,Ingredients!$B$6:$I$206,6,FALSE()),0)</f>
        <v>0.732745961820852</v>
      </c>
      <c r="H389" s="32" t="n">
        <f aca="false">IFERROR(D389*G389,0)</f>
        <v>0.24913362701909</v>
      </c>
    </row>
    <row r="390" customFormat="false" ht="15" hidden="false" customHeight="true" outlineLevel="0" collapsed="false">
      <c r="B390" s="14" t="n">
        <v>18</v>
      </c>
      <c r="C390" s="11" t="s">
        <v>138</v>
      </c>
      <c r="D390" s="17" t="n">
        <v>1</v>
      </c>
      <c r="E390" s="11" t="s">
        <v>112</v>
      </c>
      <c r="F390" s="14" t="str">
        <f aca="false">IFERROR(VLOOKUP(C390,Ingredients!$B$6:$I$206,7,FALSE()),"?")</f>
        <v>unit</v>
      </c>
      <c r="G390" s="31" t="n">
        <f aca="false">IFERROR(VLOOKUP(C390,Ingredients!$B$6:$I$206,6,FALSE()),0)</f>
        <v>0.11</v>
      </c>
      <c r="H390" s="32" t="n">
        <f aca="false">IFERROR(D390*G390,0)</f>
        <v>0.11</v>
      </c>
    </row>
    <row r="391" customFormat="false" ht="15" hidden="false" customHeight="true" outlineLevel="0" collapsed="false">
      <c r="B391" s="14" t="n">
        <v>18</v>
      </c>
      <c r="C391" s="11" t="s">
        <v>140</v>
      </c>
      <c r="D391" s="17" t="n">
        <v>1</v>
      </c>
      <c r="E391" s="11" t="s">
        <v>112</v>
      </c>
      <c r="F391" s="14" t="str">
        <f aca="false">IFERROR(VLOOKUP(C391,Ingredients!$B$6:$I$206,7,FALSE()),"?")</f>
        <v>unit</v>
      </c>
      <c r="G391" s="31" t="n">
        <f aca="false">IFERROR(VLOOKUP(C391,Ingredients!$B$6:$I$206,6,FALSE()),0)</f>
        <v>0.03</v>
      </c>
      <c r="H391" s="32" t="n">
        <f aca="false">IFERROR(D391*G391,0)</f>
        <v>0.03</v>
      </c>
    </row>
    <row r="392" customFormat="false" ht="15" hidden="false" customHeight="true" outlineLevel="0" collapsed="false">
      <c r="B392" s="14" t="n">
        <v>18</v>
      </c>
      <c r="C392" s="11" t="s">
        <v>82</v>
      </c>
      <c r="D392" s="17" t="n">
        <v>30</v>
      </c>
      <c r="E392" s="11" t="s">
        <v>84</v>
      </c>
      <c r="F392" s="14" t="str">
        <f aca="false">IFERROR(VLOOKUP(C392,Ingredients!$B$6:$I$206,7,FALSE()),"?")</f>
        <v>ml</v>
      </c>
      <c r="G392" s="31" t="n">
        <f aca="false">IFERROR(VLOOKUP(C392,Ingredients!$B$6:$I$206,6,FALSE()),0)</f>
        <v>0.005</v>
      </c>
      <c r="H392" s="32" t="n">
        <f aca="false">IFERROR(D392*G392,0)</f>
        <v>0.15</v>
      </c>
    </row>
    <row r="393" customFormat="false" ht="15" hidden="false" customHeight="true" outlineLevel="0" collapsed="false">
      <c r="B393" s="14" t="n">
        <v>19</v>
      </c>
      <c r="C393" s="11" t="s">
        <v>115</v>
      </c>
      <c r="D393" s="17" t="n">
        <v>0.00125</v>
      </c>
      <c r="E393" s="11" t="s">
        <v>79</v>
      </c>
      <c r="F393" s="14" t="str">
        <f aca="false">IFERROR(VLOOKUP(C393,Ingredients!$B$6:$I$206,7,FALSE()),"?")</f>
        <v>kg</v>
      </c>
      <c r="G393" s="31" t="n">
        <f aca="false">IFERROR(VLOOKUP(C393,Ingredients!$B$6:$I$206,6,FALSE()),0)</f>
        <v>180</v>
      </c>
      <c r="H393" s="32" t="n">
        <f aca="false">IFERROR(D393*G393,0)</f>
        <v>0.225</v>
      </c>
    </row>
    <row r="394" customFormat="false" ht="15" hidden="false" customHeight="true" outlineLevel="0" collapsed="false">
      <c r="B394" s="14" t="n">
        <v>19</v>
      </c>
      <c r="C394" s="11" t="s">
        <v>63</v>
      </c>
      <c r="D394" s="17" t="n">
        <v>0.22</v>
      </c>
      <c r="E394" s="11" t="s">
        <v>65</v>
      </c>
      <c r="F394" s="14" t="str">
        <f aca="false">IFERROR(VLOOKUP(C394,Ingredients!$B$6:$I$206,7,FALSE()),"?")</f>
        <v>L</v>
      </c>
      <c r="G394" s="31" t="n">
        <f aca="false">IFERROR(VLOOKUP(C394,Ingredients!$B$6:$I$206,6,FALSE()),0)</f>
        <v>0.732745961820852</v>
      </c>
      <c r="H394" s="32" t="n">
        <f aca="false">IFERROR(D394*G394,0)</f>
        <v>0.161204111600587</v>
      </c>
    </row>
    <row r="395" customFormat="false" ht="15" hidden="false" customHeight="true" outlineLevel="0" collapsed="false">
      <c r="B395" s="14" t="n">
        <v>19</v>
      </c>
      <c r="C395" s="11" t="s">
        <v>134</v>
      </c>
      <c r="D395" s="17" t="n">
        <v>1</v>
      </c>
      <c r="E395" s="11" t="s">
        <v>112</v>
      </c>
      <c r="F395" s="14" t="str">
        <f aca="false">IFERROR(VLOOKUP(C395,Ingredients!$B$6:$I$206,7,FALSE()),"?")</f>
        <v>unit</v>
      </c>
      <c r="G395" s="31" t="n">
        <f aca="false">IFERROR(VLOOKUP(C395,Ingredients!$B$6:$I$206,6,FALSE()),0)</f>
        <v>0.09</v>
      </c>
      <c r="H395" s="32" t="n">
        <f aca="false">IFERROR(D395*G395,0)</f>
        <v>0.09</v>
      </c>
    </row>
    <row r="396" customFormat="false" ht="15" hidden="false" customHeight="true" outlineLevel="0" collapsed="false">
      <c r="B396" s="14" t="n">
        <v>19</v>
      </c>
      <c r="C396" s="11" t="s">
        <v>136</v>
      </c>
      <c r="D396" s="17" t="n">
        <v>1</v>
      </c>
      <c r="E396" s="11" t="s">
        <v>112</v>
      </c>
      <c r="F396" s="14" t="str">
        <f aca="false">IFERROR(VLOOKUP(C396,Ingredients!$B$6:$I$206,7,FALSE()),"?")</f>
        <v>unit</v>
      </c>
      <c r="G396" s="31" t="n">
        <f aca="false">IFERROR(VLOOKUP(C396,Ingredients!$B$6:$I$206,6,FALSE()),0)</f>
        <v>0.03</v>
      </c>
      <c r="H396" s="32" t="n">
        <f aca="false">IFERROR(D396*G396,0)</f>
        <v>0.03</v>
      </c>
    </row>
    <row r="397" customFormat="false" ht="15" hidden="false" customHeight="true" outlineLevel="0" collapsed="false">
      <c r="B397" s="14" t="n">
        <v>19</v>
      </c>
      <c r="C397" s="11" t="s">
        <v>82</v>
      </c>
      <c r="D397" s="17" t="n">
        <v>30</v>
      </c>
      <c r="E397" s="11" t="s">
        <v>84</v>
      </c>
      <c r="F397" s="14" t="str">
        <f aca="false">IFERROR(VLOOKUP(C397,Ingredients!$B$6:$I$206,7,FALSE()),"?")</f>
        <v>ml</v>
      </c>
      <c r="G397" s="31" t="n">
        <f aca="false">IFERROR(VLOOKUP(C397,Ingredients!$B$6:$I$206,6,FALSE()),0)</f>
        <v>0.005</v>
      </c>
      <c r="H397" s="32" t="n">
        <f aca="false">IFERROR(D397*G397,0)</f>
        <v>0.15</v>
      </c>
    </row>
    <row r="398" customFormat="false" ht="15" hidden="false" customHeight="true" outlineLevel="0" collapsed="false">
      <c r="B398" s="14" t="n">
        <v>20</v>
      </c>
      <c r="C398" s="11" t="s">
        <v>115</v>
      </c>
      <c r="D398" s="17" t="n">
        <v>0.00125</v>
      </c>
      <c r="E398" s="11" t="s">
        <v>79</v>
      </c>
      <c r="F398" s="14" t="str">
        <f aca="false">IFERROR(VLOOKUP(C398,Ingredients!$B$6:$I$206,7,FALSE()),"?")</f>
        <v>kg</v>
      </c>
      <c r="G398" s="31" t="n">
        <f aca="false">IFERROR(VLOOKUP(C398,Ingredients!$B$6:$I$206,6,FALSE()),0)</f>
        <v>180</v>
      </c>
      <c r="H398" s="32" t="n">
        <f aca="false">IFERROR(D398*G398,0)</f>
        <v>0.225</v>
      </c>
    </row>
    <row r="399" customFormat="false" ht="15" hidden="false" customHeight="true" outlineLevel="0" collapsed="false">
      <c r="B399" s="14" t="n">
        <v>20</v>
      </c>
      <c r="C399" s="11" t="s">
        <v>63</v>
      </c>
      <c r="D399" s="17" t="n">
        <v>0.46</v>
      </c>
      <c r="E399" s="11" t="s">
        <v>65</v>
      </c>
      <c r="F399" s="14" t="str">
        <f aca="false">IFERROR(VLOOKUP(C399,Ingredients!$B$6:$I$206,7,FALSE()),"?")</f>
        <v>L</v>
      </c>
      <c r="G399" s="31" t="n">
        <f aca="false">IFERROR(VLOOKUP(C399,Ingredients!$B$6:$I$206,6,FALSE()),0)</f>
        <v>0.732745961820852</v>
      </c>
      <c r="H399" s="32" t="n">
        <f aca="false">IFERROR(D399*G399,0)</f>
        <v>0.337063142437592</v>
      </c>
    </row>
    <row r="400" customFormat="false" ht="15" hidden="false" customHeight="true" outlineLevel="0" collapsed="false">
      <c r="B400" s="14" t="n">
        <v>20</v>
      </c>
      <c r="C400" s="11" t="s">
        <v>142</v>
      </c>
      <c r="D400" s="17" t="n">
        <v>1</v>
      </c>
      <c r="E400" s="11" t="s">
        <v>112</v>
      </c>
      <c r="F400" s="14" t="str">
        <f aca="false">IFERROR(VLOOKUP(C400,Ingredients!$B$6:$I$206,7,FALSE()),"?")</f>
        <v>unit</v>
      </c>
      <c r="G400" s="31" t="n">
        <f aca="false">IFERROR(VLOOKUP(C400,Ingredients!$B$6:$I$206,6,FALSE()),0)</f>
        <v>0.14</v>
      </c>
      <c r="H400" s="32" t="n">
        <f aca="false">IFERROR(D400*G400,0)</f>
        <v>0.14</v>
      </c>
    </row>
    <row r="401" customFormat="false" ht="15" hidden="false" customHeight="true" outlineLevel="0" collapsed="false">
      <c r="B401" s="14" t="n">
        <v>20</v>
      </c>
      <c r="C401" s="11" t="s">
        <v>144</v>
      </c>
      <c r="D401" s="17" t="n">
        <v>1</v>
      </c>
      <c r="E401" s="11" t="s">
        <v>112</v>
      </c>
      <c r="F401" s="14" t="str">
        <f aca="false">IFERROR(VLOOKUP(C401,Ingredients!$B$6:$I$206,7,FALSE()),"?")</f>
        <v>unit</v>
      </c>
      <c r="G401" s="31" t="n">
        <f aca="false">IFERROR(VLOOKUP(C401,Ingredients!$B$6:$I$206,6,FALSE()),0)</f>
        <v>0.03</v>
      </c>
      <c r="H401" s="32" t="n">
        <f aca="false">IFERROR(D401*G401,0)</f>
        <v>0.03</v>
      </c>
    </row>
    <row r="402" customFormat="false" ht="15" hidden="false" customHeight="true" outlineLevel="0" collapsed="false">
      <c r="B402" s="14" t="n">
        <v>20</v>
      </c>
      <c r="C402" s="11" t="s">
        <v>82</v>
      </c>
      <c r="D402" s="17" t="n">
        <v>30</v>
      </c>
      <c r="E402" s="11" t="s">
        <v>84</v>
      </c>
      <c r="F402" s="14" t="str">
        <f aca="false">IFERROR(VLOOKUP(C402,Ingredients!$B$6:$I$206,7,FALSE()),"?")</f>
        <v>ml</v>
      </c>
      <c r="G402" s="31" t="n">
        <f aca="false">IFERROR(VLOOKUP(C402,Ingredients!$B$6:$I$206,6,FALSE()),0)</f>
        <v>0.005</v>
      </c>
      <c r="H402" s="32" t="n">
        <f aca="false">IFERROR(D402*G402,0)</f>
        <v>0.15</v>
      </c>
    </row>
    <row r="403" customFormat="false" ht="15" hidden="false" customHeight="true" outlineLevel="0" collapsed="false">
      <c r="B403" s="14" t="n">
        <v>21</v>
      </c>
      <c r="C403" s="11" t="s">
        <v>77</v>
      </c>
      <c r="D403" s="17" t="n">
        <v>0.036</v>
      </c>
      <c r="E403" s="11" t="s">
        <v>79</v>
      </c>
      <c r="F403" s="14" t="str">
        <f aca="false">IFERROR(VLOOKUP(C403,Ingredients!$B$6:$I$206,7,FALSE()),"?")</f>
        <v>kg</v>
      </c>
      <c r="G403" s="31" t="n">
        <f aca="false">IFERROR(VLOOKUP(C403,Ingredients!$B$6:$I$206,6,FALSE()),0)</f>
        <v>16.25</v>
      </c>
      <c r="H403" s="32" t="n">
        <f aca="false">IFERROR(D403*G403,0)</f>
        <v>0.585</v>
      </c>
    </row>
    <row r="404" customFormat="false" ht="15" hidden="false" customHeight="true" outlineLevel="0" collapsed="false">
      <c r="B404" s="14" t="n">
        <v>21</v>
      </c>
      <c r="C404" s="11" t="s">
        <v>63</v>
      </c>
      <c r="D404" s="17" t="n">
        <v>0.3</v>
      </c>
      <c r="E404" s="11" t="s">
        <v>65</v>
      </c>
      <c r="F404" s="14" t="str">
        <f aca="false">IFERROR(VLOOKUP(C404,Ingredients!$B$6:$I$206,7,FALSE()),"?")</f>
        <v>L</v>
      </c>
      <c r="G404" s="31" t="n">
        <f aca="false">IFERROR(VLOOKUP(C404,Ingredients!$B$6:$I$206,6,FALSE()),0)</f>
        <v>0.732745961820852</v>
      </c>
      <c r="H404" s="32" t="n">
        <f aca="false">IFERROR(D404*G404,0)</f>
        <v>0.219823788546256</v>
      </c>
    </row>
    <row r="405" customFormat="false" ht="15" hidden="false" customHeight="true" outlineLevel="0" collapsed="false">
      <c r="B405" s="14" t="n">
        <v>21</v>
      </c>
      <c r="C405" s="11" t="s">
        <v>95</v>
      </c>
      <c r="D405" s="17" t="n">
        <v>30</v>
      </c>
      <c r="E405" s="11" t="s">
        <v>84</v>
      </c>
      <c r="F405" s="14" t="str">
        <f aca="false">IFERROR(VLOOKUP(C405,Ingredients!$B$6:$I$206,7,FALSE()),"?")</f>
        <v>ml</v>
      </c>
      <c r="G405" s="31" t="n">
        <f aca="false">IFERROR(VLOOKUP(C405,Ingredients!$B$6:$I$206,6,FALSE()),0)</f>
        <v>0.005</v>
      </c>
      <c r="H405" s="32" t="n">
        <f aca="false">IFERROR(D405*G405,0)</f>
        <v>0.15</v>
      </c>
    </row>
    <row r="406" customFormat="false" ht="15" hidden="false" customHeight="true" outlineLevel="0" collapsed="false">
      <c r="B406" s="14" t="n">
        <v>21</v>
      </c>
      <c r="C406" s="11" t="s">
        <v>138</v>
      </c>
      <c r="D406" s="17" t="n">
        <v>1</v>
      </c>
      <c r="E406" s="11" t="s">
        <v>112</v>
      </c>
      <c r="F406" s="14" t="str">
        <f aca="false">IFERROR(VLOOKUP(C406,Ingredients!$B$6:$I$206,7,FALSE()),"?")</f>
        <v>unit</v>
      </c>
      <c r="G406" s="31" t="n">
        <f aca="false">IFERROR(VLOOKUP(C406,Ingredients!$B$6:$I$206,6,FALSE()),0)</f>
        <v>0.11</v>
      </c>
      <c r="H406" s="32" t="n">
        <f aca="false">IFERROR(D406*G406,0)</f>
        <v>0.11</v>
      </c>
    </row>
    <row r="407" customFormat="false" ht="15" hidden="false" customHeight="true" outlineLevel="0" collapsed="false">
      <c r="B407" s="14" t="n">
        <v>21</v>
      </c>
      <c r="C407" s="11" t="s">
        <v>140</v>
      </c>
      <c r="D407" s="17" t="n">
        <v>1</v>
      </c>
      <c r="E407" s="11" t="s">
        <v>112</v>
      </c>
      <c r="F407" s="14" t="str">
        <f aca="false">IFERROR(VLOOKUP(C407,Ingredients!$B$6:$I$206,7,FALSE()),"?")</f>
        <v>unit</v>
      </c>
      <c r="G407" s="31" t="n">
        <f aca="false">IFERROR(VLOOKUP(C407,Ingredients!$B$6:$I$206,6,FALSE()),0)</f>
        <v>0.03</v>
      </c>
      <c r="H407" s="32" t="n">
        <f aca="false">IFERROR(D407*G407,0)</f>
        <v>0.03</v>
      </c>
    </row>
    <row r="408" customFormat="false" ht="15" hidden="false" customHeight="true" outlineLevel="0" collapsed="false">
      <c r="B408" s="14" t="n">
        <v>22</v>
      </c>
      <c r="C408" s="11" t="s">
        <v>77</v>
      </c>
      <c r="D408" s="17" t="n">
        <v>0.036</v>
      </c>
      <c r="E408" s="11" t="s">
        <v>79</v>
      </c>
      <c r="F408" s="14" t="str">
        <f aca="false">IFERROR(VLOOKUP(C408,Ingredients!$B$6:$I$206,7,FALSE()),"?")</f>
        <v>kg</v>
      </c>
      <c r="G408" s="31" t="n">
        <f aca="false">IFERROR(VLOOKUP(C408,Ingredients!$B$6:$I$206,6,FALSE()),0)</f>
        <v>16.25</v>
      </c>
      <c r="H408" s="32" t="n">
        <f aca="false">IFERROR(D408*G408,0)</f>
        <v>0.585</v>
      </c>
    </row>
    <row r="409" customFormat="false" ht="15" hidden="false" customHeight="true" outlineLevel="0" collapsed="false">
      <c r="B409" s="14" t="n">
        <v>22</v>
      </c>
      <c r="C409" s="11" t="s">
        <v>63</v>
      </c>
      <c r="D409" s="17" t="n">
        <v>0.18</v>
      </c>
      <c r="E409" s="11" t="s">
        <v>65</v>
      </c>
      <c r="F409" s="14" t="str">
        <f aca="false">IFERROR(VLOOKUP(C409,Ingredients!$B$6:$I$206,7,FALSE()),"?")</f>
        <v>L</v>
      </c>
      <c r="G409" s="31" t="n">
        <f aca="false">IFERROR(VLOOKUP(C409,Ingredients!$B$6:$I$206,6,FALSE()),0)</f>
        <v>0.732745961820852</v>
      </c>
      <c r="H409" s="32" t="n">
        <f aca="false">IFERROR(D409*G409,0)</f>
        <v>0.131894273127753</v>
      </c>
    </row>
    <row r="410" customFormat="false" ht="15" hidden="false" customHeight="true" outlineLevel="0" collapsed="false">
      <c r="B410" s="14" t="n">
        <v>22</v>
      </c>
      <c r="C410" s="11" t="s">
        <v>95</v>
      </c>
      <c r="D410" s="17" t="n">
        <v>30</v>
      </c>
      <c r="E410" s="11" t="s">
        <v>84</v>
      </c>
      <c r="F410" s="14" t="str">
        <f aca="false">IFERROR(VLOOKUP(C410,Ingredients!$B$6:$I$206,7,FALSE()),"?")</f>
        <v>ml</v>
      </c>
      <c r="G410" s="31" t="n">
        <f aca="false">IFERROR(VLOOKUP(C410,Ingredients!$B$6:$I$206,6,FALSE()),0)</f>
        <v>0.005</v>
      </c>
      <c r="H410" s="32" t="n">
        <f aca="false">IFERROR(D410*G410,0)</f>
        <v>0.15</v>
      </c>
    </row>
    <row r="411" customFormat="false" ht="15" hidden="false" customHeight="true" outlineLevel="0" collapsed="false">
      <c r="B411" s="14" t="n">
        <v>22</v>
      </c>
      <c r="C411" s="11" t="s">
        <v>134</v>
      </c>
      <c r="D411" s="17" t="n">
        <v>1</v>
      </c>
      <c r="E411" s="11" t="s">
        <v>112</v>
      </c>
      <c r="F411" s="14" t="str">
        <f aca="false">IFERROR(VLOOKUP(C411,Ingredients!$B$6:$I$206,7,FALSE()),"?")</f>
        <v>unit</v>
      </c>
      <c r="G411" s="31" t="n">
        <f aca="false">IFERROR(VLOOKUP(C411,Ingredients!$B$6:$I$206,6,FALSE()),0)</f>
        <v>0.09</v>
      </c>
      <c r="H411" s="32" t="n">
        <f aca="false">IFERROR(D411*G411,0)</f>
        <v>0.09</v>
      </c>
    </row>
    <row r="412" customFormat="false" ht="15" hidden="false" customHeight="true" outlineLevel="0" collapsed="false">
      <c r="B412" s="14" t="n">
        <v>22</v>
      </c>
      <c r="C412" s="11" t="s">
        <v>136</v>
      </c>
      <c r="D412" s="17" t="n">
        <v>1</v>
      </c>
      <c r="E412" s="11" t="s">
        <v>112</v>
      </c>
      <c r="F412" s="14" t="str">
        <f aca="false">IFERROR(VLOOKUP(C412,Ingredients!$B$6:$I$206,7,FALSE()),"?")</f>
        <v>unit</v>
      </c>
      <c r="G412" s="31" t="n">
        <f aca="false">IFERROR(VLOOKUP(C412,Ingredients!$B$6:$I$206,6,FALSE()),0)</f>
        <v>0.03</v>
      </c>
      <c r="H412" s="32" t="n">
        <f aca="false">IFERROR(D412*G412,0)</f>
        <v>0.03</v>
      </c>
    </row>
    <row r="413" customFormat="false" ht="15" hidden="false" customHeight="true" outlineLevel="0" collapsed="false">
      <c r="B413" s="14" t="n">
        <v>23</v>
      </c>
      <c r="C413" s="11" t="s">
        <v>77</v>
      </c>
      <c r="D413" s="17" t="n">
        <v>0.072</v>
      </c>
      <c r="E413" s="11" t="s">
        <v>79</v>
      </c>
      <c r="F413" s="14" t="str">
        <f aca="false">IFERROR(VLOOKUP(C413,Ingredients!$B$6:$I$206,7,FALSE()),"?")</f>
        <v>kg</v>
      </c>
      <c r="G413" s="31" t="n">
        <f aca="false">IFERROR(VLOOKUP(C413,Ingredients!$B$6:$I$206,6,FALSE()),0)</f>
        <v>16.25</v>
      </c>
      <c r="H413" s="32" t="n">
        <f aca="false">IFERROR(D413*G413,0)</f>
        <v>1.17</v>
      </c>
    </row>
    <row r="414" customFormat="false" ht="15" hidden="false" customHeight="true" outlineLevel="0" collapsed="false">
      <c r="B414" s="14" t="n">
        <v>23</v>
      </c>
      <c r="C414" s="11" t="s">
        <v>63</v>
      </c>
      <c r="D414" s="17" t="n">
        <v>0.36</v>
      </c>
      <c r="E414" s="11" t="s">
        <v>65</v>
      </c>
      <c r="F414" s="14" t="str">
        <f aca="false">IFERROR(VLOOKUP(C414,Ingredients!$B$6:$I$206,7,FALSE()),"?")</f>
        <v>L</v>
      </c>
      <c r="G414" s="31" t="n">
        <f aca="false">IFERROR(VLOOKUP(C414,Ingredients!$B$6:$I$206,6,FALSE()),0)</f>
        <v>0.732745961820852</v>
      </c>
      <c r="H414" s="32" t="n">
        <f aca="false">IFERROR(D414*G414,0)</f>
        <v>0.263788546255507</v>
      </c>
    </row>
    <row r="415" customFormat="false" ht="15" hidden="false" customHeight="true" outlineLevel="0" collapsed="false">
      <c r="B415" s="14" t="n">
        <v>23</v>
      </c>
      <c r="C415" s="11" t="s">
        <v>95</v>
      </c>
      <c r="D415" s="17" t="n">
        <v>30</v>
      </c>
      <c r="E415" s="11" t="s">
        <v>84</v>
      </c>
      <c r="F415" s="14" t="str">
        <f aca="false">IFERROR(VLOOKUP(C415,Ingredients!$B$6:$I$206,7,FALSE()),"?")</f>
        <v>ml</v>
      </c>
      <c r="G415" s="31" t="n">
        <f aca="false">IFERROR(VLOOKUP(C415,Ingredients!$B$6:$I$206,6,FALSE()),0)</f>
        <v>0.005</v>
      </c>
      <c r="H415" s="32" t="n">
        <f aca="false">IFERROR(D415*G415,0)</f>
        <v>0.15</v>
      </c>
    </row>
    <row r="416" customFormat="false" ht="15" hidden="false" customHeight="true" outlineLevel="0" collapsed="false">
      <c r="B416" s="14" t="n">
        <v>23</v>
      </c>
      <c r="C416" s="11" t="s">
        <v>142</v>
      </c>
      <c r="D416" s="17" t="n">
        <v>1</v>
      </c>
      <c r="E416" s="11" t="s">
        <v>112</v>
      </c>
      <c r="F416" s="14" t="str">
        <f aca="false">IFERROR(VLOOKUP(C416,Ingredients!$B$6:$I$206,7,FALSE()),"?")</f>
        <v>unit</v>
      </c>
      <c r="G416" s="31" t="n">
        <f aca="false">IFERROR(VLOOKUP(C416,Ingredients!$B$6:$I$206,6,FALSE()),0)</f>
        <v>0.14</v>
      </c>
      <c r="H416" s="32" t="n">
        <f aca="false">IFERROR(D416*G416,0)</f>
        <v>0.14</v>
      </c>
    </row>
    <row r="417" customFormat="false" ht="15" hidden="false" customHeight="true" outlineLevel="0" collapsed="false">
      <c r="B417" s="14" t="n">
        <v>23</v>
      </c>
      <c r="C417" s="11" t="s">
        <v>144</v>
      </c>
      <c r="D417" s="17" t="n">
        <v>1</v>
      </c>
      <c r="E417" s="11" t="s">
        <v>112</v>
      </c>
      <c r="F417" s="14" t="str">
        <f aca="false">IFERROR(VLOOKUP(C417,Ingredients!$B$6:$I$206,7,FALSE()),"?")</f>
        <v>unit</v>
      </c>
      <c r="G417" s="31" t="n">
        <f aca="false">IFERROR(VLOOKUP(C417,Ingredients!$B$6:$I$206,6,FALSE()),0)</f>
        <v>0.03</v>
      </c>
      <c r="H417" s="32" t="n">
        <f aca="false">IFERROR(D417*G417,0)</f>
        <v>0.03</v>
      </c>
    </row>
    <row r="418" customFormat="false" ht="15" hidden="false" customHeight="true" outlineLevel="0" collapsed="false">
      <c r="B418" s="14" t="n">
        <v>24</v>
      </c>
      <c r="C418" s="11" t="s">
        <v>116</v>
      </c>
      <c r="D418" s="17" t="n">
        <v>0.03</v>
      </c>
      <c r="E418" s="11" t="s">
        <v>79</v>
      </c>
      <c r="F418" s="14" t="str">
        <f aca="false">IFERROR(VLOOKUP(C418,Ingredients!$B$6:$I$206,7,FALSE()),"?")</f>
        <v>kg</v>
      </c>
      <c r="G418" s="31" t="n">
        <f aca="false">IFERROR(VLOOKUP(C418,Ingredients!$B$6:$I$206,6,FALSE()),0)</f>
        <v>7</v>
      </c>
      <c r="H418" s="32" t="n">
        <f aca="false">IFERROR(D418*G418,0)</f>
        <v>0.21</v>
      </c>
    </row>
    <row r="419" customFormat="false" ht="15" hidden="false" customHeight="true" outlineLevel="0" collapsed="false">
      <c r="B419" s="14" t="n">
        <v>24</v>
      </c>
      <c r="C419" s="11" t="s">
        <v>63</v>
      </c>
      <c r="D419" s="17" t="n">
        <v>0.34</v>
      </c>
      <c r="E419" s="11" t="s">
        <v>65</v>
      </c>
      <c r="F419" s="14" t="str">
        <f aca="false">IFERROR(VLOOKUP(C419,Ingredients!$B$6:$I$206,7,FALSE()),"?")</f>
        <v>L</v>
      </c>
      <c r="G419" s="31" t="n">
        <f aca="false">IFERROR(VLOOKUP(C419,Ingredients!$B$6:$I$206,6,FALSE()),0)</f>
        <v>0.732745961820852</v>
      </c>
      <c r="H419" s="32" t="n">
        <f aca="false">IFERROR(D419*G419,0)</f>
        <v>0.24913362701909</v>
      </c>
    </row>
    <row r="420" customFormat="false" ht="15" hidden="false" customHeight="true" outlineLevel="0" collapsed="false">
      <c r="B420" s="14" t="n">
        <v>24</v>
      </c>
      <c r="C420" s="11" t="s">
        <v>138</v>
      </c>
      <c r="D420" s="17" t="n">
        <v>1</v>
      </c>
      <c r="E420" s="11" t="s">
        <v>112</v>
      </c>
      <c r="F420" s="14" t="str">
        <f aca="false">IFERROR(VLOOKUP(C420,Ingredients!$B$6:$I$206,7,FALSE()),"?")</f>
        <v>unit</v>
      </c>
      <c r="G420" s="31" t="n">
        <f aca="false">IFERROR(VLOOKUP(C420,Ingredients!$B$6:$I$206,6,FALSE()),0)</f>
        <v>0.11</v>
      </c>
      <c r="H420" s="32" t="n">
        <f aca="false">IFERROR(D420*G420,0)</f>
        <v>0.11</v>
      </c>
    </row>
    <row r="421" customFormat="false" ht="15" hidden="false" customHeight="true" outlineLevel="0" collapsed="false">
      <c r="B421" s="14" t="n">
        <v>24</v>
      </c>
      <c r="C421" s="11" t="s">
        <v>140</v>
      </c>
      <c r="D421" s="17" t="n">
        <v>1</v>
      </c>
      <c r="E421" s="11" t="s">
        <v>112</v>
      </c>
      <c r="F421" s="14" t="str">
        <f aca="false">IFERROR(VLOOKUP(C421,Ingredients!$B$6:$I$206,7,FALSE()),"?")</f>
        <v>unit</v>
      </c>
      <c r="G421" s="31" t="n">
        <f aca="false">IFERROR(VLOOKUP(C421,Ingredients!$B$6:$I$206,6,FALSE()),0)</f>
        <v>0.03</v>
      </c>
      <c r="H421" s="32" t="n">
        <f aca="false">IFERROR(D421*G421,0)</f>
        <v>0.03</v>
      </c>
    </row>
    <row r="422" customFormat="false" ht="15" hidden="false" customHeight="true" outlineLevel="0" collapsed="false">
      <c r="B422" s="14" t="n">
        <v>25</v>
      </c>
      <c r="C422" s="11" t="s">
        <v>116</v>
      </c>
      <c r="D422" s="17" t="n">
        <v>0.02</v>
      </c>
      <c r="E422" s="11" t="s">
        <v>79</v>
      </c>
      <c r="F422" s="14" t="str">
        <f aca="false">IFERROR(VLOOKUP(C422,Ingredients!$B$6:$I$206,7,FALSE()),"?")</f>
        <v>kg</v>
      </c>
      <c r="G422" s="31" t="n">
        <f aca="false">IFERROR(VLOOKUP(C422,Ingredients!$B$6:$I$206,6,FALSE()),0)</f>
        <v>7</v>
      </c>
      <c r="H422" s="32" t="n">
        <f aca="false">IFERROR(D422*G422,0)</f>
        <v>0.14</v>
      </c>
    </row>
    <row r="423" customFormat="false" ht="15" hidden="false" customHeight="true" outlineLevel="0" collapsed="false">
      <c r="B423" s="14" t="n">
        <v>25</v>
      </c>
      <c r="C423" s="11" t="s">
        <v>63</v>
      </c>
      <c r="D423" s="17" t="n">
        <v>0.22</v>
      </c>
      <c r="E423" s="11" t="s">
        <v>65</v>
      </c>
      <c r="F423" s="14" t="str">
        <f aca="false">IFERROR(VLOOKUP(C423,Ingredients!$B$6:$I$206,7,FALSE()),"?")</f>
        <v>L</v>
      </c>
      <c r="G423" s="31" t="n">
        <f aca="false">IFERROR(VLOOKUP(C423,Ingredients!$B$6:$I$206,6,FALSE()),0)</f>
        <v>0.732745961820852</v>
      </c>
      <c r="H423" s="32" t="n">
        <f aca="false">IFERROR(D423*G423,0)</f>
        <v>0.161204111600587</v>
      </c>
    </row>
    <row r="424" customFormat="false" ht="15" hidden="false" customHeight="true" outlineLevel="0" collapsed="false">
      <c r="B424" s="14" t="n">
        <v>25</v>
      </c>
      <c r="C424" s="11" t="s">
        <v>134</v>
      </c>
      <c r="D424" s="17" t="n">
        <v>1</v>
      </c>
      <c r="E424" s="11" t="s">
        <v>112</v>
      </c>
      <c r="F424" s="14" t="str">
        <f aca="false">IFERROR(VLOOKUP(C424,Ingredients!$B$6:$I$206,7,FALSE()),"?")</f>
        <v>unit</v>
      </c>
      <c r="G424" s="31" t="n">
        <f aca="false">IFERROR(VLOOKUP(C424,Ingredients!$B$6:$I$206,6,FALSE()),0)</f>
        <v>0.09</v>
      </c>
      <c r="H424" s="32" t="n">
        <f aca="false">IFERROR(D424*G424,0)</f>
        <v>0.09</v>
      </c>
    </row>
    <row r="425" customFormat="false" ht="15" hidden="false" customHeight="true" outlineLevel="0" collapsed="false">
      <c r="B425" s="14" t="n">
        <v>25</v>
      </c>
      <c r="C425" s="11" t="s">
        <v>136</v>
      </c>
      <c r="D425" s="17" t="n">
        <v>1</v>
      </c>
      <c r="E425" s="11" t="s">
        <v>112</v>
      </c>
      <c r="F425" s="14" t="str">
        <f aca="false">IFERROR(VLOOKUP(C425,Ingredients!$B$6:$I$206,7,FALSE()),"?")</f>
        <v>unit</v>
      </c>
      <c r="G425" s="31" t="n">
        <f aca="false">IFERROR(VLOOKUP(C425,Ingredients!$B$6:$I$206,6,FALSE()),0)</f>
        <v>0.03</v>
      </c>
      <c r="H425" s="32" t="n">
        <f aca="false">IFERROR(D425*G425,0)</f>
        <v>0.03</v>
      </c>
    </row>
    <row r="426" customFormat="false" ht="15" hidden="false" customHeight="true" outlineLevel="0" collapsed="false">
      <c r="B426" s="14" t="n">
        <v>26</v>
      </c>
      <c r="C426" s="11" t="s">
        <v>116</v>
      </c>
      <c r="D426" s="17" t="n">
        <v>0.04</v>
      </c>
      <c r="E426" s="11" t="s">
        <v>79</v>
      </c>
      <c r="F426" s="14" t="str">
        <f aca="false">IFERROR(VLOOKUP(C426,Ingredients!$B$6:$I$206,7,FALSE()),"?")</f>
        <v>kg</v>
      </c>
      <c r="G426" s="31" t="n">
        <f aca="false">IFERROR(VLOOKUP(C426,Ingredients!$B$6:$I$206,6,FALSE()),0)</f>
        <v>7</v>
      </c>
      <c r="H426" s="32" t="n">
        <f aca="false">IFERROR(D426*G426,0)</f>
        <v>0.28</v>
      </c>
    </row>
    <row r="427" customFormat="false" ht="15" hidden="false" customHeight="true" outlineLevel="0" collapsed="false">
      <c r="B427" s="14" t="n">
        <v>26</v>
      </c>
      <c r="C427" s="11" t="s">
        <v>63</v>
      </c>
      <c r="D427" s="17" t="n">
        <v>0.46</v>
      </c>
      <c r="E427" s="11" t="s">
        <v>65</v>
      </c>
      <c r="F427" s="14" t="str">
        <f aca="false">IFERROR(VLOOKUP(C427,Ingredients!$B$6:$I$206,7,FALSE()),"?")</f>
        <v>L</v>
      </c>
      <c r="G427" s="31" t="n">
        <f aca="false">IFERROR(VLOOKUP(C427,Ingredients!$B$6:$I$206,6,FALSE()),0)</f>
        <v>0.732745961820852</v>
      </c>
      <c r="H427" s="32" t="n">
        <f aca="false">IFERROR(D427*G427,0)</f>
        <v>0.337063142437592</v>
      </c>
    </row>
    <row r="428" customFormat="false" ht="15" hidden="false" customHeight="true" outlineLevel="0" collapsed="false">
      <c r="B428" s="14" t="n">
        <v>26</v>
      </c>
      <c r="C428" s="11" t="s">
        <v>142</v>
      </c>
      <c r="D428" s="17" t="n">
        <v>1</v>
      </c>
      <c r="E428" s="11" t="s">
        <v>112</v>
      </c>
      <c r="F428" s="14" t="str">
        <f aca="false">IFERROR(VLOOKUP(C428,Ingredients!$B$6:$I$206,7,FALSE()),"?")</f>
        <v>unit</v>
      </c>
      <c r="G428" s="31" t="n">
        <f aca="false">IFERROR(VLOOKUP(C428,Ingredients!$B$6:$I$206,6,FALSE()),0)</f>
        <v>0.14</v>
      </c>
      <c r="H428" s="32" t="n">
        <f aca="false">IFERROR(D428*G428,0)</f>
        <v>0.14</v>
      </c>
    </row>
    <row r="429" customFormat="false" ht="15" hidden="false" customHeight="true" outlineLevel="0" collapsed="false">
      <c r="B429" s="14" t="n">
        <v>26</v>
      </c>
      <c r="C429" s="11" t="s">
        <v>144</v>
      </c>
      <c r="D429" s="17" t="n">
        <v>1</v>
      </c>
      <c r="E429" s="11" t="s">
        <v>112</v>
      </c>
      <c r="F429" s="14" t="str">
        <f aca="false">IFERROR(VLOOKUP(C429,Ingredients!$B$6:$I$206,7,FALSE()),"?")</f>
        <v>unit</v>
      </c>
      <c r="G429" s="31" t="n">
        <f aca="false">IFERROR(VLOOKUP(C429,Ingredients!$B$6:$I$206,6,FALSE()),0)</f>
        <v>0.03</v>
      </c>
      <c r="H429" s="32" t="n">
        <f aca="false">IFERROR(D429*G429,0)</f>
        <v>0.03</v>
      </c>
    </row>
    <row r="430" customFormat="false" ht="15" hidden="false" customHeight="true" outlineLevel="0" collapsed="false">
      <c r="B430" s="14" t="n">
        <v>27</v>
      </c>
      <c r="C430" s="11" t="s">
        <v>77</v>
      </c>
      <c r="D430" s="17" t="n">
        <v>0.036</v>
      </c>
      <c r="E430" s="11" t="s">
        <v>79</v>
      </c>
      <c r="F430" s="14" t="str">
        <f aca="false">IFERROR(VLOOKUP(C430,Ingredients!$B$6:$I$206,7,FALSE()),"?")</f>
        <v>kg</v>
      </c>
      <c r="G430" s="31" t="n">
        <f aca="false">IFERROR(VLOOKUP(C430,Ingredients!$B$6:$I$206,6,FALSE()),0)</f>
        <v>16.25</v>
      </c>
      <c r="H430" s="32" t="n">
        <f aca="false">IFERROR(D430*G430,0)</f>
        <v>0.585</v>
      </c>
    </row>
    <row r="431" customFormat="false" ht="15" hidden="false" customHeight="true" outlineLevel="0" collapsed="false">
      <c r="B431" s="14" t="n">
        <v>27</v>
      </c>
      <c r="C431" s="11" t="s">
        <v>63</v>
      </c>
      <c r="D431" s="17" t="n">
        <v>0.3</v>
      </c>
      <c r="E431" s="11" t="s">
        <v>65</v>
      </c>
      <c r="F431" s="14" t="str">
        <f aca="false">IFERROR(VLOOKUP(C431,Ingredients!$B$6:$I$206,7,FALSE()),"?")</f>
        <v>L</v>
      </c>
      <c r="G431" s="31" t="n">
        <f aca="false">IFERROR(VLOOKUP(C431,Ingredients!$B$6:$I$206,6,FALSE()),0)</f>
        <v>0.732745961820852</v>
      </c>
      <c r="H431" s="32" t="n">
        <f aca="false">IFERROR(D431*G431,0)</f>
        <v>0.219823788546256</v>
      </c>
    </row>
    <row r="432" customFormat="false" ht="15" hidden="false" customHeight="true" outlineLevel="0" collapsed="false">
      <c r="B432" s="14" t="n">
        <v>27</v>
      </c>
      <c r="C432" s="11" t="s">
        <v>138</v>
      </c>
      <c r="D432" s="17" t="n">
        <v>1</v>
      </c>
      <c r="E432" s="11" t="s">
        <v>112</v>
      </c>
      <c r="F432" s="14" t="str">
        <f aca="false">IFERROR(VLOOKUP(C432,Ingredients!$B$6:$I$206,7,FALSE()),"?")</f>
        <v>unit</v>
      </c>
      <c r="G432" s="31" t="n">
        <f aca="false">IFERROR(VLOOKUP(C432,Ingredients!$B$6:$I$206,6,FALSE()),0)</f>
        <v>0.11</v>
      </c>
      <c r="H432" s="32" t="n">
        <f aca="false">IFERROR(D432*G432,0)</f>
        <v>0.11</v>
      </c>
    </row>
    <row r="433" customFormat="false" ht="15" hidden="false" customHeight="true" outlineLevel="0" collapsed="false">
      <c r="B433" s="14" t="n">
        <v>27</v>
      </c>
      <c r="C433" s="11" t="s">
        <v>140</v>
      </c>
      <c r="D433" s="17" t="n">
        <v>1</v>
      </c>
      <c r="E433" s="11" t="s">
        <v>112</v>
      </c>
      <c r="F433" s="14" t="str">
        <f aca="false">IFERROR(VLOOKUP(C433,Ingredients!$B$6:$I$206,7,FALSE()),"?")</f>
        <v>unit</v>
      </c>
      <c r="G433" s="31" t="n">
        <f aca="false">IFERROR(VLOOKUP(C433,Ingredients!$B$6:$I$206,6,FALSE()),0)</f>
        <v>0.03</v>
      </c>
      <c r="H433" s="32" t="n">
        <f aca="false">IFERROR(D433*G433,0)</f>
        <v>0.03</v>
      </c>
    </row>
    <row r="434" customFormat="false" ht="15" hidden="false" customHeight="true" outlineLevel="0" collapsed="false">
      <c r="B434" s="14" t="n">
        <v>28</v>
      </c>
      <c r="C434" s="11" t="s">
        <v>77</v>
      </c>
      <c r="D434" s="17" t="n">
        <v>0.036</v>
      </c>
      <c r="E434" s="11" t="s">
        <v>79</v>
      </c>
      <c r="F434" s="14" t="str">
        <f aca="false">IFERROR(VLOOKUP(C434,Ingredients!$B$6:$I$206,7,FALSE()),"?")</f>
        <v>kg</v>
      </c>
      <c r="G434" s="31" t="n">
        <f aca="false">IFERROR(VLOOKUP(C434,Ingredients!$B$6:$I$206,6,FALSE()),0)</f>
        <v>16.25</v>
      </c>
      <c r="H434" s="32" t="n">
        <f aca="false">IFERROR(D434*G434,0)</f>
        <v>0.585</v>
      </c>
    </row>
    <row r="435" customFormat="false" ht="15" hidden="false" customHeight="true" outlineLevel="0" collapsed="false">
      <c r="B435" s="14" t="n">
        <v>28</v>
      </c>
      <c r="C435" s="11" t="s">
        <v>63</v>
      </c>
      <c r="D435" s="17" t="n">
        <v>0.18</v>
      </c>
      <c r="E435" s="11" t="s">
        <v>65</v>
      </c>
      <c r="F435" s="14" t="str">
        <f aca="false">IFERROR(VLOOKUP(C435,Ingredients!$B$6:$I$206,7,FALSE()),"?")</f>
        <v>L</v>
      </c>
      <c r="G435" s="31" t="n">
        <f aca="false">IFERROR(VLOOKUP(C435,Ingredients!$B$6:$I$206,6,FALSE()),0)</f>
        <v>0.732745961820852</v>
      </c>
      <c r="H435" s="32" t="n">
        <f aca="false">IFERROR(D435*G435,0)</f>
        <v>0.131894273127753</v>
      </c>
    </row>
    <row r="436" customFormat="false" ht="15" hidden="false" customHeight="true" outlineLevel="0" collapsed="false">
      <c r="B436" s="14" t="n">
        <v>28</v>
      </c>
      <c r="C436" s="11" t="s">
        <v>134</v>
      </c>
      <c r="D436" s="17" t="n">
        <v>1</v>
      </c>
      <c r="E436" s="11" t="s">
        <v>112</v>
      </c>
      <c r="F436" s="14" t="str">
        <f aca="false">IFERROR(VLOOKUP(C436,Ingredients!$B$6:$I$206,7,FALSE()),"?")</f>
        <v>unit</v>
      </c>
      <c r="G436" s="31" t="n">
        <f aca="false">IFERROR(VLOOKUP(C436,Ingredients!$B$6:$I$206,6,FALSE()),0)</f>
        <v>0.09</v>
      </c>
      <c r="H436" s="32" t="n">
        <f aca="false">IFERROR(D436*G436,0)</f>
        <v>0.09</v>
      </c>
    </row>
    <row r="437" customFormat="false" ht="15" hidden="false" customHeight="true" outlineLevel="0" collapsed="false">
      <c r="B437" s="14" t="n">
        <v>28</v>
      </c>
      <c r="C437" s="11" t="s">
        <v>136</v>
      </c>
      <c r="D437" s="17" t="n">
        <v>1</v>
      </c>
      <c r="E437" s="11" t="s">
        <v>112</v>
      </c>
      <c r="F437" s="14" t="str">
        <f aca="false">IFERROR(VLOOKUP(C437,Ingredients!$B$6:$I$206,7,FALSE()),"?")</f>
        <v>unit</v>
      </c>
      <c r="G437" s="31" t="n">
        <f aca="false">IFERROR(VLOOKUP(C437,Ingredients!$B$6:$I$206,6,FALSE()),0)</f>
        <v>0.03</v>
      </c>
      <c r="H437" s="32" t="n">
        <f aca="false">IFERROR(D437*G437,0)</f>
        <v>0.03</v>
      </c>
    </row>
    <row r="438" customFormat="false" ht="15" hidden="false" customHeight="true" outlineLevel="0" collapsed="false">
      <c r="B438" s="14" t="n">
        <v>29</v>
      </c>
      <c r="C438" s="11" t="s">
        <v>77</v>
      </c>
      <c r="D438" s="17" t="n">
        <v>0.072</v>
      </c>
      <c r="E438" s="11" t="s">
        <v>79</v>
      </c>
      <c r="F438" s="14" t="str">
        <f aca="false">IFERROR(VLOOKUP(C438,Ingredients!$B$6:$I$206,7,FALSE()),"?")</f>
        <v>kg</v>
      </c>
      <c r="G438" s="31" t="n">
        <f aca="false">IFERROR(VLOOKUP(C438,Ingredients!$B$6:$I$206,6,FALSE()),0)</f>
        <v>16.25</v>
      </c>
      <c r="H438" s="32" t="n">
        <f aca="false">IFERROR(D438*G438,0)</f>
        <v>1.17</v>
      </c>
    </row>
    <row r="439" customFormat="false" ht="15" hidden="false" customHeight="true" outlineLevel="0" collapsed="false">
      <c r="B439" s="14" t="n">
        <v>29</v>
      </c>
      <c r="C439" s="11" t="s">
        <v>63</v>
      </c>
      <c r="D439" s="17" t="n">
        <v>0.36</v>
      </c>
      <c r="E439" s="11" t="s">
        <v>65</v>
      </c>
      <c r="F439" s="14" t="str">
        <f aca="false">IFERROR(VLOOKUP(C439,Ingredients!$B$6:$I$206,7,FALSE()),"?")</f>
        <v>L</v>
      </c>
      <c r="G439" s="31" t="n">
        <f aca="false">IFERROR(VLOOKUP(C439,Ingredients!$B$6:$I$206,6,FALSE()),0)</f>
        <v>0.732745961820852</v>
      </c>
      <c r="H439" s="32" t="n">
        <f aca="false">IFERROR(D439*G439,0)</f>
        <v>0.263788546255507</v>
      </c>
    </row>
    <row r="440" customFormat="false" ht="15" hidden="false" customHeight="true" outlineLevel="0" collapsed="false">
      <c r="B440" s="14" t="n">
        <v>29</v>
      </c>
      <c r="C440" s="11" t="s">
        <v>142</v>
      </c>
      <c r="D440" s="17" t="n">
        <v>1</v>
      </c>
      <c r="E440" s="11" t="s">
        <v>112</v>
      </c>
      <c r="F440" s="14" t="str">
        <f aca="false">IFERROR(VLOOKUP(C440,Ingredients!$B$6:$I$206,7,FALSE()),"?")</f>
        <v>unit</v>
      </c>
      <c r="G440" s="31" t="n">
        <f aca="false">IFERROR(VLOOKUP(C440,Ingredients!$B$6:$I$206,6,FALSE()),0)</f>
        <v>0.14</v>
      </c>
      <c r="H440" s="32" t="n">
        <f aca="false">IFERROR(D440*G440,0)</f>
        <v>0.14</v>
      </c>
    </row>
    <row r="441" customFormat="false" ht="15" hidden="false" customHeight="true" outlineLevel="0" collapsed="false">
      <c r="B441" s="14" t="n">
        <v>29</v>
      </c>
      <c r="C441" s="11" t="s">
        <v>144</v>
      </c>
      <c r="D441" s="17" t="n">
        <v>1</v>
      </c>
      <c r="E441" s="11" t="s">
        <v>112</v>
      </c>
      <c r="F441" s="14" t="str">
        <f aca="false">IFERROR(VLOOKUP(C441,Ingredients!$B$6:$I$206,7,FALSE()),"?")</f>
        <v>unit</v>
      </c>
      <c r="G441" s="31" t="n">
        <f aca="false">IFERROR(VLOOKUP(C441,Ingredients!$B$6:$I$206,6,FALSE()),0)</f>
        <v>0.03</v>
      </c>
      <c r="H441" s="32" t="n">
        <f aca="false">IFERROR(D441*G441,0)</f>
        <v>0.03</v>
      </c>
    </row>
    <row r="442" customFormat="false" ht="15" hidden="false" customHeight="true" outlineLevel="0" collapsed="false">
      <c r="B442" s="14" t="n">
        <v>30</v>
      </c>
      <c r="C442" s="11" t="s">
        <v>109</v>
      </c>
      <c r="D442" s="17" t="n">
        <v>45</v>
      </c>
      <c r="E442" s="11" t="s">
        <v>84</v>
      </c>
      <c r="F442" s="14" t="str">
        <f aca="false">IFERROR(VLOOKUP(C442,Ingredients!$B$6:$I$206,7,FALSE()),"?")</f>
        <v>ml</v>
      </c>
      <c r="G442" s="31" t="n">
        <f aca="false">IFERROR(VLOOKUP(C442,Ingredients!$B$6:$I$206,6,FALSE()),0)</f>
        <v>0.01</v>
      </c>
      <c r="H442" s="32" t="n">
        <f aca="false">IFERROR(D442*G442,0)</f>
        <v>0.45</v>
      </c>
    </row>
    <row r="443" customFormat="false" ht="15" hidden="false" customHeight="true" outlineLevel="0" collapsed="false">
      <c r="B443" s="14" t="n">
        <v>30</v>
      </c>
      <c r="C443" s="11" t="s">
        <v>63</v>
      </c>
      <c r="D443" s="17" t="n">
        <v>0.27</v>
      </c>
      <c r="E443" s="11" t="s">
        <v>65</v>
      </c>
      <c r="F443" s="14" t="str">
        <f aca="false">IFERROR(VLOOKUP(C443,Ingredients!$B$6:$I$206,7,FALSE()),"?")</f>
        <v>L</v>
      </c>
      <c r="G443" s="31" t="n">
        <f aca="false">IFERROR(VLOOKUP(C443,Ingredients!$B$6:$I$206,6,FALSE()),0)</f>
        <v>0.732745961820852</v>
      </c>
      <c r="H443" s="32" t="n">
        <f aca="false">IFERROR(D443*G443,0)</f>
        <v>0.19784140969163</v>
      </c>
    </row>
    <row r="444" customFormat="false" ht="15" hidden="false" customHeight="true" outlineLevel="0" collapsed="false">
      <c r="B444" s="14" t="n">
        <v>30</v>
      </c>
      <c r="C444" s="11" t="s">
        <v>138</v>
      </c>
      <c r="D444" s="17" t="n">
        <v>1</v>
      </c>
      <c r="E444" s="11" t="s">
        <v>112</v>
      </c>
      <c r="F444" s="14" t="str">
        <f aca="false">IFERROR(VLOOKUP(C444,Ingredients!$B$6:$I$206,7,FALSE()),"?")</f>
        <v>unit</v>
      </c>
      <c r="G444" s="31" t="n">
        <f aca="false">IFERROR(VLOOKUP(C444,Ingredients!$B$6:$I$206,6,FALSE()),0)</f>
        <v>0.11</v>
      </c>
      <c r="H444" s="32" t="n">
        <f aca="false">IFERROR(D444*G444,0)</f>
        <v>0.11</v>
      </c>
    </row>
    <row r="445" customFormat="false" ht="15" hidden="false" customHeight="true" outlineLevel="0" collapsed="false">
      <c r="B445" s="14" t="n">
        <v>30</v>
      </c>
      <c r="C445" s="11" t="s">
        <v>140</v>
      </c>
      <c r="D445" s="17" t="n">
        <v>1</v>
      </c>
      <c r="E445" s="11" t="s">
        <v>112</v>
      </c>
      <c r="F445" s="14" t="str">
        <f aca="false">IFERROR(VLOOKUP(C445,Ingredients!$B$6:$I$206,7,FALSE()),"?")</f>
        <v>unit</v>
      </c>
      <c r="G445" s="31" t="n">
        <f aca="false">IFERROR(VLOOKUP(C445,Ingredients!$B$6:$I$206,6,FALSE()),0)</f>
        <v>0.03</v>
      </c>
      <c r="H445" s="32" t="n">
        <f aca="false">IFERROR(D445*G445,0)</f>
        <v>0.03</v>
      </c>
    </row>
    <row r="446" customFormat="false" ht="15" hidden="false" customHeight="true" outlineLevel="0" collapsed="false">
      <c r="B446" s="14" t="n">
        <v>31</v>
      </c>
      <c r="C446" s="11" t="s">
        <v>109</v>
      </c>
      <c r="D446" s="17" t="n">
        <v>30</v>
      </c>
      <c r="E446" s="11" t="s">
        <v>84</v>
      </c>
      <c r="F446" s="14" t="str">
        <f aca="false">IFERROR(VLOOKUP(C446,Ingredients!$B$6:$I$206,7,FALSE()),"?")</f>
        <v>ml</v>
      </c>
      <c r="G446" s="31" t="n">
        <f aca="false">IFERROR(VLOOKUP(C446,Ingredients!$B$6:$I$206,6,FALSE()),0)</f>
        <v>0.01</v>
      </c>
      <c r="H446" s="32" t="n">
        <f aca="false">IFERROR(D446*G446,0)</f>
        <v>0.3</v>
      </c>
    </row>
    <row r="447" customFormat="false" ht="15" hidden="false" customHeight="true" outlineLevel="0" collapsed="false">
      <c r="B447" s="14" t="n">
        <v>31</v>
      </c>
      <c r="C447" s="11" t="s">
        <v>63</v>
      </c>
      <c r="D447" s="17" t="n">
        <v>0.18</v>
      </c>
      <c r="E447" s="11" t="s">
        <v>65</v>
      </c>
      <c r="F447" s="14" t="str">
        <f aca="false">IFERROR(VLOOKUP(C447,Ingredients!$B$6:$I$206,7,FALSE()),"?")</f>
        <v>L</v>
      </c>
      <c r="G447" s="31" t="n">
        <f aca="false">IFERROR(VLOOKUP(C447,Ingredients!$B$6:$I$206,6,FALSE()),0)</f>
        <v>0.732745961820852</v>
      </c>
      <c r="H447" s="32" t="n">
        <f aca="false">IFERROR(D447*G447,0)</f>
        <v>0.131894273127753</v>
      </c>
    </row>
    <row r="448" customFormat="false" ht="15" hidden="false" customHeight="true" outlineLevel="0" collapsed="false">
      <c r="B448" s="14" t="n">
        <v>31</v>
      </c>
      <c r="C448" s="11" t="s">
        <v>134</v>
      </c>
      <c r="D448" s="17" t="n">
        <v>1</v>
      </c>
      <c r="E448" s="11" t="s">
        <v>112</v>
      </c>
      <c r="F448" s="14" t="str">
        <f aca="false">IFERROR(VLOOKUP(C448,Ingredients!$B$6:$I$206,7,FALSE()),"?")</f>
        <v>unit</v>
      </c>
      <c r="G448" s="31" t="n">
        <f aca="false">IFERROR(VLOOKUP(C448,Ingredients!$B$6:$I$206,6,FALSE()),0)</f>
        <v>0.09</v>
      </c>
      <c r="H448" s="32" t="n">
        <f aca="false">IFERROR(D448*G448,0)</f>
        <v>0.09</v>
      </c>
    </row>
    <row r="449" customFormat="false" ht="15" hidden="false" customHeight="true" outlineLevel="0" collapsed="false">
      <c r="B449" s="14" t="n">
        <v>31</v>
      </c>
      <c r="C449" s="11" t="s">
        <v>136</v>
      </c>
      <c r="D449" s="17" t="n">
        <v>1</v>
      </c>
      <c r="E449" s="11" t="s">
        <v>112</v>
      </c>
      <c r="F449" s="14" t="str">
        <f aca="false">IFERROR(VLOOKUP(C449,Ingredients!$B$6:$I$206,7,FALSE()),"?")</f>
        <v>unit</v>
      </c>
      <c r="G449" s="31" t="n">
        <f aca="false">IFERROR(VLOOKUP(C449,Ingredients!$B$6:$I$206,6,FALSE()),0)</f>
        <v>0.03</v>
      </c>
      <c r="H449" s="32" t="n">
        <f aca="false">IFERROR(D449*G449,0)</f>
        <v>0.03</v>
      </c>
    </row>
    <row r="450" customFormat="false" ht="15" hidden="false" customHeight="true" outlineLevel="0" collapsed="false">
      <c r="B450" s="14" t="n">
        <v>32</v>
      </c>
      <c r="C450" s="11" t="s">
        <v>109</v>
      </c>
      <c r="D450" s="17" t="n">
        <v>60</v>
      </c>
      <c r="E450" s="11" t="s">
        <v>84</v>
      </c>
      <c r="F450" s="14" t="str">
        <f aca="false">IFERROR(VLOOKUP(C450,Ingredients!$B$6:$I$206,7,FALSE()),"?")</f>
        <v>ml</v>
      </c>
      <c r="G450" s="31" t="n">
        <f aca="false">IFERROR(VLOOKUP(C450,Ingredients!$B$6:$I$206,6,FALSE()),0)</f>
        <v>0.01</v>
      </c>
      <c r="H450" s="32" t="n">
        <f aca="false">IFERROR(D450*G450,0)</f>
        <v>0.6</v>
      </c>
    </row>
    <row r="451" customFormat="false" ht="15" hidden="false" customHeight="true" outlineLevel="0" collapsed="false">
      <c r="B451" s="14" t="n">
        <v>32</v>
      </c>
      <c r="C451" s="11" t="s">
        <v>63</v>
      </c>
      <c r="D451" s="17" t="n">
        <v>0.36</v>
      </c>
      <c r="E451" s="11" t="s">
        <v>65</v>
      </c>
      <c r="F451" s="14" t="str">
        <f aca="false">IFERROR(VLOOKUP(C451,Ingredients!$B$6:$I$206,7,FALSE()),"?")</f>
        <v>L</v>
      </c>
      <c r="G451" s="31" t="n">
        <f aca="false">IFERROR(VLOOKUP(C451,Ingredients!$B$6:$I$206,6,FALSE()),0)</f>
        <v>0.732745961820852</v>
      </c>
      <c r="H451" s="32" t="n">
        <f aca="false">IFERROR(D451*G451,0)</f>
        <v>0.263788546255507</v>
      </c>
    </row>
    <row r="452" customFormat="false" ht="15" hidden="false" customHeight="true" outlineLevel="0" collapsed="false">
      <c r="B452" s="14" t="n">
        <v>32</v>
      </c>
      <c r="C452" s="11" t="s">
        <v>142</v>
      </c>
      <c r="D452" s="17" t="n">
        <v>1</v>
      </c>
      <c r="E452" s="11" t="s">
        <v>112</v>
      </c>
      <c r="F452" s="14" t="str">
        <f aca="false">IFERROR(VLOOKUP(C452,Ingredients!$B$6:$I$206,7,FALSE()),"?")</f>
        <v>unit</v>
      </c>
      <c r="G452" s="31" t="n">
        <f aca="false">IFERROR(VLOOKUP(C452,Ingredients!$B$6:$I$206,6,FALSE()),0)</f>
        <v>0.14</v>
      </c>
      <c r="H452" s="32" t="n">
        <f aca="false">IFERROR(D452*G452,0)</f>
        <v>0.14</v>
      </c>
    </row>
    <row r="453" customFormat="false" ht="15" hidden="false" customHeight="true" outlineLevel="0" collapsed="false">
      <c r="B453" s="14" t="n">
        <v>32</v>
      </c>
      <c r="C453" s="11" t="s">
        <v>144</v>
      </c>
      <c r="D453" s="17" t="n">
        <v>1</v>
      </c>
      <c r="E453" s="11" t="s">
        <v>112</v>
      </c>
      <c r="F453" s="14" t="str">
        <f aca="false">IFERROR(VLOOKUP(C453,Ingredients!$B$6:$I$206,7,FALSE()),"?")</f>
        <v>unit</v>
      </c>
      <c r="G453" s="31" t="n">
        <f aca="false">IFERROR(VLOOKUP(C453,Ingredients!$B$6:$I$206,6,FALSE()),0)</f>
        <v>0.03</v>
      </c>
      <c r="H453" s="32" t="n">
        <f aca="false">IFERROR(D453*G453,0)</f>
        <v>0.03</v>
      </c>
    </row>
    <row r="454" customFormat="false" ht="15" hidden="false" customHeight="true" outlineLevel="0" collapsed="false">
      <c r="B454" s="14" t="n">
        <v>33</v>
      </c>
      <c r="C454" s="11" t="s">
        <v>248</v>
      </c>
      <c r="D454" s="17" t="n">
        <v>0.06</v>
      </c>
      <c r="E454" s="11" t="s">
        <v>79</v>
      </c>
      <c r="F454" s="14" t="str">
        <f aca="false">IFERROR(VLOOKUP(C454,Ingredients!$B$6:$I$206,7,FALSE()),"?")</f>
        <v>For milkshakes (60g per drink)</v>
      </c>
      <c r="G454" s="31" t="n">
        <f aca="false">IFERROR(VLOOKUP(C454,Ingredients!$B$6:$I$206,6,FALSE()),0)</f>
        <v>8.5</v>
      </c>
      <c r="H454" s="32" t="n">
        <f aca="false">IFERROR(D454*G454,0)</f>
        <v>0.51</v>
      </c>
    </row>
    <row r="455" customFormat="false" ht="15" hidden="false" customHeight="true" outlineLevel="0" collapsed="false">
      <c r="B455" s="14" t="n">
        <v>33</v>
      </c>
      <c r="C455" s="11" t="s">
        <v>63</v>
      </c>
      <c r="D455" s="17" t="n">
        <v>0.15</v>
      </c>
      <c r="E455" s="11" t="s">
        <v>65</v>
      </c>
      <c r="F455" s="14" t="str">
        <f aca="false">IFERROR(VLOOKUP(C455,Ingredients!$B$6:$I$206,7,FALSE()),"?")</f>
        <v>L</v>
      </c>
      <c r="G455" s="31" t="n">
        <f aca="false">IFERROR(VLOOKUP(C455,Ingredients!$B$6:$I$206,6,FALSE()),0)</f>
        <v>0.732745961820852</v>
      </c>
      <c r="H455" s="32" t="n">
        <f aca="false">IFERROR(D455*G455,0)</f>
        <v>0.109911894273128</v>
      </c>
    </row>
    <row r="456" customFormat="false" ht="15" hidden="false" customHeight="true" outlineLevel="0" collapsed="false">
      <c r="B456" s="14" t="n">
        <v>33</v>
      </c>
      <c r="C456" s="11" t="s">
        <v>77</v>
      </c>
      <c r="D456" s="17" t="n">
        <v>0.018</v>
      </c>
      <c r="E456" s="11" t="s">
        <v>79</v>
      </c>
      <c r="F456" s="14" t="str">
        <f aca="false">IFERROR(VLOOKUP(C456,Ingredients!$B$6:$I$206,7,FALSE()),"?")</f>
        <v>kg</v>
      </c>
      <c r="G456" s="31" t="n">
        <f aca="false">IFERROR(VLOOKUP(C456,Ingredients!$B$6:$I$206,6,FALSE()),0)</f>
        <v>16.25</v>
      </c>
      <c r="H456" s="32" t="n">
        <f aca="false">IFERROR(D456*G456,0)</f>
        <v>0.2925</v>
      </c>
    </row>
    <row r="457" customFormat="false" ht="15" hidden="false" customHeight="true" outlineLevel="0" collapsed="false">
      <c r="B457" s="14" t="n">
        <v>33</v>
      </c>
      <c r="C457" s="11" t="s">
        <v>142</v>
      </c>
      <c r="D457" s="17" t="n">
        <v>1</v>
      </c>
      <c r="E457" s="11" t="s">
        <v>112</v>
      </c>
      <c r="F457" s="14" t="str">
        <f aca="false">IFERROR(VLOOKUP(C457,Ingredients!$B$6:$I$206,7,FALSE()),"?")</f>
        <v>unit</v>
      </c>
      <c r="G457" s="31" t="n">
        <f aca="false">IFERROR(VLOOKUP(C457,Ingredients!$B$6:$I$206,6,FALSE()),0)</f>
        <v>0.14</v>
      </c>
      <c r="H457" s="32" t="n">
        <f aca="false">IFERROR(D457*G457,0)</f>
        <v>0.14</v>
      </c>
    </row>
    <row r="458" customFormat="false" ht="15" hidden="false" customHeight="true" outlineLevel="0" collapsed="false">
      <c r="B458" s="14" t="n">
        <v>33</v>
      </c>
      <c r="C458" s="11" t="s">
        <v>144</v>
      </c>
      <c r="D458" s="17" t="n">
        <v>1</v>
      </c>
      <c r="E458" s="11" t="s">
        <v>112</v>
      </c>
      <c r="F458" s="14" t="str">
        <f aca="false">IFERROR(VLOOKUP(C458,Ingredients!$B$6:$I$206,7,FALSE()),"?")</f>
        <v>unit</v>
      </c>
      <c r="G458" s="31" t="n">
        <f aca="false">IFERROR(VLOOKUP(C458,Ingredients!$B$6:$I$206,6,FALSE()),0)</f>
        <v>0.03</v>
      </c>
      <c r="H458" s="32" t="n">
        <f aca="false">IFERROR(D458*G458,0)</f>
        <v>0.03</v>
      </c>
    </row>
    <row r="459" customFormat="false" ht="15" hidden="false" customHeight="true" outlineLevel="0" collapsed="false">
      <c r="B459" s="14" t="n">
        <v>33</v>
      </c>
      <c r="C459" s="11" t="s">
        <v>116</v>
      </c>
      <c r="D459" s="17" t="n">
        <v>0.03</v>
      </c>
      <c r="E459" s="11" t="s">
        <v>79</v>
      </c>
      <c r="F459" s="14" t="str">
        <f aca="false">IFERROR(VLOOKUP(C459,Ingredients!$B$6:$I$206,7,FALSE()),"?")</f>
        <v>kg</v>
      </c>
      <c r="G459" s="31" t="n">
        <f aca="false">IFERROR(VLOOKUP(C459,Ingredients!$B$6:$I$206,6,FALSE()),0)</f>
        <v>7</v>
      </c>
      <c r="H459" s="32" t="n">
        <f aca="false">IFERROR(D459*G459,0)</f>
        <v>0.21</v>
      </c>
    </row>
    <row r="460" customFormat="false" ht="15" hidden="false" customHeight="true" outlineLevel="0" collapsed="false">
      <c r="B460" s="14" t="n">
        <v>34</v>
      </c>
      <c r="C460" s="11" t="s">
        <v>248</v>
      </c>
      <c r="D460" s="17" t="n">
        <v>0.06</v>
      </c>
      <c r="E460" s="11" t="s">
        <v>79</v>
      </c>
      <c r="F460" s="14" t="str">
        <f aca="false">IFERROR(VLOOKUP(C460,Ingredients!$B$6:$I$206,7,FALSE()),"?")</f>
        <v>For milkshakes (60g per drink)</v>
      </c>
      <c r="G460" s="31" t="n">
        <f aca="false">IFERROR(VLOOKUP(C460,Ingredients!$B$6:$I$206,6,FALSE()),0)</f>
        <v>8.5</v>
      </c>
      <c r="H460" s="32" t="n">
        <f aca="false">IFERROR(D460*G460,0)</f>
        <v>0.51</v>
      </c>
    </row>
    <row r="461" customFormat="false" ht="15" hidden="false" customHeight="true" outlineLevel="0" collapsed="false">
      <c r="B461" s="14" t="n">
        <v>34</v>
      </c>
      <c r="C461" s="11" t="s">
        <v>63</v>
      </c>
      <c r="D461" s="17" t="n">
        <v>0.15</v>
      </c>
      <c r="E461" s="11" t="s">
        <v>65</v>
      </c>
      <c r="F461" s="14" t="str">
        <f aca="false">IFERROR(VLOOKUP(C461,Ingredients!$B$6:$I$206,7,FALSE()),"?")</f>
        <v>L</v>
      </c>
      <c r="G461" s="31" t="n">
        <f aca="false">IFERROR(VLOOKUP(C461,Ingredients!$B$6:$I$206,6,FALSE()),0)</f>
        <v>0.732745961820852</v>
      </c>
      <c r="H461" s="32" t="n">
        <f aca="false">IFERROR(D461*G461,0)</f>
        <v>0.109911894273128</v>
      </c>
    </row>
    <row r="462" customFormat="false" ht="15" hidden="false" customHeight="true" outlineLevel="0" collapsed="false">
      <c r="B462" s="14" t="n">
        <v>34</v>
      </c>
      <c r="C462" s="11" t="s">
        <v>77</v>
      </c>
      <c r="D462" s="17" t="n">
        <v>0.018</v>
      </c>
      <c r="E462" s="11" t="s">
        <v>79</v>
      </c>
      <c r="F462" s="14" t="str">
        <f aca="false">IFERROR(VLOOKUP(C462,Ingredients!$B$6:$I$206,7,FALSE()),"?")</f>
        <v>kg</v>
      </c>
      <c r="G462" s="31" t="n">
        <f aca="false">IFERROR(VLOOKUP(C462,Ingredients!$B$6:$I$206,6,FALSE()),0)</f>
        <v>16.25</v>
      </c>
      <c r="H462" s="32" t="n">
        <f aca="false">IFERROR(D462*G462,0)</f>
        <v>0.2925</v>
      </c>
    </row>
    <row r="463" customFormat="false" ht="15" hidden="false" customHeight="true" outlineLevel="0" collapsed="false">
      <c r="B463" s="14" t="n">
        <v>34</v>
      </c>
      <c r="C463" s="11" t="s">
        <v>138</v>
      </c>
      <c r="D463" s="17" t="n">
        <v>1</v>
      </c>
      <c r="E463" s="11" t="s">
        <v>112</v>
      </c>
      <c r="F463" s="14" t="str">
        <f aca="false">IFERROR(VLOOKUP(C463,Ingredients!$B$6:$I$206,7,FALSE()),"?")</f>
        <v>unit</v>
      </c>
      <c r="G463" s="31" t="n">
        <f aca="false">IFERROR(VLOOKUP(C463,Ingredients!$B$6:$I$206,6,FALSE()),0)</f>
        <v>0.11</v>
      </c>
      <c r="H463" s="32" t="n">
        <f aca="false">IFERROR(D463*G463,0)</f>
        <v>0.11</v>
      </c>
    </row>
    <row r="464" customFormat="false" ht="15" hidden="false" customHeight="true" outlineLevel="0" collapsed="false">
      <c r="B464" s="14" t="n">
        <v>34</v>
      </c>
      <c r="C464" s="11" t="s">
        <v>140</v>
      </c>
      <c r="D464" s="17" t="n">
        <v>1</v>
      </c>
      <c r="E464" s="11" t="s">
        <v>112</v>
      </c>
      <c r="F464" s="14" t="str">
        <f aca="false">IFERROR(VLOOKUP(C464,Ingredients!$B$6:$I$206,7,FALSE()),"?")</f>
        <v>unit</v>
      </c>
      <c r="G464" s="31" t="n">
        <f aca="false">IFERROR(VLOOKUP(C464,Ingredients!$B$6:$I$206,6,FALSE()),0)</f>
        <v>0.03</v>
      </c>
      <c r="H464" s="32" t="n">
        <f aca="false">IFERROR(D464*G464,0)</f>
        <v>0.03</v>
      </c>
    </row>
    <row r="465" customFormat="false" ht="15" hidden="false" customHeight="true" outlineLevel="0" collapsed="false">
      <c r="B465" s="14" t="n">
        <v>34</v>
      </c>
      <c r="C465" s="11" t="s">
        <v>116</v>
      </c>
      <c r="D465" s="17" t="n">
        <v>0.03</v>
      </c>
      <c r="E465" s="11" t="s">
        <v>79</v>
      </c>
      <c r="F465" s="14" t="str">
        <f aca="false">IFERROR(VLOOKUP(C465,Ingredients!$B$6:$I$206,7,FALSE()),"?")</f>
        <v>kg</v>
      </c>
      <c r="G465" s="31" t="n">
        <f aca="false">IFERROR(VLOOKUP(C465,Ingredients!$B$6:$I$206,6,FALSE()),0)</f>
        <v>7</v>
      </c>
      <c r="H465" s="32" t="n">
        <f aca="false">IFERROR(D465*G465,0)</f>
        <v>0.21</v>
      </c>
    </row>
    <row r="466" customFormat="false" ht="15" hidden="false" customHeight="true" outlineLevel="0" collapsed="false">
      <c r="B466" s="14" t="n">
        <v>35</v>
      </c>
      <c r="C466" s="11" t="s">
        <v>248</v>
      </c>
      <c r="D466" s="17" t="n">
        <v>0.06</v>
      </c>
      <c r="E466" s="11" t="s">
        <v>79</v>
      </c>
      <c r="F466" s="14" t="str">
        <f aca="false">IFERROR(VLOOKUP(C466,Ingredients!$B$6:$I$206,7,FALSE()),"?")</f>
        <v>For milkshakes (60g per drink)</v>
      </c>
      <c r="G466" s="31" t="n">
        <f aca="false">IFERROR(VLOOKUP(C466,Ingredients!$B$6:$I$206,6,FALSE()),0)</f>
        <v>8.5</v>
      </c>
      <c r="H466" s="32" t="n">
        <f aca="false">IFERROR(D466*G466,0)</f>
        <v>0.51</v>
      </c>
    </row>
    <row r="467" customFormat="false" ht="15" hidden="false" customHeight="true" outlineLevel="0" collapsed="false">
      <c r="B467" s="14" t="n">
        <v>35</v>
      </c>
      <c r="C467" s="11" t="s">
        <v>63</v>
      </c>
      <c r="D467" s="17" t="n">
        <v>0.15</v>
      </c>
      <c r="E467" s="11" t="s">
        <v>65</v>
      </c>
      <c r="F467" s="14" t="str">
        <f aca="false">IFERROR(VLOOKUP(C467,Ingredients!$B$6:$I$206,7,FALSE()),"?")</f>
        <v>L</v>
      </c>
      <c r="G467" s="31" t="n">
        <f aca="false">IFERROR(VLOOKUP(C467,Ingredients!$B$6:$I$206,6,FALSE()),0)</f>
        <v>0.732745961820852</v>
      </c>
      <c r="H467" s="32" t="n">
        <f aca="false">IFERROR(D467*G467,0)</f>
        <v>0.109911894273128</v>
      </c>
    </row>
    <row r="468" customFormat="false" ht="15" hidden="false" customHeight="true" outlineLevel="0" collapsed="false">
      <c r="B468" s="14" t="n">
        <v>35</v>
      </c>
      <c r="C468" s="11" t="s">
        <v>142</v>
      </c>
      <c r="D468" s="17" t="n">
        <v>1</v>
      </c>
      <c r="E468" s="11" t="s">
        <v>112</v>
      </c>
      <c r="F468" s="14" t="str">
        <f aca="false">IFERROR(VLOOKUP(C468,Ingredients!$B$6:$I$206,7,FALSE()),"?")</f>
        <v>unit</v>
      </c>
      <c r="G468" s="31" t="n">
        <f aca="false">IFERROR(VLOOKUP(C468,Ingredients!$B$6:$I$206,6,FALSE()),0)</f>
        <v>0.14</v>
      </c>
      <c r="H468" s="32" t="n">
        <f aca="false">IFERROR(D468*G468,0)</f>
        <v>0.14</v>
      </c>
    </row>
    <row r="469" customFormat="false" ht="15" hidden="false" customHeight="true" outlineLevel="0" collapsed="false">
      <c r="B469" s="14" t="n">
        <v>35</v>
      </c>
      <c r="C469" s="11" t="s">
        <v>144</v>
      </c>
      <c r="D469" s="17" t="n">
        <v>1</v>
      </c>
      <c r="E469" s="11" t="s">
        <v>112</v>
      </c>
      <c r="F469" s="14" t="str">
        <f aca="false">IFERROR(VLOOKUP(C469,Ingredients!$B$6:$I$206,7,FALSE()),"?")</f>
        <v>unit</v>
      </c>
      <c r="G469" s="31" t="n">
        <f aca="false">IFERROR(VLOOKUP(C469,Ingredients!$B$6:$I$206,6,FALSE()),0)</f>
        <v>0.03</v>
      </c>
      <c r="H469" s="32" t="n">
        <f aca="false">IFERROR(D469*G469,0)</f>
        <v>0.03</v>
      </c>
    </row>
    <row r="470" customFormat="false" ht="15" hidden="false" customHeight="true" outlineLevel="0" collapsed="false">
      <c r="B470" s="14" t="n">
        <v>35</v>
      </c>
      <c r="C470" s="11" t="s">
        <v>116</v>
      </c>
      <c r="D470" s="17" t="n">
        <v>0.03</v>
      </c>
      <c r="E470" s="11" t="s">
        <v>79</v>
      </c>
      <c r="F470" s="14" t="str">
        <f aca="false">IFERROR(VLOOKUP(C470,Ingredients!$B$6:$I$206,7,FALSE()),"?")</f>
        <v>kg</v>
      </c>
      <c r="G470" s="31" t="n">
        <f aca="false">IFERROR(VLOOKUP(C470,Ingredients!$B$6:$I$206,6,FALSE()),0)</f>
        <v>7</v>
      </c>
      <c r="H470" s="32" t="n">
        <f aca="false">IFERROR(D470*G470,0)</f>
        <v>0.21</v>
      </c>
    </row>
    <row r="471" customFormat="false" ht="15" hidden="false" customHeight="true" outlineLevel="0" collapsed="false">
      <c r="B471" s="14" t="n">
        <v>36</v>
      </c>
      <c r="C471" s="11" t="s">
        <v>248</v>
      </c>
      <c r="D471" s="17" t="n">
        <v>0.06</v>
      </c>
      <c r="E471" s="11" t="s">
        <v>79</v>
      </c>
      <c r="F471" s="14" t="str">
        <f aca="false">IFERROR(VLOOKUP(C471,Ingredients!$B$6:$I$206,7,FALSE()),"?")</f>
        <v>For milkshakes (60g per drink)</v>
      </c>
      <c r="G471" s="31" t="n">
        <f aca="false">IFERROR(VLOOKUP(C471,Ingredients!$B$6:$I$206,6,FALSE()),0)</f>
        <v>8.5</v>
      </c>
      <c r="H471" s="32" t="n">
        <f aca="false">IFERROR(D471*G471,0)</f>
        <v>0.51</v>
      </c>
    </row>
    <row r="472" customFormat="false" ht="15" hidden="false" customHeight="true" outlineLevel="0" collapsed="false">
      <c r="B472" s="14" t="n">
        <v>36</v>
      </c>
      <c r="C472" s="11" t="s">
        <v>63</v>
      </c>
      <c r="D472" s="17" t="n">
        <v>0.15</v>
      </c>
      <c r="E472" s="11" t="s">
        <v>65</v>
      </c>
      <c r="F472" s="14" t="str">
        <f aca="false">IFERROR(VLOOKUP(C472,Ingredients!$B$6:$I$206,7,FALSE()),"?")</f>
        <v>L</v>
      </c>
      <c r="G472" s="31" t="n">
        <f aca="false">IFERROR(VLOOKUP(C472,Ingredients!$B$6:$I$206,6,FALSE()),0)</f>
        <v>0.732745961820852</v>
      </c>
      <c r="H472" s="32" t="n">
        <f aca="false">IFERROR(D472*G472,0)</f>
        <v>0.109911894273128</v>
      </c>
    </row>
    <row r="473" customFormat="false" ht="15" hidden="false" customHeight="true" outlineLevel="0" collapsed="false">
      <c r="B473" s="14" t="n">
        <v>36</v>
      </c>
      <c r="C473" s="11" t="s">
        <v>138</v>
      </c>
      <c r="D473" s="17" t="n">
        <v>1</v>
      </c>
      <c r="E473" s="11" t="s">
        <v>112</v>
      </c>
      <c r="F473" s="14" t="str">
        <f aca="false">IFERROR(VLOOKUP(C473,Ingredients!$B$6:$I$206,7,FALSE()),"?")</f>
        <v>unit</v>
      </c>
      <c r="G473" s="31" t="n">
        <f aca="false">IFERROR(VLOOKUP(C473,Ingredients!$B$6:$I$206,6,FALSE()),0)</f>
        <v>0.11</v>
      </c>
      <c r="H473" s="32" t="n">
        <f aca="false">IFERROR(D473*G473,0)</f>
        <v>0.11</v>
      </c>
    </row>
    <row r="474" customFormat="false" ht="15" hidden="false" customHeight="true" outlineLevel="0" collapsed="false">
      <c r="B474" s="14" t="n">
        <v>36</v>
      </c>
      <c r="C474" s="11" t="s">
        <v>140</v>
      </c>
      <c r="D474" s="17" t="n">
        <v>1</v>
      </c>
      <c r="E474" s="11" t="s">
        <v>112</v>
      </c>
      <c r="F474" s="14" t="str">
        <f aca="false">IFERROR(VLOOKUP(C474,Ingredients!$B$6:$I$206,7,FALSE()),"?")</f>
        <v>unit</v>
      </c>
      <c r="G474" s="31" t="n">
        <f aca="false">IFERROR(VLOOKUP(C474,Ingredients!$B$6:$I$206,6,FALSE()),0)</f>
        <v>0.03</v>
      </c>
      <c r="H474" s="32" t="n">
        <f aca="false">IFERROR(D474*G474,0)</f>
        <v>0.03</v>
      </c>
    </row>
    <row r="475" customFormat="false" ht="15" hidden="false" customHeight="true" outlineLevel="0" collapsed="false">
      <c r="B475" s="14" t="n">
        <v>36</v>
      </c>
      <c r="C475" s="11" t="s">
        <v>116</v>
      </c>
      <c r="D475" s="17" t="n">
        <v>0.03</v>
      </c>
      <c r="E475" s="11" t="s">
        <v>79</v>
      </c>
      <c r="F475" s="14" t="str">
        <f aca="false">IFERROR(VLOOKUP(C475,Ingredients!$B$6:$I$206,7,FALSE()),"?")</f>
        <v>kg</v>
      </c>
      <c r="G475" s="31" t="n">
        <f aca="false">IFERROR(VLOOKUP(C475,Ingredients!$B$6:$I$206,6,FALSE()),0)</f>
        <v>7</v>
      </c>
      <c r="H475" s="32" t="n">
        <f aca="false">IFERROR(D475*G475,0)</f>
        <v>0.21</v>
      </c>
    </row>
    <row r="476" customFormat="false" ht="15" hidden="false" customHeight="true" outlineLevel="0" collapsed="false">
      <c r="B476" s="14" t="n">
        <v>38</v>
      </c>
      <c r="C476" s="11" t="s">
        <v>116</v>
      </c>
      <c r="D476" s="17" t="n">
        <v>0.03</v>
      </c>
      <c r="E476" s="11" t="s">
        <v>79</v>
      </c>
      <c r="F476" s="14" t="str">
        <f aca="false">IFERROR(VLOOKUP(C476,Ingredients!$B$6:$I$206,7,FALSE()),"?")</f>
        <v>kg</v>
      </c>
      <c r="G476" s="31" t="n">
        <f aca="false">IFERROR(VLOOKUP(C476,Ingredients!$B$6:$I$206,6,FALSE()),0)</f>
        <v>7</v>
      </c>
      <c r="H476" s="32" t="n">
        <f aca="false">IFERROR(D476*G476,0)</f>
        <v>0.21</v>
      </c>
    </row>
    <row r="477" customFormat="false" ht="15" hidden="false" customHeight="true" outlineLevel="0" collapsed="false">
      <c r="B477" s="14" t="n">
        <v>38</v>
      </c>
      <c r="C477" s="11" t="s">
        <v>63</v>
      </c>
      <c r="D477" s="17" t="n">
        <v>0.34</v>
      </c>
      <c r="E477" s="11" t="s">
        <v>65</v>
      </c>
      <c r="F477" s="14" t="str">
        <f aca="false">IFERROR(VLOOKUP(C477,Ingredients!$B$6:$I$206,7,FALSE()),"?")</f>
        <v>L</v>
      </c>
      <c r="G477" s="31" t="n">
        <f aca="false">IFERROR(VLOOKUP(C477,Ingredients!$B$6:$I$206,6,FALSE()),0)</f>
        <v>0.732745961820852</v>
      </c>
      <c r="H477" s="32" t="n">
        <f aca="false">IFERROR(D477*G477,0)</f>
        <v>0.24913362701909</v>
      </c>
    </row>
    <row r="478" customFormat="false" ht="15" hidden="false" customHeight="true" outlineLevel="0" collapsed="false">
      <c r="B478" s="14" t="n">
        <v>38</v>
      </c>
      <c r="C478" s="11" t="s">
        <v>138</v>
      </c>
      <c r="D478" s="17" t="n">
        <v>1</v>
      </c>
      <c r="E478" s="11" t="s">
        <v>112</v>
      </c>
      <c r="F478" s="14" t="str">
        <f aca="false">IFERROR(VLOOKUP(C478,Ingredients!$B$6:$I$206,7,FALSE()),"?")</f>
        <v>unit</v>
      </c>
      <c r="G478" s="31" t="n">
        <f aca="false">IFERROR(VLOOKUP(C478,Ingredients!$B$6:$I$206,6,FALSE()),0)</f>
        <v>0.11</v>
      </c>
      <c r="H478" s="32" t="n">
        <f aca="false">IFERROR(D478*G478,0)</f>
        <v>0.11</v>
      </c>
    </row>
    <row r="479" customFormat="false" ht="15" hidden="false" customHeight="true" outlineLevel="0" collapsed="false">
      <c r="B479" s="14" t="n">
        <v>38</v>
      </c>
      <c r="C479" s="11" t="s">
        <v>140</v>
      </c>
      <c r="D479" s="17" t="n">
        <v>1</v>
      </c>
      <c r="E479" s="11" t="s">
        <v>112</v>
      </c>
      <c r="F479" s="14" t="str">
        <f aca="false">IFERROR(VLOOKUP(C479,Ingredients!$B$6:$I$206,7,FALSE()),"?")</f>
        <v>unit</v>
      </c>
      <c r="G479" s="31" t="n">
        <f aca="false">IFERROR(VLOOKUP(C479,Ingredients!$B$6:$I$206,6,FALSE()),0)</f>
        <v>0.03</v>
      </c>
      <c r="H479" s="32" t="n">
        <f aca="false">IFERROR(D479*G479,0)</f>
        <v>0.03</v>
      </c>
    </row>
    <row r="480" customFormat="false" ht="15" hidden="false" customHeight="true" outlineLevel="0" collapsed="false">
      <c r="B480" s="14" t="n">
        <v>39</v>
      </c>
      <c r="C480" s="11" t="s">
        <v>116</v>
      </c>
      <c r="D480" s="17" t="n">
        <v>0.02</v>
      </c>
      <c r="E480" s="11" t="s">
        <v>79</v>
      </c>
      <c r="F480" s="14" t="str">
        <f aca="false">IFERROR(VLOOKUP(C480,Ingredients!$B$6:$I$206,7,FALSE()),"?")</f>
        <v>kg</v>
      </c>
      <c r="G480" s="31" t="n">
        <f aca="false">IFERROR(VLOOKUP(C480,Ingredients!$B$6:$I$206,6,FALSE()),0)</f>
        <v>7</v>
      </c>
      <c r="H480" s="32" t="n">
        <f aca="false">IFERROR(D480*G480,0)</f>
        <v>0.14</v>
      </c>
    </row>
    <row r="481" customFormat="false" ht="15" hidden="false" customHeight="true" outlineLevel="0" collapsed="false">
      <c r="B481" s="14" t="n">
        <v>39</v>
      </c>
      <c r="C481" s="11" t="s">
        <v>63</v>
      </c>
      <c r="D481" s="17" t="n">
        <v>0.22</v>
      </c>
      <c r="E481" s="11" t="s">
        <v>65</v>
      </c>
      <c r="F481" s="14" t="str">
        <f aca="false">IFERROR(VLOOKUP(C481,Ingredients!$B$6:$I$206,7,FALSE()),"?")</f>
        <v>L</v>
      </c>
      <c r="G481" s="31" t="n">
        <f aca="false">IFERROR(VLOOKUP(C481,Ingredients!$B$6:$I$206,6,FALSE()),0)</f>
        <v>0.732745961820852</v>
      </c>
      <c r="H481" s="32" t="n">
        <f aca="false">IFERROR(D481*G481,0)</f>
        <v>0.161204111600587</v>
      </c>
    </row>
    <row r="482" customFormat="false" ht="15" hidden="false" customHeight="true" outlineLevel="0" collapsed="false">
      <c r="B482" s="14" t="n">
        <v>39</v>
      </c>
      <c r="C482" s="11" t="s">
        <v>134</v>
      </c>
      <c r="D482" s="17" t="n">
        <v>1</v>
      </c>
      <c r="E482" s="11" t="s">
        <v>112</v>
      </c>
      <c r="F482" s="14" t="str">
        <f aca="false">IFERROR(VLOOKUP(C482,Ingredients!$B$6:$I$206,7,FALSE()),"?")</f>
        <v>unit</v>
      </c>
      <c r="G482" s="31" t="n">
        <f aca="false">IFERROR(VLOOKUP(C482,Ingredients!$B$6:$I$206,6,FALSE()),0)</f>
        <v>0.09</v>
      </c>
      <c r="H482" s="32" t="n">
        <f aca="false">IFERROR(D482*G482,0)</f>
        <v>0.09</v>
      </c>
    </row>
    <row r="483" customFormat="false" ht="15" hidden="false" customHeight="true" outlineLevel="0" collapsed="false">
      <c r="B483" s="14" t="n">
        <v>39</v>
      </c>
      <c r="C483" s="11" t="s">
        <v>136</v>
      </c>
      <c r="D483" s="17" t="n">
        <v>1</v>
      </c>
      <c r="E483" s="11" t="s">
        <v>112</v>
      </c>
      <c r="F483" s="14" t="str">
        <f aca="false">IFERROR(VLOOKUP(C483,Ingredients!$B$6:$I$206,7,FALSE()),"?")</f>
        <v>unit</v>
      </c>
      <c r="G483" s="31" t="n">
        <f aca="false">IFERROR(VLOOKUP(C483,Ingredients!$B$6:$I$206,6,FALSE()),0)</f>
        <v>0.03</v>
      </c>
      <c r="H483" s="32" t="n">
        <f aca="false">IFERROR(D483*G483,0)</f>
        <v>0.03</v>
      </c>
    </row>
    <row r="484" customFormat="false" ht="15" hidden="false" customHeight="true" outlineLevel="0" collapsed="false">
      <c r="B484" s="14" t="n">
        <v>40</v>
      </c>
      <c r="C484" s="11" t="s">
        <v>116</v>
      </c>
      <c r="D484" s="17" t="n">
        <v>0.04</v>
      </c>
      <c r="E484" s="11" t="s">
        <v>79</v>
      </c>
      <c r="F484" s="14" t="str">
        <f aca="false">IFERROR(VLOOKUP(C484,Ingredients!$B$6:$I$206,7,FALSE()),"?")</f>
        <v>kg</v>
      </c>
      <c r="G484" s="31" t="n">
        <f aca="false">IFERROR(VLOOKUP(C484,Ingredients!$B$6:$I$206,6,FALSE()),0)</f>
        <v>7</v>
      </c>
      <c r="H484" s="32" t="n">
        <f aca="false">IFERROR(D484*G484,0)</f>
        <v>0.28</v>
      </c>
    </row>
    <row r="485" customFormat="false" ht="15" hidden="false" customHeight="true" outlineLevel="0" collapsed="false">
      <c r="B485" s="14" t="n">
        <v>40</v>
      </c>
      <c r="C485" s="11" t="s">
        <v>63</v>
      </c>
      <c r="D485" s="17" t="n">
        <v>0.46</v>
      </c>
      <c r="E485" s="11" t="s">
        <v>65</v>
      </c>
      <c r="F485" s="14" t="str">
        <f aca="false">IFERROR(VLOOKUP(C485,Ingredients!$B$6:$I$206,7,FALSE()),"?")</f>
        <v>L</v>
      </c>
      <c r="G485" s="31" t="n">
        <f aca="false">IFERROR(VLOOKUP(C485,Ingredients!$B$6:$I$206,6,FALSE()),0)</f>
        <v>0.732745961820852</v>
      </c>
      <c r="H485" s="32" t="n">
        <f aca="false">IFERROR(D485*G485,0)</f>
        <v>0.337063142437592</v>
      </c>
    </row>
    <row r="486" customFormat="false" ht="15" hidden="false" customHeight="true" outlineLevel="0" collapsed="false">
      <c r="B486" s="14" t="n">
        <v>40</v>
      </c>
      <c r="C486" s="11" t="s">
        <v>142</v>
      </c>
      <c r="D486" s="17" t="n">
        <v>1</v>
      </c>
      <c r="E486" s="11" t="s">
        <v>112</v>
      </c>
      <c r="F486" s="14" t="str">
        <f aca="false">IFERROR(VLOOKUP(C486,Ingredients!$B$6:$I$206,7,FALSE()),"?")</f>
        <v>unit</v>
      </c>
      <c r="G486" s="31" t="n">
        <f aca="false">IFERROR(VLOOKUP(C486,Ingredients!$B$6:$I$206,6,FALSE()),0)</f>
        <v>0.14</v>
      </c>
      <c r="H486" s="32" t="n">
        <f aca="false">IFERROR(D486*G486,0)</f>
        <v>0.14</v>
      </c>
    </row>
    <row r="487" customFormat="false" ht="15" hidden="false" customHeight="true" outlineLevel="0" collapsed="false">
      <c r="B487" s="14" t="n">
        <v>40</v>
      </c>
      <c r="C487" s="11" t="s">
        <v>144</v>
      </c>
      <c r="D487" s="17" t="n">
        <v>1</v>
      </c>
      <c r="E487" s="11" t="s">
        <v>112</v>
      </c>
      <c r="F487" s="14" t="str">
        <f aca="false">IFERROR(VLOOKUP(C487,Ingredients!$B$6:$I$206,7,FALSE()),"?")</f>
        <v>unit</v>
      </c>
      <c r="G487" s="31" t="n">
        <f aca="false">IFERROR(VLOOKUP(C487,Ingredients!$B$6:$I$206,6,FALSE()),0)</f>
        <v>0.03</v>
      </c>
      <c r="H487" s="32" t="n">
        <f aca="false">IFERROR(D487*G487,0)</f>
        <v>0.03</v>
      </c>
    </row>
    <row r="488" customFormat="false" ht="15" hidden="false" customHeight="true" outlineLevel="0" collapsed="false">
      <c r="B488" s="14" t="n">
        <v>41</v>
      </c>
      <c r="C488" s="11" t="s">
        <v>77</v>
      </c>
      <c r="D488" s="17" t="n">
        <v>0.036</v>
      </c>
      <c r="E488" s="11" t="s">
        <v>79</v>
      </c>
      <c r="F488" s="14" t="str">
        <f aca="false">IFERROR(VLOOKUP(C488,Ingredients!$B$6:$I$206,7,FALSE()),"?")</f>
        <v>kg</v>
      </c>
      <c r="G488" s="31" t="n">
        <f aca="false">IFERROR(VLOOKUP(C488,Ingredients!$B$6:$I$206,6,FALSE()),0)</f>
        <v>16.25</v>
      </c>
      <c r="H488" s="32" t="n">
        <f aca="false">IFERROR(D488*G488,0)</f>
        <v>0.585</v>
      </c>
    </row>
    <row r="489" customFormat="false" ht="15" hidden="false" customHeight="true" outlineLevel="0" collapsed="false">
      <c r="B489" s="14" t="n">
        <v>41</v>
      </c>
      <c r="C489" s="11" t="s">
        <v>63</v>
      </c>
      <c r="D489" s="17" t="n">
        <v>0.3</v>
      </c>
      <c r="E489" s="11" t="s">
        <v>65</v>
      </c>
      <c r="F489" s="14" t="str">
        <f aca="false">IFERROR(VLOOKUP(C489,Ingredients!$B$6:$I$206,7,FALSE()),"?")</f>
        <v>L</v>
      </c>
      <c r="G489" s="31" t="n">
        <f aca="false">IFERROR(VLOOKUP(C489,Ingredients!$B$6:$I$206,6,FALSE()),0)</f>
        <v>0.732745961820852</v>
      </c>
      <c r="H489" s="32" t="n">
        <f aca="false">IFERROR(D489*G489,0)</f>
        <v>0.219823788546256</v>
      </c>
    </row>
    <row r="490" customFormat="false" ht="15" hidden="false" customHeight="true" outlineLevel="0" collapsed="false">
      <c r="B490" s="14" t="n">
        <v>41</v>
      </c>
      <c r="C490" s="11" t="s">
        <v>138</v>
      </c>
      <c r="D490" s="17" t="n">
        <v>1</v>
      </c>
      <c r="E490" s="11" t="s">
        <v>112</v>
      </c>
      <c r="F490" s="14" t="str">
        <f aca="false">IFERROR(VLOOKUP(C490,Ingredients!$B$6:$I$206,7,FALSE()),"?")</f>
        <v>unit</v>
      </c>
      <c r="G490" s="31" t="n">
        <f aca="false">IFERROR(VLOOKUP(C490,Ingredients!$B$6:$I$206,6,FALSE()),0)</f>
        <v>0.11</v>
      </c>
      <c r="H490" s="32" t="n">
        <f aca="false">IFERROR(D490*G490,0)</f>
        <v>0.11</v>
      </c>
    </row>
    <row r="491" customFormat="false" ht="15" hidden="false" customHeight="true" outlineLevel="0" collapsed="false">
      <c r="B491" s="14" t="n">
        <v>41</v>
      </c>
      <c r="C491" s="11" t="s">
        <v>140</v>
      </c>
      <c r="D491" s="17" t="n">
        <v>1</v>
      </c>
      <c r="E491" s="11" t="s">
        <v>112</v>
      </c>
      <c r="F491" s="14" t="str">
        <f aca="false">IFERROR(VLOOKUP(C491,Ingredients!$B$6:$I$206,7,FALSE()),"?")</f>
        <v>unit</v>
      </c>
      <c r="G491" s="31" t="n">
        <f aca="false">IFERROR(VLOOKUP(C491,Ingredients!$B$6:$I$206,6,FALSE()),0)</f>
        <v>0.03</v>
      </c>
      <c r="H491" s="32" t="n">
        <f aca="false">IFERROR(D491*G491,0)</f>
        <v>0.03</v>
      </c>
    </row>
    <row r="492" customFormat="false" ht="15" hidden="false" customHeight="true" outlineLevel="0" collapsed="false">
      <c r="B492" s="14" t="n">
        <v>42</v>
      </c>
      <c r="C492" s="11" t="s">
        <v>77</v>
      </c>
      <c r="D492" s="17" t="n">
        <v>0.036</v>
      </c>
      <c r="E492" s="11" t="s">
        <v>79</v>
      </c>
      <c r="F492" s="14" t="str">
        <f aca="false">IFERROR(VLOOKUP(C492,Ingredients!$B$6:$I$206,7,FALSE()),"?")</f>
        <v>kg</v>
      </c>
      <c r="G492" s="31" t="n">
        <f aca="false">IFERROR(VLOOKUP(C492,Ingredients!$B$6:$I$206,6,FALSE()),0)</f>
        <v>16.25</v>
      </c>
      <c r="H492" s="32" t="n">
        <f aca="false">IFERROR(D492*G492,0)</f>
        <v>0.585</v>
      </c>
    </row>
    <row r="493" customFormat="false" ht="15" hidden="false" customHeight="true" outlineLevel="0" collapsed="false">
      <c r="B493" s="14" t="n">
        <v>42</v>
      </c>
      <c r="C493" s="11" t="s">
        <v>63</v>
      </c>
      <c r="D493" s="17" t="n">
        <v>0.18</v>
      </c>
      <c r="E493" s="11" t="s">
        <v>65</v>
      </c>
      <c r="F493" s="14" t="str">
        <f aca="false">IFERROR(VLOOKUP(C493,Ingredients!$B$6:$I$206,7,FALSE()),"?")</f>
        <v>L</v>
      </c>
      <c r="G493" s="31" t="n">
        <f aca="false">IFERROR(VLOOKUP(C493,Ingredients!$B$6:$I$206,6,FALSE()),0)</f>
        <v>0.732745961820852</v>
      </c>
      <c r="H493" s="32" t="n">
        <f aca="false">IFERROR(D493*G493,0)</f>
        <v>0.131894273127753</v>
      </c>
    </row>
    <row r="494" customFormat="false" ht="15" hidden="false" customHeight="true" outlineLevel="0" collapsed="false">
      <c r="B494" s="14" t="n">
        <v>42</v>
      </c>
      <c r="C494" s="11" t="s">
        <v>134</v>
      </c>
      <c r="D494" s="17" t="n">
        <v>1</v>
      </c>
      <c r="E494" s="11" t="s">
        <v>112</v>
      </c>
      <c r="F494" s="14" t="str">
        <f aca="false">IFERROR(VLOOKUP(C494,Ingredients!$B$6:$I$206,7,FALSE()),"?")</f>
        <v>unit</v>
      </c>
      <c r="G494" s="31" t="n">
        <f aca="false">IFERROR(VLOOKUP(C494,Ingredients!$B$6:$I$206,6,FALSE()),0)</f>
        <v>0.09</v>
      </c>
      <c r="H494" s="32" t="n">
        <f aca="false">IFERROR(D494*G494,0)</f>
        <v>0.09</v>
      </c>
    </row>
    <row r="495" customFormat="false" ht="15" hidden="false" customHeight="true" outlineLevel="0" collapsed="false">
      <c r="B495" s="14" t="n">
        <v>42</v>
      </c>
      <c r="C495" s="11" t="s">
        <v>136</v>
      </c>
      <c r="D495" s="17" t="n">
        <v>1</v>
      </c>
      <c r="E495" s="11" t="s">
        <v>112</v>
      </c>
      <c r="F495" s="14" t="str">
        <f aca="false">IFERROR(VLOOKUP(C495,Ingredients!$B$6:$I$206,7,FALSE()),"?")</f>
        <v>unit</v>
      </c>
      <c r="G495" s="31" t="n">
        <f aca="false">IFERROR(VLOOKUP(C495,Ingredients!$B$6:$I$206,6,FALSE()),0)</f>
        <v>0.03</v>
      </c>
      <c r="H495" s="32" t="n">
        <f aca="false">IFERROR(D495*G495,0)</f>
        <v>0.03</v>
      </c>
    </row>
    <row r="496" customFormat="false" ht="15" hidden="false" customHeight="true" outlineLevel="0" collapsed="false">
      <c r="B496" s="14" t="n">
        <v>43</v>
      </c>
      <c r="C496" s="11" t="s">
        <v>77</v>
      </c>
      <c r="D496" s="17" t="n">
        <v>0.072</v>
      </c>
      <c r="E496" s="11" t="s">
        <v>79</v>
      </c>
      <c r="F496" s="14" t="str">
        <f aca="false">IFERROR(VLOOKUP(C496,Ingredients!$B$6:$I$206,7,FALSE()),"?")</f>
        <v>kg</v>
      </c>
      <c r="G496" s="31" t="n">
        <f aca="false">IFERROR(VLOOKUP(C496,Ingredients!$B$6:$I$206,6,FALSE()),0)</f>
        <v>16.25</v>
      </c>
      <c r="H496" s="32" t="n">
        <f aca="false">IFERROR(D496*G496,0)</f>
        <v>1.17</v>
      </c>
    </row>
    <row r="497" customFormat="false" ht="15" hidden="false" customHeight="true" outlineLevel="0" collapsed="false">
      <c r="B497" s="14" t="n">
        <v>43</v>
      </c>
      <c r="C497" s="11" t="s">
        <v>63</v>
      </c>
      <c r="D497" s="17" t="n">
        <v>0.36</v>
      </c>
      <c r="E497" s="11" t="s">
        <v>65</v>
      </c>
      <c r="F497" s="14" t="str">
        <f aca="false">IFERROR(VLOOKUP(C497,Ingredients!$B$6:$I$206,7,FALSE()),"?")</f>
        <v>L</v>
      </c>
      <c r="G497" s="31" t="n">
        <f aca="false">IFERROR(VLOOKUP(C497,Ingredients!$B$6:$I$206,6,FALSE()),0)</f>
        <v>0.732745961820852</v>
      </c>
      <c r="H497" s="32" t="n">
        <f aca="false">IFERROR(D497*G497,0)</f>
        <v>0.263788546255507</v>
      </c>
    </row>
    <row r="498" customFormat="false" ht="15" hidden="false" customHeight="true" outlineLevel="0" collapsed="false">
      <c r="B498" s="14" t="n">
        <v>43</v>
      </c>
      <c r="C498" s="11" t="s">
        <v>142</v>
      </c>
      <c r="D498" s="17" t="n">
        <v>1</v>
      </c>
      <c r="E498" s="11" t="s">
        <v>112</v>
      </c>
      <c r="F498" s="14" t="str">
        <f aca="false">IFERROR(VLOOKUP(C498,Ingredients!$B$6:$I$206,7,FALSE()),"?")</f>
        <v>unit</v>
      </c>
      <c r="G498" s="31" t="n">
        <f aca="false">IFERROR(VLOOKUP(C498,Ingredients!$B$6:$I$206,6,FALSE()),0)</f>
        <v>0.14</v>
      </c>
      <c r="H498" s="32" t="n">
        <f aca="false">IFERROR(D498*G498,0)</f>
        <v>0.14</v>
      </c>
    </row>
    <row r="499" customFormat="false" ht="15" hidden="false" customHeight="true" outlineLevel="0" collapsed="false">
      <c r="B499" s="14" t="n">
        <v>43</v>
      </c>
      <c r="C499" s="11" t="s">
        <v>144</v>
      </c>
      <c r="D499" s="17" t="n">
        <v>1</v>
      </c>
      <c r="E499" s="11" t="s">
        <v>112</v>
      </c>
      <c r="F499" s="14" t="str">
        <f aca="false">IFERROR(VLOOKUP(C499,Ingredients!$B$6:$I$206,7,FALSE()),"?")</f>
        <v>unit</v>
      </c>
      <c r="G499" s="31" t="n">
        <f aca="false">IFERROR(VLOOKUP(C499,Ingredients!$B$6:$I$206,6,FALSE()),0)</f>
        <v>0.03</v>
      </c>
      <c r="H499" s="32" t="n">
        <f aca="false">IFERROR(D499*G499,0)</f>
        <v>0.03</v>
      </c>
    </row>
    <row r="500" customFormat="false" ht="15" hidden="false" customHeight="true" outlineLevel="0" collapsed="false">
      <c r="B500" s="14" t="n">
        <v>44</v>
      </c>
      <c r="C500" s="11" t="s">
        <v>248</v>
      </c>
      <c r="D500" s="17" t="n">
        <v>0.06</v>
      </c>
      <c r="E500" s="11" t="s">
        <v>79</v>
      </c>
      <c r="F500" s="14" t="str">
        <f aca="false">IFERROR(VLOOKUP(C500,Ingredients!$B$6:$I$206,7,FALSE()),"?")</f>
        <v>For milkshakes (60g per drink)</v>
      </c>
      <c r="G500" s="31" t="n">
        <f aca="false">IFERROR(VLOOKUP(C500,Ingredients!$B$6:$I$206,6,FALSE()),0)</f>
        <v>8.5</v>
      </c>
      <c r="H500" s="32" t="n">
        <f aca="false">IFERROR(D500*G500,0)</f>
        <v>0.51</v>
      </c>
    </row>
    <row r="501" customFormat="false" ht="15" hidden="false" customHeight="true" outlineLevel="0" collapsed="false">
      <c r="B501" s="14" t="n">
        <v>44</v>
      </c>
      <c r="C501" s="11" t="s">
        <v>63</v>
      </c>
      <c r="D501" s="17" t="n">
        <v>0.15</v>
      </c>
      <c r="E501" s="11" t="s">
        <v>65</v>
      </c>
      <c r="F501" s="14" t="str">
        <f aca="false">IFERROR(VLOOKUP(C501,Ingredients!$B$6:$I$206,7,FALSE()),"?")</f>
        <v>L</v>
      </c>
      <c r="G501" s="31" t="n">
        <f aca="false">IFERROR(VLOOKUP(C501,Ingredients!$B$6:$I$206,6,FALSE()),0)</f>
        <v>0.732745961820852</v>
      </c>
      <c r="H501" s="32" t="n">
        <f aca="false">IFERROR(D501*G501,0)</f>
        <v>0.109911894273128</v>
      </c>
    </row>
    <row r="502" customFormat="false" ht="15" hidden="false" customHeight="true" outlineLevel="0" collapsed="false">
      <c r="B502" s="14" t="n">
        <v>44</v>
      </c>
      <c r="C502" s="11" t="s">
        <v>77</v>
      </c>
      <c r="D502" s="17" t="n">
        <v>0.018</v>
      </c>
      <c r="E502" s="11" t="s">
        <v>79</v>
      </c>
      <c r="F502" s="14" t="str">
        <f aca="false">IFERROR(VLOOKUP(C502,Ingredients!$B$6:$I$206,7,FALSE()),"?")</f>
        <v>kg</v>
      </c>
      <c r="G502" s="31" t="n">
        <f aca="false">IFERROR(VLOOKUP(C502,Ingredients!$B$6:$I$206,6,FALSE()),0)</f>
        <v>16.25</v>
      </c>
      <c r="H502" s="32" t="n">
        <f aca="false">IFERROR(D502*G502,0)</f>
        <v>0.2925</v>
      </c>
    </row>
    <row r="503" customFormat="false" ht="15" hidden="false" customHeight="true" outlineLevel="0" collapsed="false">
      <c r="B503" s="14" t="n">
        <v>44</v>
      </c>
      <c r="C503" s="11" t="s">
        <v>142</v>
      </c>
      <c r="D503" s="17" t="n">
        <v>1</v>
      </c>
      <c r="E503" s="11" t="s">
        <v>112</v>
      </c>
      <c r="F503" s="14" t="str">
        <f aca="false">IFERROR(VLOOKUP(C503,Ingredients!$B$6:$I$206,7,FALSE()),"?")</f>
        <v>unit</v>
      </c>
      <c r="G503" s="31" t="n">
        <f aca="false">IFERROR(VLOOKUP(C503,Ingredients!$B$6:$I$206,6,FALSE()),0)</f>
        <v>0.14</v>
      </c>
      <c r="H503" s="32" t="n">
        <f aca="false">IFERROR(D503*G503,0)</f>
        <v>0.14</v>
      </c>
    </row>
    <row r="504" customFormat="false" ht="15" hidden="false" customHeight="true" outlineLevel="0" collapsed="false">
      <c r="B504" s="14" t="n">
        <v>44</v>
      </c>
      <c r="C504" s="11" t="s">
        <v>144</v>
      </c>
      <c r="D504" s="17" t="n">
        <v>1</v>
      </c>
      <c r="E504" s="11" t="s">
        <v>112</v>
      </c>
      <c r="F504" s="14" t="str">
        <f aca="false">IFERROR(VLOOKUP(C504,Ingredients!$B$6:$I$206,7,FALSE()),"?")</f>
        <v>unit</v>
      </c>
      <c r="G504" s="31" t="n">
        <f aca="false">IFERROR(VLOOKUP(C504,Ingredients!$B$6:$I$206,6,FALSE()),0)</f>
        <v>0.03</v>
      </c>
      <c r="H504" s="32" t="n">
        <f aca="false">IFERROR(D504*G504,0)</f>
        <v>0.03</v>
      </c>
    </row>
    <row r="505" customFormat="false" ht="15" hidden="false" customHeight="true" outlineLevel="0" collapsed="false">
      <c r="B505" s="14" t="n">
        <v>45</v>
      </c>
      <c r="C505" s="11" t="s">
        <v>248</v>
      </c>
      <c r="D505" s="17" t="n">
        <v>0.06</v>
      </c>
      <c r="E505" s="11" t="s">
        <v>79</v>
      </c>
      <c r="F505" s="14" t="str">
        <f aca="false">IFERROR(VLOOKUP(C505,Ingredients!$B$6:$I$206,7,FALSE()),"?")</f>
        <v>For milkshakes (60g per drink)</v>
      </c>
      <c r="G505" s="31" t="n">
        <f aca="false">IFERROR(VLOOKUP(C505,Ingredients!$B$6:$I$206,6,FALSE()),0)</f>
        <v>8.5</v>
      </c>
      <c r="H505" s="32" t="n">
        <f aca="false">IFERROR(D505*G505,0)</f>
        <v>0.51</v>
      </c>
    </row>
    <row r="506" customFormat="false" ht="15" hidden="false" customHeight="true" outlineLevel="0" collapsed="false">
      <c r="B506" s="14" t="n">
        <v>45</v>
      </c>
      <c r="C506" s="11" t="s">
        <v>63</v>
      </c>
      <c r="D506" s="17" t="n">
        <v>0.15</v>
      </c>
      <c r="E506" s="11" t="s">
        <v>65</v>
      </c>
      <c r="F506" s="14" t="str">
        <f aca="false">IFERROR(VLOOKUP(C506,Ingredients!$B$6:$I$206,7,FALSE()),"?")</f>
        <v>L</v>
      </c>
      <c r="G506" s="31" t="n">
        <f aca="false">IFERROR(VLOOKUP(C506,Ingredients!$B$6:$I$206,6,FALSE()),0)</f>
        <v>0.732745961820852</v>
      </c>
      <c r="H506" s="32" t="n">
        <f aca="false">IFERROR(D506*G506,0)</f>
        <v>0.109911894273128</v>
      </c>
    </row>
    <row r="507" customFormat="false" ht="15" hidden="false" customHeight="true" outlineLevel="0" collapsed="false">
      <c r="B507" s="14" t="n">
        <v>45</v>
      </c>
      <c r="C507" s="11" t="s">
        <v>77</v>
      </c>
      <c r="D507" s="17" t="n">
        <v>0.018</v>
      </c>
      <c r="E507" s="11" t="s">
        <v>79</v>
      </c>
      <c r="F507" s="14" t="str">
        <f aca="false">IFERROR(VLOOKUP(C507,Ingredients!$B$6:$I$206,7,FALSE()),"?")</f>
        <v>kg</v>
      </c>
      <c r="G507" s="31" t="n">
        <f aca="false">IFERROR(VLOOKUP(C507,Ingredients!$B$6:$I$206,6,FALSE()),0)</f>
        <v>16.25</v>
      </c>
      <c r="H507" s="32" t="n">
        <f aca="false">IFERROR(D507*G507,0)</f>
        <v>0.2925</v>
      </c>
    </row>
    <row r="508" customFormat="false" ht="15" hidden="false" customHeight="true" outlineLevel="0" collapsed="false">
      <c r="B508" s="14" t="n">
        <v>45</v>
      </c>
      <c r="C508" s="11" t="s">
        <v>138</v>
      </c>
      <c r="D508" s="17" t="n">
        <v>1</v>
      </c>
      <c r="E508" s="11" t="s">
        <v>112</v>
      </c>
      <c r="F508" s="14" t="str">
        <f aca="false">IFERROR(VLOOKUP(C508,Ingredients!$B$6:$I$206,7,FALSE()),"?")</f>
        <v>unit</v>
      </c>
      <c r="G508" s="31" t="n">
        <f aca="false">IFERROR(VLOOKUP(C508,Ingredients!$B$6:$I$206,6,FALSE()),0)</f>
        <v>0.11</v>
      </c>
      <c r="H508" s="32" t="n">
        <f aca="false">IFERROR(D508*G508,0)</f>
        <v>0.11</v>
      </c>
    </row>
    <row r="509" customFormat="false" ht="15" hidden="false" customHeight="true" outlineLevel="0" collapsed="false">
      <c r="B509" s="14" t="n">
        <v>45</v>
      </c>
      <c r="C509" s="11" t="s">
        <v>140</v>
      </c>
      <c r="D509" s="17" t="n">
        <v>1</v>
      </c>
      <c r="E509" s="11" t="s">
        <v>112</v>
      </c>
      <c r="F509" s="14" t="str">
        <f aca="false">IFERROR(VLOOKUP(C509,Ingredients!$B$6:$I$206,7,FALSE()),"?")</f>
        <v>unit</v>
      </c>
      <c r="G509" s="31" t="n">
        <f aca="false">IFERROR(VLOOKUP(C509,Ingredients!$B$6:$I$206,6,FALSE()),0)</f>
        <v>0.03</v>
      </c>
      <c r="H509" s="32" t="n">
        <f aca="false">IFERROR(D509*G509,0)</f>
        <v>0.03</v>
      </c>
    </row>
    <row r="510" customFormat="false" ht="15" hidden="false" customHeight="true" outlineLevel="0" collapsed="false">
      <c r="B510" s="14" t="n">
        <v>46</v>
      </c>
      <c r="C510" s="11" t="s">
        <v>77</v>
      </c>
      <c r="D510" s="17" t="n">
        <v>0.036</v>
      </c>
      <c r="E510" s="11" t="s">
        <v>79</v>
      </c>
      <c r="F510" s="14" t="str">
        <f aca="false">IFERROR(VLOOKUP(C510,Ingredients!$B$6:$I$206,7,FALSE()),"?")</f>
        <v>kg</v>
      </c>
      <c r="G510" s="31" t="n">
        <f aca="false">IFERROR(VLOOKUP(C510,Ingredients!$B$6:$I$206,6,FALSE()),0)</f>
        <v>16.25</v>
      </c>
      <c r="H510" s="32" t="n">
        <f aca="false">IFERROR(D510*G510,0)</f>
        <v>0.585</v>
      </c>
    </row>
    <row r="511" customFormat="false" ht="15" hidden="false" customHeight="true" outlineLevel="0" collapsed="false">
      <c r="B511" s="14" t="n">
        <v>46</v>
      </c>
      <c r="C511" s="11" t="s">
        <v>63</v>
      </c>
      <c r="D511" s="17" t="n">
        <v>0.18</v>
      </c>
      <c r="E511" s="11" t="s">
        <v>65</v>
      </c>
      <c r="F511" s="14" t="str">
        <f aca="false">IFERROR(VLOOKUP(C511,Ingredients!$B$6:$I$206,7,FALSE()),"?")</f>
        <v>L</v>
      </c>
      <c r="G511" s="31" t="n">
        <f aca="false">IFERROR(VLOOKUP(C511,Ingredients!$B$6:$I$206,6,FALSE()),0)</f>
        <v>0.732745961820852</v>
      </c>
      <c r="H511" s="32" t="n">
        <f aca="false">IFERROR(D511*G511,0)</f>
        <v>0.131894273127753</v>
      </c>
    </row>
    <row r="512" customFormat="false" ht="15" hidden="false" customHeight="true" outlineLevel="0" collapsed="false">
      <c r="B512" s="14" t="n">
        <v>46</v>
      </c>
      <c r="C512" s="11" t="s">
        <v>134</v>
      </c>
      <c r="D512" s="17" t="n">
        <v>1</v>
      </c>
      <c r="E512" s="11" t="s">
        <v>112</v>
      </c>
      <c r="F512" s="14" t="str">
        <f aca="false">IFERROR(VLOOKUP(C512,Ingredients!$B$6:$I$206,7,FALSE()),"?")</f>
        <v>unit</v>
      </c>
      <c r="G512" s="31" t="n">
        <f aca="false">IFERROR(VLOOKUP(C512,Ingredients!$B$6:$I$206,6,FALSE()),0)</f>
        <v>0.09</v>
      </c>
      <c r="H512" s="32" t="n">
        <f aca="false">IFERROR(D512*G512,0)</f>
        <v>0.09</v>
      </c>
    </row>
    <row r="513" customFormat="false" ht="15" hidden="false" customHeight="true" outlineLevel="0" collapsed="false">
      <c r="B513" s="14" t="n">
        <v>46</v>
      </c>
      <c r="C513" s="11" t="s">
        <v>136</v>
      </c>
      <c r="D513" s="17" t="n">
        <v>1</v>
      </c>
      <c r="E513" s="11" t="s">
        <v>112</v>
      </c>
      <c r="F513" s="14" t="str">
        <f aca="false">IFERROR(VLOOKUP(C513,Ingredients!$B$6:$I$206,7,FALSE()),"?")</f>
        <v>unit</v>
      </c>
      <c r="G513" s="31" t="n">
        <f aca="false">IFERROR(VLOOKUP(C513,Ingredients!$B$6:$I$206,6,FALSE()),0)</f>
        <v>0.03</v>
      </c>
      <c r="H513" s="32" t="n">
        <f aca="false">IFERROR(D513*G513,0)</f>
        <v>0.03</v>
      </c>
    </row>
    <row r="514" customFormat="false" ht="15" hidden="false" customHeight="true" outlineLevel="0" collapsed="false">
      <c r="B514" s="14" t="n">
        <v>47</v>
      </c>
      <c r="C514" s="11" t="s">
        <v>110</v>
      </c>
      <c r="D514" s="17" t="n">
        <v>1</v>
      </c>
      <c r="E514" s="11" t="s">
        <v>112</v>
      </c>
      <c r="F514" s="14" t="str">
        <f aca="false">IFERROR(VLOOKUP(C514,Ingredients!$B$6:$I$206,7,FALSE()),"?")</f>
        <v>unit</v>
      </c>
      <c r="G514" s="31" t="n">
        <f aca="false">IFERROR(VLOOKUP(C514,Ingredients!$B$6:$I$206,6,FALSE()),0)</f>
        <v>0.059875</v>
      </c>
      <c r="H514" s="32" t="n">
        <f aca="false">IFERROR(D514*G514,0)</f>
        <v>0.059875</v>
      </c>
    </row>
    <row r="515" customFormat="false" ht="15" hidden="false" customHeight="true" outlineLevel="0" collapsed="false">
      <c r="B515" s="14" t="n">
        <v>47</v>
      </c>
      <c r="C515" s="11" t="s">
        <v>138</v>
      </c>
      <c r="D515" s="17" t="n">
        <v>1</v>
      </c>
      <c r="E515" s="11" t="s">
        <v>112</v>
      </c>
      <c r="F515" s="14" t="str">
        <f aca="false">IFERROR(VLOOKUP(C515,Ingredients!$B$6:$I$206,7,FALSE()),"?")</f>
        <v>unit</v>
      </c>
      <c r="G515" s="31" t="n">
        <f aca="false">IFERROR(VLOOKUP(C515,Ingredients!$B$6:$I$206,6,FALSE()),0)</f>
        <v>0.11</v>
      </c>
      <c r="H515" s="32" t="n">
        <f aca="false">IFERROR(D515*G515,0)</f>
        <v>0.11</v>
      </c>
    </row>
    <row r="516" customFormat="false" ht="15" hidden="false" customHeight="true" outlineLevel="0" collapsed="false">
      <c r="B516" s="14" t="n">
        <v>47</v>
      </c>
      <c r="C516" s="11" t="s">
        <v>140</v>
      </c>
      <c r="D516" s="17" t="n">
        <v>1</v>
      </c>
      <c r="E516" s="11" t="s">
        <v>112</v>
      </c>
      <c r="F516" s="14" t="str">
        <f aca="false">IFERROR(VLOOKUP(C516,Ingredients!$B$6:$I$206,7,FALSE()),"?")</f>
        <v>unit</v>
      </c>
      <c r="G516" s="31" t="n">
        <f aca="false">IFERROR(VLOOKUP(C516,Ingredients!$B$6:$I$206,6,FALSE()),0)</f>
        <v>0.03</v>
      </c>
      <c r="H516" s="32" t="n">
        <f aca="false">IFERROR(D516*G516,0)</f>
        <v>0.03</v>
      </c>
    </row>
    <row r="517" customFormat="false" ht="15" hidden="false" customHeight="true" outlineLevel="0" collapsed="false">
      <c r="B517" s="14" t="n">
        <v>48</v>
      </c>
      <c r="C517" s="11" t="s">
        <v>77</v>
      </c>
      <c r="D517" s="17" t="n">
        <v>0.036</v>
      </c>
      <c r="E517" s="11" t="s">
        <v>79</v>
      </c>
      <c r="F517" s="14" t="str">
        <f aca="false">IFERROR(VLOOKUP(C517,Ingredients!$B$6:$I$206,7,FALSE()),"?")</f>
        <v>kg</v>
      </c>
      <c r="G517" s="31" t="n">
        <f aca="false">IFERROR(VLOOKUP(C517,Ingredients!$B$6:$I$206,6,FALSE()),0)</f>
        <v>16.25</v>
      </c>
      <c r="H517" s="32" t="n">
        <f aca="false">IFERROR(D517*G517,0)</f>
        <v>0.585</v>
      </c>
    </row>
    <row r="518" customFormat="false" ht="15" hidden="false" customHeight="true" outlineLevel="0" collapsed="false">
      <c r="B518" s="14" t="n">
        <v>48</v>
      </c>
      <c r="C518" s="11" t="s">
        <v>134</v>
      </c>
      <c r="D518" s="17" t="n">
        <v>1</v>
      </c>
      <c r="E518" s="11" t="s">
        <v>112</v>
      </c>
      <c r="F518" s="14" t="str">
        <f aca="false">IFERROR(VLOOKUP(C518,Ingredients!$B$6:$I$206,7,FALSE()),"?")</f>
        <v>unit</v>
      </c>
      <c r="G518" s="31" t="n">
        <f aca="false">IFERROR(VLOOKUP(C518,Ingredients!$B$6:$I$206,6,FALSE()),0)</f>
        <v>0.09</v>
      </c>
      <c r="H518" s="32" t="n">
        <f aca="false">IFERROR(D518*G518,0)</f>
        <v>0.09</v>
      </c>
    </row>
    <row r="519" customFormat="false" ht="15" hidden="false" customHeight="true" outlineLevel="0" collapsed="false">
      <c r="B519" s="14" t="n">
        <v>48</v>
      </c>
      <c r="C519" s="11" t="s">
        <v>136</v>
      </c>
      <c r="D519" s="17" t="n">
        <v>1</v>
      </c>
      <c r="E519" s="11" t="s">
        <v>112</v>
      </c>
      <c r="F519" s="14" t="str">
        <f aca="false">IFERROR(VLOOKUP(C519,Ingredients!$B$6:$I$206,7,FALSE()),"?")</f>
        <v>unit</v>
      </c>
      <c r="G519" s="31" t="n">
        <f aca="false">IFERROR(VLOOKUP(C519,Ingredients!$B$6:$I$206,6,FALSE()),0)</f>
        <v>0.03</v>
      </c>
      <c r="H519" s="32" t="n">
        <f aca="false">IFERROR(D519*G519,0)</f>
        <v>0.03</v>
      </c>
    </row>
    <row r="520" customFormat="false" ht="15" hidden="false" customHeight="true" outlineLevel="0" collapsed="false">
      <c r="B520" s="14" t="n">
        <v>49</v>
      </c>
      <c r="C520" s="11" t="s">
        <v>77</v>
      </c>
      <c r="D520" s="17" t="n">
        <v>0.036</v>
      </c>
      <c r="E520" s="11" t="s">
        <v>79</v>
      </c>
      <c r="F520" s="14" t="str">
        <f aca="false">IFERROR(VLOOKUP(C520,Ingredients!$B$6:$I$206,7,FALSE()),"?")</f>
        <v>kg</v>
      </c>
      <c r="G520" s="31" t="n">
        <f aca="false">IFERROR(VLOOKUP(C520,Ingredients!$B$6:$I$206,6,FALSE()),0)</f>
        <v>16.25</v>
      </c>
      <c r="H520" s="32" t="n">
        <f aca="false">IFERROR(D520*G520,0)</f>
        <v>0.585</v>
      </c>
    </row>
    <row r="521" customFormat="false" ht="15" hidden="false" customHeight="true" outlineLevel="0" collapsed="false">
      <c r="B521" s="14" t="n">
        <v>49</v>
      </c>
      <c r="C521" s="11" t="s">
        <v>75</v>
      </c>
      <c r="D521" s="17" t="n">
        <v>0.02</v>
      </c>
      <c r="E521" s="11" t="s">
        <v>65</v>
      </c>
      <c r="F521" s="14" t="str">
        <f aca="false">IFERROR(VLOOKUP(C521,Ingredients!$B$6:$I$206,7,FALSE()),"?")</f>
        <v>L</v>
      </c>
      <c r="G521" s="31" t="n">
        <f aca="false">IFERROR(VLOOKUP(C521,Ingredients!$B$6:$I$206,6,FALSE()),0)</f>
        <v>6.8</v>
      </c>
      <c r="H521" s="32" t="n">
        <f aca="false">IFERROR(D521*G521,0)</f>
        <v>0.136</v>
      </c>
    </row>
    <row r="522" customFormat="false" ht="15" hidden="false" customHeight="true" outlineLevel="0" collapsed="false">
      <c r="B522" s="14" t="n">
        <v>49</v>
      </c>
      <c r="C522" s="11" t="s">
        <v>134</v>
      </c>
      <c r="D522" s="17" t="n">
        <v>1</v>
      </c>
      <c r="E522" s="11" t="s">
        <v>112</v>
      </c>
      <c r="F522" s="14" t="str">
        <f aca="false">IFERROR(VLOOKUP(C522,Ingredients!$B$6:$I$206,7,FALSE()),"?")</f>
        <v>unit</v>
      </c>
      <c r="G522" s="31" t="n">
        <f aca="false">IFERROR(VLOOKUP(C522,Ingredients!$B$6:$I$206,6,FALSE()),0)</f>
        <v>0.09</v>
      </c>
      <c r="H522" s="32" t="n">
        <f aca="false">IFERROR(D522*G522,0)</f>
        <v>0.09</v>
      </c>
    </row>
    <row r="523" customFormat="false" ht="15" hidden="false" customHeight="true" outlineLevel="0" collapsed="false">
      <c r="B523" s="14" t="n">
        <v>49</v>
      </c>
      <c r="C523" s="11" t="s">
        <v>136</v>
      </c>
      <c r="D523" s="17" t="n">
        <v>1</v>
      </c>
      <c r="E523" s="11" t="s">
        <v>112</v>
      </c>
      <c r="F523" s="14" t="str">
        <f aca="false">IFERROR(VLOOKUP(C523,Ingredients!$B$6:$I$206,7,FALSE()),"?")</f>
        <v>unit</v>
      </c>
      <c r="G523" s="31" t="n">
        <f aca="false">IFERROR(VLOOKUP(C523,Ingredients!$B$6:$I$206,6,FALSE()),0)</f>
        <v>0.03</v>
      </c>
      <c r="H523" s="32" t="n">
        <f aca="false">IFERROR(D523*G523,0)</f>
        <v>0.03</v>
      </c>
    </row>
    <row r="524" customFormat="false" ht="15" hidden="false" customHeight="true" outlineLevel="0" collapsed="false">
      <c r="B524" s="14" t="n">
        <v>50</v>
      </c>
      <c r="C524" s="11" t="s">
        <v>77</v>
      </c>
      <c r="D524" s="17" t="n">
        <v>0.036</v>
      </c>
      <c r="E524" s="11" t="s">
        <v>79</v>
      </c>
      <c r="F524" s="14" t="str">
        <f aca="false">IFERROR(VLOOKUP(C524,Ingredients!$B$6:$I$206,7,FALSE()),"?")</f>
        <v>kg</v>
      </c>
      <c r="G524" s="31" t="n">
        <f aca="false">IFERROR(VLOOKUP(C524,Ingredients!$B$6:$I$206,6,FALSE()),0)</f>
        <v>16.25</v>
      </c>
      <c r="H524" s="32" t="n">
        <f aca="false">IFERROR(D524*G524,0)</f>
        <v>0.585</v>
      </c>
    </row>
    <row r="525" customFormat="false" ht="15" hidden="false" customHeight="true" outlineLevel="0" collapsed="false">
      <c r="B525" s="14" t="n">
        <v>50</v>
      </c>
      <c r="C525" s="11" t="s">
        <v>63</v>
      </c>
      <c r="D525" s="17" t="n">
        <v>0.15</v>
      </c>
      <c r="E525" s="11" t="s">
        <v>65</v>
      </c>
      <c r="F525" s="14" t="str">
        <f aca="false">IFERROR(VLOOKUP(C525,Ingredients!$B$6:$I$206,7,FALSE()),"?")</f>
        <v>L</v>
      </c>
      <c r="G525" s="31" t="n">
        <f aca="false">IFERROR(VLOOKUP(C525,Ingredients!$B$6:$I$206,6,FALSE()),0)</f>
        <v>0.732745961820852</v>
      </c>
      <c r="H525" s="32" t="n">
        <f aca="false">IFERROR(D525*G525,0)</f>
        <v>0.109911894273128</v>
      </c>
    </row>
    <row r="526" customFormat="false" ht="15" hidden="false" customHeight="true" outlineLevel="0" collapsed="false">
      <c r="B526" s="14" t="n">
        <v>50</v>
      </c>
      <c r="C526" s="11" t="s">
        <v>134</v>
      </c>
      <c r="D526" s="17" t="n">
        <v>1</v>
      </c>
      <c r="E526" s="11" t="s">
        <v>112</v>
      </c>
      <c r="F526" s="14" t="str">
        <f aca="false">IFERROR(VLOOKUP(C526,Ingredients!$B$6:$I$206,7,FALSE()),"?")</f>
        <v>unit</v>
      </c>
      <c r="G526" s="31" t="n">
        <f aca="false">IFERROR(VLOOKUP(C526,Ingredients!$B$6:$I$206,6,FALSE()),0)</f>
        <v>0.09</v>
      </c>
      <c r="H526" s="32" t="n">
        <f aca="false">IFERROR(D526*G526,0)</f>
        <v>0.09</v>
      </c>
    </row>
    <row r="527" customFormat="false" ht="15" hidden="false" customHeight="true" outlineLevel="0" collapsed="false">
      <c r="B527" s="14" t="n">
        <v>50</v>
      </c>
      <c r="C527" s="11" t="s">
        <v>136</v>
      </c>
      <c r="D527" s="17" t="n">
        <v>1</v>
      </c>
      <c r="E527" s="11" t="s">
        <v>112</v>
      </c>
      <c r="F527" s="14" t="str">
        <f aca="false">IFERROR(VLOOKUP(C527,Ingredients!$B$6:$I$206,7,FALSE()),"?")</f>
        <v>unit</v>
      </c>
      <c r="G527" s="31" t="n">
        <f aca="false">IFERROR(VLOOKUP(C527,Ingredients!$B$6:$I$206,6,FALSE()),0)</f>
        <v>0.03</v>
      </c>
      <c r="H527" s="32" t="n">
        <f aca="false">IFERROR(D527*G527,0)</f>
        <v>0.03</v>
      </c>
    </row>
    <row r="528" customFormat="false" ht="15" hidden="false" customHeight="true" outlineLevel="0" collapsed="false">
      <c r="B528" s="14" t="n">
        <v>51</v>
      </c>
      <c r="C528" s="11" t="s">
        <v>110</v>
      </c>
      <c r="D528" s="17" t="n">
        <v>1</v>
      </c>
      <c r="E528" s="11" t="s">
        <v>112</v>
      </c>
      <c r="F528" s="14" t="str">
        <f aca="false">IFERROR(VLOOKUP(C528,Ingredients!$B$6:$I$206,7,FALSE()),"?")</f>
        <v>unit</v>
      </c>
      <c r="G528" s="31" t="n">
        <f aca="false">IFERROR(VLOOKUP(C528,Ingredients!$B$6:$I$206,6,FALSE()),0)</f>
        <v>0.059875</v>
      </c>
      <c r="H528" s="32" t="n">
        <f aca="false">IFERROR(D528*G528,0)</f>
        <v>0.059875</v>
      </c>
    </row>
    <row r="529" customFormat="false" ht="15" hidden="false" customHeight="true" outlineLevel="0" collapsed="false">
      <c r="B529" s="14" t="n">
        <v>51</v>
      </c>
      <c r="C529" s="11" t="s">
        <v>138</v>
      </c>
      <c r="D529" s="17" t="n">
        <v>1</v>
      </c>
      <c r="E529" s="11" t="s">
        <v>112</v>
      </c>
      <c r="F529" s="14" t="str">
        <f aca="false">IFERROR(VLOOKUP(C529,Ingredients!$B$6:$I$206,7,FALSE()),"?")</f>
        <v>unit</v>
      </c>
      <c r="G529" s="31" t="n">
        <f aca="false">IFERROR(VLOOKUP(C529,Ingredients!$B$6:$I$206,6,FALSE()),0)</f>
        <v>0.11</v>
      </c>
      <c r="H529" s="32" t="n">
        <f aca="false">IFERROR(D529*G529,0)</f>
        <v>0.11</v>
      </c>
    </row>
    <row r="530" customFormat="false" ht="15" hidden="false" customHeight="true" outlineLevel="0" collapsed="false">
      <c r="B530" s="14" t="n">
        <v>51</v>
      </c>
      <c r="C530" s="11" t="s">
        <v>140</v>
      </c>
      <c r="D530" s="17" t="n">
        <v>1</v>
      </c>
      <c r="E530" s="11" t="s">
        <v>112</v>
      </c>
      <c r="F530" s="14" t="str">
        <f aca="false">IFERROR(VLOOKUP(C530,Ingredients!$B$6:$I$206,7,FALSE()),"?")</f>
        <v>unit</v>
      </c>
      <c r="G530" s="31" t="n">
        <f aca="false">IFERROR(VLOOKUP(C530,Ingredients!$B$6:$I$206,6,FALSE()),0)</f>
        <v>0.03</v>
      </c>
      <c r="H530" s="32" t="n">
        <f aca="false">IFERROR(D530*G530,0)</f>
        <v>0.03</v>
      </c>
    </row>
    <row r="531" customFormat="false" ht="15" hidden="false" customHeight="true" outlineLevel="0" collapsed="false">
      <c r="B531" s="14" t="n">
        <v>54</v>
      </c>
      <c r="C531" s="11" t="s">
        <v>110</v>
      </c>
      <c r="D531" s="17" t="n">
        <v>1</v>
      </c>
      <c r="E531" s="11" t="s">
        <v>112</v>
      </c>
      <c r="F531" s="14" t="str">
        <f aca="false">IFERROR(VLOOKUP(C531,Ingredients!$B$6:$I$206,7,FALSE()),"?")</f>
        <v>unit</v>
      </c>
      <c r="G531" s="31" t="n">
        <f aca="false">IFERROR(VLOOKUP(C531,Ingredients!$B$6:$I$206,6,FALSE()),0)</f>
        <v>0.059875</v>
      </c>
      <c r="H531" s="32" t="n">
        <f aca="false">IFERROR(D531*G531,0)</f>
        <v>0.059875</v>
      </c>
    </row>
    <row r="532" customFormat="false" ht="15" hidden="false" customHeight="true" outlineLevel="0" collapsed="false">
      <c r="B532" s="14" t="n">
        <v>54</v>
      </c>
      <c r="C532" s="11" t="s">
        <v>138</v>
      </c>
      <c r="D532" s="17" t="n">
        <v>1</v>
      </c>
      <c r="E532" s="11" t="s">
        <v>112</v>
      </c>
      <c r="F532" s="14" t="str">
        <f aca="false">IFERROR(VLOOKUP(C532,Ingredients!$B$6:$I$206,7,FALSE()),"?")</f>
        <v>unit</v>
      </c>
      <c r="G532" s="31" t="n">
        <f aca="false">IFERROR(VLOOKUP(C532,Ingredients!$B$6:$I$206,6,FALSE()),0)</f>
        <v>0.11</v>
      </c>
      <c r="H532" s="32" t="n">
        <f aca="false">IFERROR(D532*G532,0)</f>
        <v>0.11</v>
      </c>
    </row>
    <row r="533" customFormat="false" ht="15" hidden="false" customHeight="true" outlineLevel="0" collapsed="false">
      <c r="B533" s="14" t="n">
        <v>54</v>
      </c>
      <c r="C533" s="11" t="s">
        <v>140</v>
      </c>
      <c r="D533" s="17" t="n">
        <v>1</v>
      </c>
      <c r="E533" s="11" t="s">
        <v>112</v>
      </c>
      <c r="F533" s="14" t="str">
        <f aca="false">IFERROR(VLOOKUP(C533,Ingredients!$B$6:$I$206,7,FALSE()),"?")</f>
        <v>unit</v>
      </c>
      <c r="G533" s="31" t="n">
        <f aca="false">IFERROR(VLOOKUP(C533,Ingredients!$B$6:$I$206,6,FALSE()),0)</f>
        <v>0.03</v>
      </c>
      <c r="H533" s="32" t="n">
        <f aca="false">IFERROR(D533*G533,0)</f>
        <v>0.03</v>
      </c>
    </row>
    <row r="534" customFormat="false" ht="15" hidden="false" customHeight="true" outlineLevel="0" collapsed="false">
      <c r="B534" s="14" t="n">
        <v>55</v>
      </c>
      <c r="C534" s="11" t="s">
        <v>77</v>
      </c>
      <c r="D534" s="17" t="n">
        <v>0.036</v>
      </c>
      <c r="E534" s="11" t="s">
        <v>79</v>
      </c>
      <c r="F534" s="14" t="str">
        <f aca="false">IFERROR(VLOOKUP(C534,Ingredients!$B$6:$I$206,7,FALSE()),"?")</f>
        <v>kg</v>
      </c>
      <c r="G534" s="31" t="n">
        <f aca="false">IFERROR(VLOOKUP(C534,Ingredients!$B$6:$I$206,6,FALSE()),0)</f>
        <v>16.25</v>
      </c>
      <c r="H534" s="32" t="n">
        <f aca="false">IFERROR(D534*G534,0)</f>
        <v>0.585</v>
      </c>
    </row>
    <row r="535" customFormat="false" ht="15" hidden="false" customHeight="true" outlineLevel="0" collapsed="false">
      <c r="B535" s="14" t="n">
        <v>55</v>
      </c>
      <c r="C535" s="11" t="s">
        <v>128</v>
      </c>
      <c r="D535" s="17" t="n">
        <v>0.2</v>
      </c>
      <c r="E535" s="11" t="s">
        <v>65</v>
      </c>
      <c r="F535" s="14" t="str">
        <f aca="false">IFERROR(VLOOKUP(C535,Ingredients!$B$6:$I$206,7,FALSE()),"?")</f>
        <v>L</v>
      </c>
      <c r="G535" s="31" t="n">
        <f aca="false">IFERROR(VLOOKUP(C535,Ingredients!$B$6:$I$206,6,FALSE()),0)</f>
        <v>4.16666666666667</v>
      </c>
      <c r="H535" s="32" t="n">
        <f aca="false">IFERROR(D535*G535,0)</f>
        <v>0.833333333333334</v>
      </c>
    </row>
    <row r="536" customFormat="false" ht="15" hidden="false" customHeight="true" outlineLevel="0" collapsed="false">
      <c r="B536" s="14" t="n">
        <v>55</v>
      </c>
      <c r="C536" s="11" t="s">
        <v>142</v>
      </c>
      <c r="D536" s="17" t="n">
        <v>1</v>
      </c>
      <c r="E536" s="11" t="s">
        <v>112</v>
      </c>
      <c r="F536" s="14" t="str">
        <f aca="false">IFERROR(VLOOKUP(C536,Ingredients!$B$6:$I$206,7,FALSE()),"?")</f>
        <v>unit</v>
      </c>
      <c r="G536" s="31" t="n">
        <f aca="false">IFERROR(VLOOKUP(C536,Ingredients!$B$6:$I$206,6,FALSE()),0)</f>
        <v>0.14</v>
      </c>
      <c r="H536" s="32" t="n">
        <f aca="false">IFERROR(D536*G536,0)</f>
        <v>0.14</v>
      </c>
    </row>
    <row r="537" customFormat="false" ht="15" hidden="false" customHeight="true" outlineLevel="0" collapsed="false">
      <c r="B537" s="14" t="n">
        <v>55</v>
      </c>
      <c r="C537" s="11" t="s">
        <v>144</v>
      </c>
      <c r="D537" s="17" t="n">
        <v>1</v>
      </c>
      <c r="E537" s="11" t="s">
        <v>112</v>
      </c>
      <c r="F537" s="14" t="str">
        <f aca="false">IFERROR(VLOOKUP(C537,Ingredients!$B$6:$I$206,7,FALSE()),"?")</f>
        <v>unit</v>
      </c>
      <c r="G537" s="31" t="n">
        <f aca="false">IFERROR(VLOOKUP(C537,Ingredients!$B$6:$I$206,6,FALSE()),0)</f>
        <v>0.03</v>
      </c>
      <c r="H537" s="32" t="n">
        <f aca="false">IFERROR(D537*G537,0)</f>
        <v>0.03</v>
      </c>
    </row>
    <row r="538" customFormat="false" ht="15" hidden="false" customHeight="true" outlineLevel="0" collapsed="false">
      <c r="B538" s="14" t="n">
        <v>56</v>
      </c>
      <c r="C538" s="11" t="s">
        <v>77</v>
      </c>
      <c r="D538" s="17" t="n">
        <v>0.036</v>
      </c>
      <c r="E538" s="11" t="s">
        <v>79</v>
      </c>
      <c r="F538" s="14" t="str">
        <f aca="false">IFERROR(VLOOKUP(C538,Ingredients!$B$6:$I$206,7,FALSE()),"?")</f>
        <v>kg</v>
      </c>
      <c r="G538" s="31" t="n">
        <f aca="false">IFERROR(VLOOKUP(C538,Ingredients!$B$6:$I$206,6,FALSE()),0)</f>
        <v>16.25</v>
      </c>
      <c r="H538" s="32" t="n">
        <f aca="false">IFERROR(D538*G538,0)</f>
        <v>0.585</v>
      </c>
    </row>
    <row r="539" customFormat="false" ht="15" hidden="false" customHeight="true" outlineLevel="0" collapsed="false">
      <c r="B539" s="14" t="n">
        <v>56</v>
      </c>
      <c r="C539" s="11" t="s">
        <v>128</v>
      </c>
      <c r="D539" s="17" t="n">
        <v>0.2</v>
      </c>
      <c r="E539" s="11" t="s">
        <v>65</v>
      </c>
      <c r="F539" s="14" t="str">
        <f aca="false">IFERROR(VLOOKUP(C539,Ingredients!$B$6:$I$206,7,FALSE()),"?")</f>
        <v>L</v>
      </c>
      <c r="G539" s="31" t="n">
        <f aca="false">IFERROR(VLOOKUP(C539,Ingredients!$B$6:$I$206,6,FALSE()),0)</f>
        <v>4.16666666666667</v>
      </c>
      <c r="H539" s="32" t="n">
        <f aca="false">IFERROR(D539*G539,0)</f>
        <v>0.833333333333334</v>
      </c>
    </row>
    <row r="540" customFormat="false" ht="15" hidden="false" customHeight="true" outlineLevel="0" collapsed="false">
      <c r="B540" s="14" t="n">
        <v>56</v>
      </c>
      <c r="C540" s="11" t="s">
        <v>138</v>
      </c>
      <c r="D540" s="17" t="n">
        <v>1</v>
      </c>
      <c r="E540" s="11" t="s">
        <v>112</v>
      </c>
      <c r="F540" s="14" t="str">
        <f aca="false">IFERROR(VLOOKUP(C540,Ingredients!$B$6:$I$206,7,FALSE()),"?")</f>
        <v>unit</v>
      </c>
      <c r="G540" s="31" t="n">
        <f aca="false">IFERROR(VLOOKUP(C540,Ingredients!$B$6:$I$206,6,FALSE()),0)</f>
        <v>0.11</v>
      </c>
      <c r="H540" s="32" t="n">
        <f aca="false">IFERROR(D540*G540,0)</f>
        <v>0.11</v>
      </c>
    </row>
    <row r="541" customFormat="false" ht="15" hidden="false" customHeight="true" outlineLevel="0" collapsed="false">
      <c r="B541" s="14" t="n">
        <v>56</v>
      </c>
      <c r="C541" s="11" t="s">
        <v>140</v>
      </c>
      <c r="D541" s="17" t="n">
        <v>1</v>
      </c>
      <c r="E541" s="11" t="s">
        <v>112</v>
      </c>
      <c r="F541" s="14" t="str">
        <f aca="false">IFERROR(VLOOKUP(C541,Ingredients!$B$6:$I$206,7,FALSE()),"?")</f>
        <v>unit</v>
      </c>
      <c r="G541" s="31" t="n">
        <f aca="false">IFERROR(VLOOKUP(C541,Ingredients!$B$6:$I$206,6,FALSE()),0)</f>
        <v>0.03</v>
      </c>
      <c r="H541" s="32" t="n">
        <f aca="false">IFERROR(D541*G541,0)</f>
        <v>0.03</v>
      </c>
    </row>
    <row r="542" customFormat="false" ht="15" hidden="false" customHeight="true" outlineLevel="0" collapsed="false">
      <c r="B542" s="14" t="n">
        <v>57</v>
      </c>
      <c r="C542" s="11" t="s">
        <v>77</v>
      </c>
      <c r="D542" s="17" t="n">
        <v>0.036</v>
      </c>
      <c r="E542" s="11" t="s">
        <v>79</v>
      </c>
      <c r="F542" s="14" t="str">
        <f aca="false">IFERROR(VLOOKUP(C542,Ingredients!$B$6:$I$206,7,FALSE()),"?")</f>
        <v>kg</v>
      </c>
      <c r="G542" s="31" t="n">
        <f aca="false">IFERROR(VLOOKUP(C542,Ingredients!$B$6:$I$206,6,FALSE()),0)</f>
        <v>16.25</v>
      </c>
      <c r="H542" s="32" t="n">
        <f aca="false">IFERROR(D542*G542,0)</f>
        <v>0.585</v>
      </c>
    </row>
    <row r="543" customFormat="false" ht="15" hidden="false" customHeight="true" outlineLevel="0" collapsed="false">
      <c r="B543" s="14" t="n">
        <v>57</v>
      </c>
      <c r="C543" s="11" t="s">
        <v>63</v>
      </c>
      <c r="D543" s="17" t="n">
        <v>0.18</v>
      </c>
      <c r="E543" s="11" t="s">
        <v>65</v>
      </c>
      <c r="F543" s="14" t="str">
        <f aca="false">IFERROR(VLOOKUP(C543,Ingredients!$B$6:$I$206,7,FALSE()),"?")</f>
        <v>L</v>
      </c>
      <c r="G543" s="31" t="n">
        <f aca="false">IFERROR(VLOOKUP(C543,Ingredients!$B$6:$I$206,6,FALSE()),0)</f>
        <v>0.732745961820852</v>
      </c>
      <c r="H543" s="32" t="n">
        <f aca="false">IFERROR(D543*G543,0)</f>
        <v>0.131894273127753</v>
      </c>
    </row>
    <row r="544" customFormat="false" ht="15" hidden="false" customHeight="true" outlineLevel="0" collapsed="false">
      <c r="B544" s="14" t="n">
        <v>57</v>
      </c>
      <c r="C544" s="11" t="s">
        <v>134</v>
      </c>
      <c r="D544" s="17" t="n">
        <v>1</v>
      </c>
      <c r="E544" s="11" t="s">
        <v>112</v>
      </c>
      <c r="F544" s="14" t="str">
        <f aca="false">IFERROR(VLOOKUP(C544,Ingredients!$B$6:$I$206,7,FALSE()),"?")</f>
        <v>unit</v>
      </c>
      <c r="G544" s="31" t="n">
        <f aca="false">IFERROR(VLOOKUP(C544,Ingredients!$B$6:$I$206,6,FALSE()),0)</f>
        <v>0.09</v>
      </c>
      <c r="H544" s="32" t="n">
        <f aca="false">IFERROR(D544*G544,0)</f>
        <v>0.09</v>
      </c>
    </row>
    <row r="545" customFormat="false" ht="15" hidden="false" customHeight="true" outlineLevel="0" collapsed="false">
      <c r="B545" s="14" t="n">
        <v>57</v>
      </c>
      <c r="C545" s="11" t="s">
        <v>136</v>
      </c>
      <c r="D545" s="17" t="n">
        <v>1</v>
      </c>
      <c r="E545" s="11" t="s">
        <v>112</v>
      </c>
      <c r="F545" s="14" t="str">
        <f aca="false">IFERROR(VLOOKUP(C545,Ingredients!$B$6:$I$206,7,FALSE()),"?")</f>
        <v>unit</v>
      </c>
      <c r="G545" s="31" t="n">
        <f aca="false">IFERROR(VLOOKUP(C545,Ingredients!$B$6:$I$206,6,FALSE()),0)</f>
        <v>0.03</v>
      </c>
      <c r="H545" s="32" t="n">
        <f aca="false">IFERROR(D545*G545,0)</f>
        <v>0.03</v>
      </c>
    </row>
    <row r="546" customFormat="false" ht="15" hidden="false" customHeight="true" outlineLevel="0" collapsed="false">
      <c r="B546" s="14" t="n">
        <v>58</v>
      </c>
      <c r="C546" s="11" t="s">
        <v>110</v>
      </c>
      <c r="D546" s="17" t="n">
        <v>1</v>
      </c>
      <c r="E546" s="11" t="s">
        <v>112</v>
      </c>
      <c r="F546" s="14" t="str">
        <f aca="false">IFERROR(VLOOKUP(C546,Ingredients!$B$6:$I$206,7,FALSE()),"?")</f>
        <v>unit</v>
      </c>
      <c r="G546" s="31" t="n">
        <f aca="false">IFERROR(VLOOKUP(C546,Ingredients!$B$6:$I$206,6,FALSE()),0)</f>
        <v>0.059875</v>
      </c>
      <c r="H546" s="32" t="n">
        <f aca="false">IFERROR(D546*G546,0)</f>
        <v>0.059875</v>
      </c>
    </row>
    <row r="547" customFormat="false" ht="15" hidden="false" customHeight="true" outlineLevel="0" collapsed="false">
      <c r="B547" s="14" t="n">
        <v>58</v>
      </c>
      <c r="C547" s="11" t="s">
        <v>138</v>
      </c>
      <c r="D547" s="17" t="n">
        <v>1</v>
      </c>
      <c r="E547" s="11" t="s">
        <v>112</v>
      </c>
      <c r="F547" s="14" t="str">
        <f aca="false">IFERROR(VLOOKUP(C547,Ingredients!$B$6:$I$206,7,FALSE()),"?")</f>
        <v>unit</v>
      </c>
      <c r="G547" s="31" t="n">
        <f aca="false">IFERROR(VLOOKUP(C547,Ingredients!$B$6:$I$206,6,FALSE()),0)</f>
        <v>0.11</v>
      </c>
      <c r="H547" s="32" t="n">
        <f aca="false">IFERROR(D547*G547,0)</f>
        <v>0.11</v>
      </c>
    </row>
    <row r="548" customFormat="false" ht="15" hidden="false" customHeight="true" outlineLevel="0" collapsed="false">
      <c r="B548" s="14" t="n">
        <v>58</v>
      </c>
      <c r="C548" s="11" t="s">
        <v>140</v>
      </c>
      <c r="D548" s="17" t="n">
        <v>1</v>
      </c>
      <c r="E548" s="11" t="s">
        <v>112</v>
      </c>
      <c r="F548" s="14" t="str">
        <f aca="false">IFERROR(VLOOKUP(C548,Ingredients!$B$6:$I$206,7,FALSE()),"?")</f>
        <v>unit</v>
      </c>
      <c r="G548" s="31" t="n">
        <f aca="false">IFERROR(VLOOKUP(C548,Ingredients!$B$6:$I$206,6,FALSE()),0)</f>
        <v>0.03</v>
      </c>
      <c r="H548" s="32" t="n">
        <f aca="false">IFERROR(D548*G548,0)</f>
        <v>0.03</v>
      </c>
    </row>
    <row r="549" customFormat="false" ht="15" hidden="false" customHeight="true" outlineLevel="0" collapsed="false">
      <c r="B549" s="14" t="n">
        <v>59</v>
      </c>
      <c r="C549" s="11" t="s">
        <v>110</v>
      </c>
      <c r="D549" s="17" t="n">
        <v>1</v>
      </c>
      <c r="E549" s="11" t="s">
        <v>112</v>
      </c>
      <c r="F549" s="14" t="str">
        <f aca="false">IFERROR(VLOOKUP(C549,Ingredients!$B$6:$I$206,7,FALSE()),"?")</f>
        <v>unit</v>
      </c>
      <c r="G549" s="31" t="n">
        <f aca="false">IFERROR(VLOOKUP(C549,Ingredients!$B$6:$I$206,6,FALSE()),0)</f>
        <v>0.059875</v>
      </c>
      <c r="H549" s="32" t="n">
        <f aca="false">IFERROR(D549*G549,0)</f>
        <v>0.059875</v>
      </c>
    </row>
    <row r="550" customFormat="false" ht="15" hidden="false" customHeight="true" outlineLevel="0" collapsed="false">
      <c r="B550" s="14" t="n">
        <v>59</v>
      </c>
      <c r="C550" s="11" t="s">
        <v>138</v>
      </c>
      <c r="D550" s="17" t="n">
        <v>1</v>
      </c>
      <c r="E550" s="11" t="s">
        <v>112</v>
      </c>
      <c r="F550" s="14" t="str">
        <f aca="false">IFERROR(VLOOKUP(C550,Ingredients!$B$6:$I$206,7,FALSE()),"?")</f>
        <v>unit</v>
      </c>
      <c r="G550" s="31" t="n">
        <f aca="false">IFERROR(VLOOKUP(C550,Ingredients!$B$6:$I$206,6,FALSE()),0)</f>
        <v>0.11</v>
      </c>
      <c r="H550" s="32" t="n">
        <f aca="false">IFERROR(D550*G550,0)</f>
        <v>0.11</v>
      </c>
    </row>
    <row r="551" customFormat="false" ht="15" hidden="false" customHeight="true" outlineLevel="0" collapsed="false">
      <c r="B551" s="14" t="n">
        <v>59</v>
      </c>
      <c r="C551" s="11" t="s">
        <v>140</v>
      </c>
      <c r="D551" s="17" t="n">
        <v>1</v>
      </c>
      <c r="E551" s="11" t="s">
        <v>112</v>
      </c>
      <c r="F551" s="14" t="str">
        <f aca="false">IFERROR(VLOOKUP(C551,Ingredients!$B$6:$I$206,7,FALSE()),"?")</f>
        <v>unit</v>
      </c>
      <c r="G551" s="31" t="n">
        <f aca="false">IFERROR(VLOOKUP(C551,Ingredients!$B$6:$I$206,6,FALSE()),0)</f>
        <v>0.03</v>
      </c>
      <c r="H551" s="32" t="n">
        <f aca="false">IFERROR(D551*G551,0)</f>
        <v>0.03</v>
      </c>
    </row>
    <row r="552" customFormat="false" ht="15" hidden="false" customHeight="true" outlineLevel="0" collapsed="false">
      <c r="B552" s="14" t="n">
        <v>60</v>
      </c>
      <c r="C552" s="11" t="s">
        <v>110</v>
      </c>
      <c r="D552" s="17" t="n">
        <v>1</v>
      </c>
      <c r="E552" s="11" t="s">
        <v>112</v>
      </c>
      <c r="F552" s="14" t="str">
        <f aca="false">IFERROR(VLOOKUP(C552,Ingredients!$B$6:$I$206,7,FALSE()),"?")</f>
        <v>unit</v>
      </c>
      <c r="G552" s="31" t="n">
        <f aca="false">IFERROR(VLOOKUP(C552,Ingredients!$B$6:$I$206,6,FALSE()),0)</f>
        <v>0.059875</v>
      </c>
      <c r="H552" s="32" t="n">
        <f aca="false">IFERROR(D552*G552,0)</f>
        <v>0.059875</v>
      </c>
    </row>
    <row r="553" customFormat="false" ht="15" hidden="false" customHeight="true" outlineLevel="0" collapsed="false">
      <c r="B553" s="14" t="n">
        <v>60</v>
      </c>
      <c r="C553" s="11" t="s">
        <v>138</v>
      </c>
      <c r="D553" s="17" t="n">
        <v>1</v>
      </c>
      <c r="E553" s="11" t="s">
        <v>112</v>
      </c>
      <c r="F553" s="14" t="str">
        <f aca="false">IFERROR(VLOOKUP(C553,Ingredients!$B$6:$I$206,7,FALSE()),"?")</f>
        <v>unit</v>
      </c>
      <c r="G553" s="31" t="n">
        <f aca="false">IFERROR(VLOOKUP(C553,Ingredients!$B$6:$I$206,6,FALSE()),0)</f>
        <v>0.11</v>
      </c>
      <c r="H553" s="32" t="n">
        <f aca="false">IFERROR(D553*G553,0)</f>
        <v>0.11</v>
      </c>
    </row>
    <row r="554" customFormat="false" ht="15" hidden="false" customHeight="true" outlineLevel="0" collapsed="false">
      <c r="B554" s="14" t="n">
        <v>60</v>
      </c>
      <c r="C554" s="11" t="s">
        <v>140</v>
      </c>
      <c r="D554" s="17" t="n">
        <v>1</v>
      </c>
      <c r="E554" s="11" t="s">
        <v>112</v>
      </c>
      <c r="F554" s="14" t="str">
        <f aca="false">IFERROR(VLOOKUP(C554,Ingredients!$B$6:$I$206,7,FALSE()),"?")</f>
        <v>unit</v>
      </c>
      <c r="G554" s="31" t="n">
        <f aca="false">IFERROR(VLOOKUP(C554,Ingredients!$B$6:$I$206,6,FALSE()),0)</f>
        <v>0.03</v>
      </c>
      <c r="H554" s="32" t="n">
        <f aca="false">IFERROR(D554*G554,0)</f>
        <v>0.03</v>
      </c>
    </row>
    <row r="555" customFormat="false" ht="15" hidden="false" customHeight="true" outlineLevel="0" collapsed="false">
      <c r="B555" s="14" t="n">
        <v>61</v>
      </c>
      <c r="C555" s="11" t="s">
        <v>63</v>
      </c>
      <c r="D555" s="17" t="n">
        <v>0.2</v>
      </c>
      <c r="E555" s="11" t="s">
        <v>65</v>
      </c>
      <c r="F555" s="14" t="str">
        <f aca="false">IFERROR(VLOOKUP(C555,Ingredients!$B$6:$I$206,7,FALSE()),"?")</f>
        <v>L</v>
      </c>
      <c r="G555" s="31" t="n">
        <f aca="false">IFERROR(VLOOKUP(C555,Ingredients!$B$6:$I$206,6,FALSE()),0)</f>
        <v>0.732745961820852</v>
      </c>
      <c r="H555" s="32" t="n">
        <f aca="false">IFERROR(D555*G555,0)</f>
        <v>0.14654919236417</v>
      </c>
    </row>
    <row r="556" customFormat="false" ht="15" hidden="false" customHeight="true" outlineLevel="0" collapsed="false">
      <c r="B556" s="14" t="n">
        <v>61</v>
      </c>
      <c r="C556" s="11" t="s">
        <v>106</v>
      </c>
      <c r="D556" s="17" t="n">
        <v>30</v>
      </c>
      <c r="E556" s="11" t="s">
        <v>84</v>
      </c>
      <c r="F556" s="14" t="str">
        <f aca="false">IFERROR(VLOOKUP(C556,Ingredients!$B$6:$I$206,7,FALSE()),"?")</f>
        <v>ml</v>
      </c>
      <c r="G556" s="31" t="n">
        <f aca="false">IFERROR(VLOOKUP(C556,Ingredients!$B$6:$I$206,6,FALSE()),0)</f>
        <v>0.005</v>
      </c>
      <c r="H556" s="32" t="n">
        <f aca="false">IFERROR(D556*G556,0)</f>
        <v>0.15</v>
      </c>
    </row>
    <row r="557" customFormat="false" ht="15" hidden="false" customHeight="true" outlineLevel="0" collapsed="false">
      <c r="B557" s="14" t="n">
        <v>61</v>
      </c>
      <c r="C557" s="11" t="s">
        <v>125</v>
      </c>
      <c r="D557" s="17" t="n">
        <v>0.02</v>
      </c>
      <c r="E557" s="11" t="s">
        <v>79</v>
      </c>
      <c r="F557" s="14" t="str">
        <f aca="false">IFERROR(VLOOKUP(C557,Ingredients!$B$6:$I$206,7,FALSE()),"?")</f>
        <v>kg</v>
      </c>
      <c r="G557" s="31" t="n">
        <f aca="false">IFERROR(VLOOKUP(C557,Ingredients!$B$6:$I$206,6,FALSE()),0)</f>
        <v>5.9375</v>
      </c>
      <c r="H557" s="32" t="n">
        <f aca="false">IFERROR(D557*G557,0)</f>
        <v>0.11875</v>
      </c>
    </row>
    <row r="558" customFormat="false" ht="15" hidden="false" customHeight="true" outlineLevel="0" collapsed="false">
      <c r="B558" s="14" t="n">
        <v>61</v>
      </c>
      <c r="C558" s="11" t="s">
        <v>142</v>
      </c>
      <c r="D558" s="17" t="n">
        <v>1</v>
      </c>
      <c r="E558" s="11" t="s">
        <v>112</v>
      </c>
      <c r="F558" s="14" t="str">
        <f aca="false">IFERROR(VLOOKUP(C558,Ingredients!$B$6:$I$206,7,FALSE()),"?")</f>
        <v>unit</v>
      </c>
      <c r="G558" s="31" t="n">
        <f aca="false">IFERROR(VLOOKUP(C558,Ingredients!$B$6:$I$206,6,FALSE()),0)</f>
        <v>0.14</v>
      </c>
      <c r="H558" s="32" t="n">
        <f aca="false">IFERROR(D558*G558,0)</f>
        <v>0.14</v>
      </c>
    </row>
    <row r="559" customFormat="false" ht="15" hidden="false" customHeight="true" outlineLevel="0" collapsed="false">
      <c r="B559" s="14" t="n">
        <v>61</v>
      </c>
      <c r="C559" s="11" t="s">
        <v>144</v>
      </c>
      <c r="D559" s="17" t="n">
        <v>1</v>
      </c>
      <c r="E559" s="11" t="s">
        <v>112</v>
      </c>
      <c r="F559" s="14" t="str">
        <f aca="false">IFERROR(VLOOKUP(C559,Ingredients!$B$6:$I$206,7,FALSE()),"?")</f>
        <v>unit</v>
      </c>
      <c r="G559" s="31" t="n">
        <f aca="false">IFERROR(VLOOKUP(C559,Ingredients!$B$6:$I$206,6,FALSE()),0)</f>
        <v>0.03</v>
      </c>
      <c r="H559" s="32" t="n">
        <f aca="false">IFERROR(D559*G559,0)</f>
        <v>0.03</v>
      </c>
    </row>
    <row r="560" customFormat="false" ht="15" hidden="false" customHeight="true" outlineLevel="0" collapsed="false">
      <c r="B560" s="14" t="n">
        <v>62</v>
      </c>
      <c r="C560" s="11" t="s">
        <v>63</v>
      </c>
      <c r="D560" s="17" t="n">
        <v>0.2</v>
      </c>
      <c r="E560" s="11" t="s">
        <v>65</v>
      </c>
      <c r="F560" s="14" t="str">
        <f aca="false">IFERROR(VLOOKUP(C560,Ingredients!$B$6:$I$206,7,FALSE()),"?")</f>
        <v>L</v>
      </c>
      <c r="G560" s="31" t="n">
        <f aca="false">IFERROR(VLOOKUP(C560,Ingredients!$B$6:$I$206,6,FALSE()),0)</f>
        <v>0.732745961820852</v>
      </c>
      <c r="H560" s="32" t="n">
        <f aca="false">IFERROR(D560*G560,0)</f>
        <v>0.14654919236417</v>
      </c>
    </row>
    <row r="561" customFormat="false" ht="15" hidden="false" customHeight="true" outlineLevel="0" collapsed="false">
      <c r="B561" s="14" t="n">
        <v>62</v>
      </c>
      <c r="C561" s="11" t="s">
        <v>106</v>
      </c>
      <c r="D561" s="17" t="n">
        <v>30</v>
      </c>
      <c r="E561" s="11" t="s">
        <v>84</v>
      </c>
      <c r="F561" s="14" t="str">
        <f aca="false">IFERROR(VLOOKUP(C561,Ingredients!$B$6:$I$206,7,FALSE()),"?")</f>
        <v>ml</v>
      </c>
      <c r="G561" s="31" t="n">
        <f aca="false">IFERROR(VLOOKUP(C561,Ingredients!$B$6:$I$206,6,FALSE()),0)</f>
        <v>0.005</v>
      </c>
      <c r="H561" s="32" t="n">
        <f aca="false">IFERROR(D561*G561,0)</f>
        <v>0.15</v>
      </c>
    </row>
    <row r="562" customFormat="false" ht="15" hidden="false" customHeight="true" outlineLevel="0" collapsed="false">
      <c r="B562" s="14" t="n">
        <v>62</v>
      </c>
      <c r="C562" s="11" t="s">
        <v>125</v>
      </c>
      <c r="D562" s="17" t="n">
        <v>0.02</v>
      </c>
      <c r="E562" s="11" t="s">
        <v>79</v>
      </c>
      <c r="F562" s="14" t="str">
        <f aca="false">IFERROR(VLOOKUP(C562,Ingredients!$B$6:$I$206,7,FALSE()),"?")</f>
        <v>kg</v>
      </c>
      <c r="G562" s="31" t="n">
        <f aca="false">IFERROR(VLOOKUP(C562,Ingredients!$B$6:$I$206,6,FALSE()),0)</f>
        <v>5.9375</v>
      </c>
      <c r="H562" s="32" t="n">
        <f aca="false">IFERROR(D562*G562,0)</f>
        <v>0.11875</v>
      </c>
    </row>
    <row r="563" customFormat="false" ht="15" hidden="false" customHeight="true" outlineLevel="0" collapsed="false">
      <c r="B563" s="14" t="n">
        <v>62</v>
      </c>
      <c r="C563" s="11" t="s">
        <v>138</v>
      </c>
      <c r="D563" s="17" t="n">
        <v>1</v>
      </c>
      <c r="E563" s="11" t="s">
        <v>112</v>
      </c>
      <c r="F563" s="14" t="str">
        <f aca="false">IFERROR(VLOOKUP(C563,Ingredients!$B$6:$I$206,7,FALSE()),"?")</f>
        <v>unit</v>
      </c>
      <c r="G563" s="31" t="n">
        <f aca="false">IFERROR(VLOOKUP(C563,Ingredients!$B$6:$I$206,6,FALSE()),0)</f>
        <v>0.11</v>
      </c>
      <c r="H563" s="32" t="n">
        <f aca="false">IFERROR(D563*G563,0)</f>
        <v>0.11</v>
      </c>
    </row>
    <row r="564" customFormat="false" ht="15" hidden="false" customHeight="true" outlineLevel="0" collapsed="false">
      <c r="B564" s="14" t="n">
        <v>62</v>
      </c>
      <c r="C564" s="11" t="s">
        <v>140</v>
      </c>
      <c r="D564" s="17" t="n">
        <v>1</v>
      </c>
      <c r="E564" s="11" t="s">
        <v>112</v>
      </c>
      <c r="F564" s="14" t="str">
        <f aca="false">IFERROR(VLOOKUP(C564,Ingredients!$B$6:$I$206,7,FALSE()),"?")</f>
        <v>unit</v>
      </c>
      <c r="G564" s="31" t="n">
        <f aca="false">IFERROR(VLOOKUP(C564,Ingredients!$B$6:$I$206,6,FALSE()),0)</f>
        <v>0.03</v>
      </c>
      <c r="H564" s="32" t="n">
        <f aca="false">IFERROR(D564*G564,0)</f>
        <v>0.03</v>
      </c>
    </row>
    <row r="565" customFormat="false" ht="15" hidden="false" customHeight="true" outlineLevel="0" collapsed="false">
      <c r="B565" s="14" t="n">
        <v>63</v>
      </c>
      <c r="C565" s="11" t="s">
        <v>63</v>
      </c>
      <c r="D565" s="17" t="n">
        <v>0.2</v>
      </c>
      <c r="E565" s="11" t="s">
        <v>65</v>
      </c>
      <c r="F565" s="14" t="str">
        <f aca="false">IFERROR(VLOOKUP(C565,Ingredients!$B$6:$I$206,7,FALSE()),"?")</f>
        <v>L</v>
      </c>
      <c r="G565" s="31" t="n">
        <f aca="false">IFERROR(VLOOKUP(C565,Ingredients!$B$6:$I$206,6,FALSE()),0)</f>
        <v>0.732745961820852</v>
      </c>
      <c r="H565" s="32" t="n">
        <f aca="false">IFERROR(D565*G565,0)</f>
        <v>0.14654919236417</v>
      </c>
    </row>
    <row r="566" customFormat="false" ht="15" hidden="false" customHeight="true" outlineLevel="0" collapsed="false">
      <c r="B566" s="14" t="n">
        <v>63</v>
      </c>
      <c r="C566" s="11" t="s">
        <v>107</v>
      </c>
      <c r="D566" s="17" t="n">
        <v>30</v>
      </c>
      <c r="E566" s="11" t="s">
        <v>84</v>
      </c>
      <c r="F566" s="14" t="str">
        <f aca="false">IFERROR(VLOOKUP(C566,Ingredients!$B$6:$I$206,7,FALSE()),"?")</f>
        <v>ml</v>
      </c>
      <c r="G566" s="31" t="n">
        <f aca="false">IFERROR(VLOOKUP(C566,Ingredients!$B$6:$I$206,6,FALSE()),0)</f>
        <v>0.0112</v>
      </c>
      <c r="H566" s="32" t="n">
        <f aca="false">IFERROR(D566*G566,0)</f>
        <v>0.336</v>
      </c>
    </row>
    <row r="567" customFormat="false" ht="15" hidden="false" customHeight="true" outlineLevel="0" collapsed="false">
      <c r="B567" s="14" t="n">
        <v>63</v>
      </c>
      <c r="C567" s="11" t="s">
        <v>125</v>
      </c>
      <c r="D567" s="17" t="n">
        <v>0.02</v>
      </c>
      <c r="E567" s="11" t="s">
        <v>79</v>
      </c>
      <c r="F567" s="14" t="str">
        <f aca="false">IFERROR(VLOOKUP(C567,Ingredients!$B$6:$I$206,7,FALSE()),"?")</f>
        <v>kg</v>
      </c>
      <c r="G567" s="31" t="n">
        <f aca="false">IFERROR(VLOOKUP(C567,Ingredients!$B$6:$I$206,6,FALSE()),0)</f>
        <v>5.9375</v>
      </c>
      <c r="H567" s="32" t="n">
        <f aca="false">IFERROR(D567*G567,0)</f>
        <v>0.11875</v>
      </c>
    </row>
    <row r="568" customFormat="false" ht="15" hidden="false" customHeight="true" outlineLevel="0" collapsed="false">
      <c r="B568" s="14" t="n">
        <v>63</v>
      </c>
      <c r="C568" s="11" t="s">
        <v>142</v>
      </c>
      <c r="D568" s="17" t="n">
        <v>1</v>
      </c>
      <c r="E568" s="11" t="s">
        <v>112</v>
      </c>
      <c r="F568" s="14" t="str">
        <f aca="false">IFERROR(VLOOKUP(C568,Ingredients!$B$6:$I$206,7,FALSE()),"?")</f>
        <v>unit</v>
      </c>
      <c r="G568" s="31" t="n">
        <f aca="false">IFERROR(VLOOKUP(C568,Ingredients!$B$6:$I$206,6,FALSE()),0)</f>
        <v>0.14</v>
      </c>
      <c r="H568" s="32" t="n">
        <f aca="false">IFERROR(D568*G568,0)</f>
        <v>0.14</v>
      </c>
    </row>
    <row r="569" customFormat="false" ht="15" hidden="false" customHeight="true" outlineLevel="0" collapsed="false">
      <c r="B569" s="14" t="n">
        <v>63</v>
      </c>
      <c r="C569" s="11" t="s">
        <v>144</v>
      </c>
      <c r="D569" s="17" t="n">
        <v>1</v>
      </c>
      <c r="E569" s="11" t="s">
        <v>112</v>
      </c>
      <c r="F569" s="14" t="str">
        <f aca="false">IFERROR(VLOOKUP(C569,Ingredients!$B$6:$I$206,7,FALSE()),"?")</f>
        <v>unit</v>
      </c>
      <c r="G569" s="31" t="n">
        <f aca="false">IFERROR(VLOOKUP(C569,Ingredients!$B$6:$I$206,6,FALSE()),0)</f>
        <v>0.03</v>
      </c>
      <c r="H569" s="32" t="n">
        <f aca="false">IFERROR(D569*G569,0)</f>
        <v>0.03</v>
      </c>
    </row>
    <row r="570" customFormat="false" ht="15" hidden="false" customHeight="true" outlineLevel="0" collapsed="false">
      <c r="B570" s="14" t="n">
        <v>64</v>
      </c>
      <c r="C570" s="11" t="s">
        <v>63</v>
      </c>
      <c r="D570" s="17" t="n">
        <v>0.2</v>
      </c>
      <c r="E570" s="11" t="s">
        <v>65</v>
      </c>
      <c r="F570" s="14" t="str">
        <f aca="false">IFERROR(VLOOKUP(C570,Ingredients!$B$6:$I$206,7,FALSE()),"?")</f>
        <v>L</v>
      </c>
      <c r="G570" s="31" t="n">
        <f aca="false">IFERROR(VLOOKUP(C570,Ingredients!$B$6:$I$206,6,FALSE()),0)</f>
        <v>0.732745961820852</v>
      </c>
      <c r="H570" s="32" t="n">
        <f aca="false">IFERROR(D570*G570,0)</f>
        <v>0.14654919236417</v>
      </c>
    </row>
    <row r="571" customFormat="false" ht="15" hidden="false" customHeight="true" outlineLevel="0" collapsed="false">
      <c r="B571" s="14" t="n">
        <v>64</v>
      </c>
      <c r="C571" s="11" t="s">
        <v>107</v>
      </c>
      <c r="D571" s="17" t="n">
        <v>30</v>
      </c>
      <c r="E571" s="11" t="s">
        <v>84</v>
      </c>
      <c r="F571" s="14" t="str">
        <f aca="false">IFERROR(VLOOKUP(C571,Ingredients!$B$6:$I$206,7,FALSE()),"?")</f>
        <v>ml</v>
      </c>
      <c r="G571" s="31" t="n">
        <f aca="false">IFERROR(VLOOKUP(C571,Ingredients!$B$6:$I$206,6,FALSE()),0)</f>
        <v>0.0112</v>
      </c>
      <c r="H571" s="32" t="n">
        <f aca="false">IFERROR(D571*G571,0)</f>
        <v>0.336</v>
      </c>
    </row>
    <row r="572" customFormat="false" ht="15" hidden="false" customHeight="true" outlineLevel="0" collapsed="false">
      <c r="B572" s="14" t="n">
        <v>64</v>
      </c>
      <c r="C572" s="11" t="s">
        <v>125</v>
      </c>
      <c r="D572" s="17" t="n">
        <v>0.02</v>
      </c>
      <c r="E572" s="11" t="s">
        <v>79</v>
      </c>
      <c r="F572" s="14" t="str">
        <f aca="false">IFERROR(VLOOKUP(C572,Ingredients!$B$6:$I$206,7,FALSE()),"?")</f>
        <v>kg</v>
      </c>
      <c r="G572" s="31" t="n">
        <f aca="false">IFERROR(VLOOKUP(C572,Ingredients!$B$6:$I$206,6,FALSE()),0)</f>
        <v>5.9375</v>
      </c>
      <c r="H572" s="32" t="n">
        <f aca="false">IFERROR(D572*G572,0)</f>
        <v>0.11875</v>
      </c>
    </row>
    <row r="573" customFormat="false" ht="15" hidden="false" customHeight="true" outlineLevel="0" collapsed="false">
      <c r="B573" s="14" t="n">
        <v>64</v>
      </c>
      <c r="C573" s="11" t="s">
        <v>138</v>
      </c>
      <c r="D573" s="17" t="n">
        <v>1</v>
      </c>
      <c r="E573" s="11" t="s">
        <v>112</v>
      </c>
      <c r="F573" s="14" t="str">
        <f aca="false">IFERROR(VLOOKUP(C573,Ingredients!$B$6:$I$206,7,FALSE()),"?")</f>
        <v>unit</v>
      </c>
      <c r="G573" s="31" t="n">
        <f aca="false">IFERROR(VLOOKUP(C573,Ingredients!$B$6:$I$206,6,FALSE()),0)</f>
        <v>0.11</v>
      </c>
      <c r="H573" s="32" t="n">
        <f aca="false">IFERROR(D573*G573,0)</f>
        <v>0.11</v>
      </c>
    </row>
    <row r="574" customFormat="false" ht="15" hidden="false" customHeight="true" outlineLevel="0" collapsed="false">
      <c r="B574" s="14" t="n">
        <v>64</v>
      </c>
      <c r="C574" s="11" t="s">
        <v>140</v>
      </c>
      <c r="D574" s="17" t="n">
        <v>1</v>
      </c>
      <c r="E574" s="11" t="s">
        <v>112</v>
      </c>
      <c r="F574" s="14" t="str">
        <f aca="false">IFERROR(VLOOKUP(C574,Ingredients!$B$6:$I$206,7,FALSE()),"?")</f>
        <v>unit</v>
      </c>
      <c r="G574" s="31" t="n">
        <f aca="false">IFERROR(VLOOKUP(C574,Ingredients!$B$6:$I$206,6,FALSE()),0)</f>
        <v>0.03</v>
      </c>
      <c r="H574" s="32" t="n">
        <f aca="false">IFERROR(D574*G574,0)</f>
        <v>0.03</v>
      </c>
    </row>
    <row r="575" customFormat="false" ht="15" hidden="false" customHeight="true" outlineLevel="0" collapsed="false">
      <c r="B575" s="14" t="n">
        <v>65</v>
      </c>
      <c r="C575" s="11" t="s">
        <v>77</v>
      </c>
      <c r="D575" s="17" t="n">
        <v>0.036</v>
      </c>
      <c r="E575" s="11" t="s">
        <v>79</v>
      </c>
      <c r="F575" s="14" t="str">
        <f aca="false">IFERROR(VLOOKUP(C575,Ingredients!$B$6:$I$206,7,FALSE()),"?")</f>
        <v>kg</v>
      </c>
      <c r="G575" s="31" t="n">
        <f aca="false">IFERROR(VLOOKUP(C575,Ingredients!$B$6:$I$206,6,FALSE()),0)</f>
        <v>16.25</v>
      </c>
      <c r="H575" s="32" t="n">
        <f aca="false">IFERROR(D575*G575,0)</f>
        <v>0.585</v>
      </c>
    </row>
    <row r="576" customFormat="false" ht="15" hidden="false" customHeight="true" outlineLevel="0" collapsed="false">
      <c r="B576" s="14" t="n">
        <v>65</v>
      </c>
      <c r="C576" s="11" t="s">
        <v>63</v>
      </c>
      <c r="D576" s="17" t="n">
        <v>0.3</v>
      </c>
      <c r="E576" s="11" t="s">
        <v>65</v>
      </c>
      <c r="F576" s="14" t="str">
        <f aca="false">IFERROR(VLOOKUP(C576,Ingredients!$B$6:$I$206,7,FALSE()),"?")</f>
        <v>L</v>
      </c>
      <c r="G576" s="31" t="n">
        <f aca="false">IFERROR(VLOOKUP(C576,Ingredients!$B$6:$I$206,6,FALSE()),0)</f>
        <v>0.732745961820852</v>
      </c>
      <c r="H576" s="32" t="n">
        <f aca="false">IFERROR(D576*G576,0)</f>
        <v>0.219823788546256</v>
      </c>
    </row>
    <row r="577" customFormat="false" ht="15" hidden="false" customHeight="true" outlineLevel="0" collapsed="false">
      <c r="B577" s="14" t="n">
        <v>65</v>
      </c>
      <c r="C577" s="11" t="s">
        <v>107</v>
      </c>
      <c r="D577" s="17" t="n">
        <v>15</v>
      </c>
      <c r="E577" s="11" t="s">
        <v>84</v>
      </c>
      <c r="F577" s="14" t="str">
        <f aca="false">IFERROR(VLOOKUP(C577,Ingredients!$B$6:$I$206,7,FALSE()),"?")</f>
        <v>ml</v>
      </c>
      <c r="G577" s="31" t="n">
        <f aca="false">IFERROR(VLOOKUP(C577,Ingredients!$B$6:$I$206,6,FALSE()),0)</f>
        <v>0.0112</v>
      </c>
      <c r="H577" s="32" t="n">
        <f aca="false">IFERROR(D577*G577,0)</f>
        <v>0.168</v>
      </c>
    </row>
    <row r="578" customFormat="false" ht="15" hidden="false" customHeight="true" outlineLevel="0" collapsed="false">
      <c r="B578" s="14" t="n">
        <v>65</v>
      </c>
      <c r="C578" s="11" t="s">
        <v>82</v>
      </c>
      <c r="D578" s="17" t="n">
        <v>15</v>
      </c>
      <c r="E578" s="11" t="s">
        <v>84</v>
      </c>
      <c r="F578" s="14" t="str">
        <f aca="false">IFERROR(VLOOKUP(C578,Ingredients!$B$6:$I$206,7,FALSE()),"?")</f>
        <v>ml</v>
      </c>
      <c r="G578" s="31" t="n">
        <f aca="false">IFERROR(VLOOKUP(C578,Ingredients!$B$6:$I$206,6,FALSE()),0)</f>
        <v>0.005</v>
      </c>
      <c r="H578" s="32" t="n">
        <f aca="false">IFERROR(D578*G578,0)</f>
        <v>0.075</v>
      </c>
    </row>
    <row r="579" customFormat="false" ht="15" hidden="false" customHeight="true" outlineLevel="0" collapsed="false">
      <c r="B579" s="14" t="n">
        <v>65</v>
      </c>
      <c r="C579" s="11" t="s">
        <v>138</v>
      </c>
      <c r="D579" s="17" t="n">
        <v>1</v>
      </c>
      <c r="E579" s="11" t="s">
        <v>112</v>
      </c>
      <c r="F579" s="14" t="str">
        <f aca="false">IFERROR(VLOOKUP(C579,Ingredients!$B$6:$I$206,7,FALSE()),"?")</f>
        <v>unit</v>
      </c>
      <c r="G579" s="31" t="n">
        <f aca="false">IFERROR(VLOOKUP(C579,Ingredients!$B$6:$I$206,6,FALSE()),0)</f>
        <v>0.11</v>
      </c>
      <c r="H579" s="32" t="n">
        <f aca="false">IFERROR(D579*G579,0)</f>
        <v>0.11</v>
      </c>
    </row>
    <row r="580" customFormat="false" ht="15" hidden="false" customHeight="true" outlineLevel="0" collapsed="false">
      <c r="B580" s="14" t="n">
        <v>65</v>
      </c>
      <c r="C580" s="11" t="s">
        <v>140</v>
      </c>
      <c r="D580" s="17" t="n">
        <v>1</v>
      </c>
      <c r="E580" s="11" t="s">
        <v>112</v>
      </c>
      <c r="F580" s="14" t="str">
        <f aca="false">IFERROR(VLOOKUP(C580,Ingredients!$B$6:$I$206,7,FALSE()),"?")</f>
        <v>unit</v>
      </c>
      <c r="G580" s="31" t="n">
        <f aca="false">IFERROR(VLOOKUP(C580,Ingredients!$B$6:$I$206,6,FALSE()),0)</f>
        <v>0.03</v>
      </c>
      <c r="H580" s="32" t="n">
        <f aca="false">IFERROR(D580*G580,0)</f>
        <v>0.03</v>
      </c>
    </row>
    <row r="581" customFormat="false" ht="15" hidden="false" customHeight="true" outlineLevel="0" collapsed="false">
      <c r="B581" s="14" t="n">
        <v>66</v>
      </c>
      <c r="C581" s="11" t="s">
        <v>77</v>
      </c>
      <c r="D581" s="17" t="n">
        <v>0.036</v>
      </c>
      <c r="E581" s="11" t="s">
        <v>79</v>
      </c>
      <c r="F581" s="14" t="str">
        <f aca="false">IFERROR(VLOOKUP(C581,Ingredients!$B$6:$I$206,7,FALSE()),"?")</f>
        <v>kg</v>
      </c>
      <c r="G581" s="31" t="n">
        <f aca="false">IFERROR(VLOOKUP(C581,Ingredients!$B$6:$I$206,6,FALSE()),0)</f>
        <v>16.25</v>
      </c>
      <c r="H581" s="32" t="n">
        <f aca="false">IFERROR(D581*G581,0)</f>
        <v>0.585</v>
      </c>
    </row>
    <row r="582" customFormat="false" ht="15" hidden="false" customHeight="true" outlineLevel="0" collapsed="false">
      <c r="B582" s="14" t="n">
        <v>66</v>
      </c>
      <c r="C582" s="11" t="s">
        <v>63</v>
      </c>
      <c r="D582" s="17" t="n">
        <v>0.18</v>
      </c>
      <c r="E582" s="11" t="s">
        <v>65</v>
      </c>
      <c r="F582" s="14" t="str">
        <f aca="false">IFERROR(VLOOKUP(C582,Ingredients!$B$6:$I$206,7,FALSE()),"?")</f>
        <v>L</v>
      </c>
      <c r="G582" s="31" t="n">
        <f aca="false">IFERROR(VLOOKUP(C582,Ingredients!$B$6:$I$206,6,FALSE()),0)</f>
        <v>0.732745961820852</v>
      </c>
      <c r="H582" s="32" t="n">
        <f aca="false">IFERROR(D582*G582,0)</f>
        <v>0.131894273127753</v>
      </c>
    </row>
    <row r="583" customFormat="false" ht="15" hidden="false" customHeight="true" outlineLevel="0" collapsed="false">
      <c r="B583" s="14" t="n">
        <v>66</v>
      </c>
      <c r="C583" s="11" t="s">
        <v>107</v>
      </c>
      <c r="D583" s="17" t="n">
        <v>15</v>
      </c>
      <c r="E583" s="11" t="s">
        <v>84</v>
      </c>
      <c r="F583" s="14" t="str">
        <f aca="false">IFERROR(VLOOKUP(C583,Ingredients!$B$6:$I$206,7,FALSE()),"?")</f>
        <v>ml</v>
      </c>
      <c r="G583" s="31" t="n">
        <f aca="false">IFERROR(VLOOKUP(C583,Ingredients!$B$6:$I$206,6,FALSE()),0)</f>
        <v>0.0112</v>
      </c>
      <c r="H583" s="32" t="n">
        <f aca="false">IFERROR(D583*G583,0)</f>
        <v>0.168</v>
      </c>
    </row>
    <row r="584" customFormat="false" ht="15" hidden="false" customHeight="true" outlineLevel="0" collapsed="false">
      <c r="B584" s="14" t="n">
        <v>66</v>
      </c>
      <c r="C584" s="11" t="s">
        <v>82</v>
      </c>
      <c r="D584" s="17" t="n">
        <v>15</v>
      </c>
      <c r="E584" s="11" t="s">
        <v>84</v>
      </c>
      <c r="F584" s="14" t="str">
        <f aca="false">IFERROR(VLOOKUP(C584,Ingredients!$B$6:$I$206,7,FALSE()),"?")</f>
        <v>ml</v>
      </c>
      <c r="G584" s="31" t="n">
        <f aca="false">IFERROR(VLOOKUP(C584,Ingredients!$B$6:$I$206,6,FALSE()),0)</f>
        <v>0.005</v>
      </c>
      <c r="H584" s="32" t="n">
        <f aca="false">IFERROR(D584*G584,0)</f>
        <v>0.075</v>
      </c>
    </row>
    <row r="585" customFormat="false" ht="15" hidden="false" customHeight="true" outlineLevel="0" collapsed="false">
      <c r="B585" s="14" t="n">
        <v>66</v>
      </c>
      <c r="C585" s="11" t="s">
        <v>134</v>
      </c>
      <c r="D585" s="17" t="n">
        <v>1</v>
      </c>
      <c r="E585" s="11" t="s">
        <v>112</v>
      </c>
      <c r="F585" s="14" t="str">
        <f aca="false">IFERROR(VLOOKUP(C585,Ingredients!$B$6:$I$206,7,FALSE()),"?")</f>
        <v>unit</v>
      </c>
      <c r="G585" s="31" t="n">
        <f aca="false">IFERROR(VLOOKUP(C585,Ingredients!$B$6:$I$206,6,FALSE()),0)</f>
        <v>0.09</v>
      </c>
      <c r="H585" s="32" t="n">
        <f aca="false">IFERROR(D585*G585,0)</f>
        <v>0.09</v>
      </c>
    </row>
    <row r="586" customFormat="false" ht="15" hidden="false" customHeight="true" outlineLevel="0" collapsed="false">
      <c r="B586" s="14" t="n">
        <v>66</v>
      </c>
      <c r="C586" s="11" t="s">
        <v>136</v>
      </c>
      <c r="D586" s="17" t="n">
        <v>1</v>
      </c>
      <c r="E586" s="11" t="s">
        <v>112</v>
      </c>
      <c r="F586" s="14" t="str">
        <f aca="false">IFERROR(VLOOKUP(C586,Ingredients!$B$6:$I$206,7,FALSE()),"?")</f>
        <v>unit</v>
      </c>
      <c r="G586" s="31" t="n">
        <f aca="false">IFERROR(VLOOKUP(C586,Ingredients!$B$6:$I$206,6,FALSE()),0)</f>
        <v>0.03</v>
      </c>
      <c r="H586" s="32" t="n">
        <f aca="false">IFERROR(D586*G586,0)</f>
        <v>0.03</v>
      </c>
    </row>
    <row r="587" customFormat="false" ht="15" hidden="false" customHeight="true" outlineLevel="0" collapsed="false">
      <c r="B587" s="14" t="n">
        <v>67</v>
      </c>
      <c r="C587" s="11" t="s">
        <v>77</v>
      </c>
      <c r="D587" s="17" t="n">
        <v>0.072</v>
      </c>
      <c r="E587" s="11" t="s">
        <v>79</v>
      </c>
      <c r="F587" s="14" t="str">
        <f aca="false">IFERROR(VLOOKUP(C587,Ingredients!$B$6:$I$206,7,FALSE()),"?")</f>
        <v>kg</v>
      </c>
      <c r="G587" s="31" t="n">
        <f aca="false">IFERROR(VLOOKUP(C587,Ingredients!$B$6:$I$206,6,FALSE()),0)</f>
        <v>16.25</v>
      </c>
      <c r="H587" s="32" t="n">
        <f aca="false">IFERROR(D587*G587,0)</f>
        <v>1.17</v>
      </c>
    </row>
    <row r="588" customFormat="false" ht="15" hidden="false" customHeight="true" outlineLevel="0" collapsed="false">
      <c r="B588" s="14" t="n">
        <v>67</v>
      </c>
      <c r="C588" s="11" t="s">
        <v>63</v>
      </c>
      <c r="D588" s="17" t="n">
        <v>0.36</v>
      </c>
      <c r="E588" s="11" t="s">
        <v>65</v>
      </c>
      <c r="F588" s="14" t="str">
        <f aca="false">IFERROR(VLOOKUP(C588,Ingredients!$B$6:$I$206,7,FALSE()),"?")</f>
        <v>L</v>
      </c>
      <c r="G588" s="31" t="n">
        <f aca="false">IFERROR(VLOOKUP(C588,Ingredients!$B$6:$I$206,6,FALSE()),0)</f>
        <v>0.732745961820852</v>
      </c>
      <c r="H588" s="32" t="n">
        <f aca="false">IFERROR(D588*G588,0)</f>
        <v>0.263788546255507</v>
      </c>
    </row>
    <row r="589" customFormat="false" ht="15" hidden="false" customHeight="true" outlineLevel="0" collapsed="false">
      <c r="B589" s="14" t="n">
        <v>67</v>
      </c>
      <c r="C589" s="11" t="s">
        <v>107</v>
      </c>
      <c r="D589" s="17" t="n">
        <v>15</v>
      </c>
      <c r="E589" s="11" t="s">
        <v>84</v>
      </c>
      <c r="F589" s="14" t="str">
        <f aca="false">IFERROR(VLOOKUP(C589,Ingredients!$B$6:$I$206,7,FALSE()),"?")</f>
        <v>ml</v>
      </c>
      <c r="G589" s="31" t="n">
        <f aca="false">IFERROR(VLOOKUP(C589,Ingredients!$B$6:$I$206,6,FALSE()),0)</f>
        <v>0.0112</v>
      </c>
      <c r="H589" s="32" t="n">
        <f aca="false">IFERROR(D589*G589,0)</f>
        <v>0.168</v>
      </c>
    </row>
    <row r="590" customFormat="false" ht="15" hidden="false" customHeight="true" outlineLevel="0" collapsed="false">
      <c r="B590" s="14" t="n">
        <v>67</v>
      </c>
      <c r="C590" s="11" t="s">
        <v>82</v>
      </c>
      <c r="D590" s="17" t="n">
        <v>15</v>
      </c>
      <c r="E590" s="11" t="s">
        <v>84</v>
      </c>
      <c r="F590" s="14" t="str">
        <f aca="false">IFERROR(VLOOKUP(C590,Ingredients!$B$6:$I$206,7,FALSE()),"?")</f>
        <v>ml</v>
      </c>
      <c r="G590" s="31" t="n">
        <f aca="false">IFERROR(VLOOKUP(C590,Ingredients!$B$6:$I$206,6,FALSE()),0)</f>
        <v>0.005</v>
      </c>
      <c r="H590" s="32" t="n">
        <f aca="false">IFERROR(D590*G590,0)</f>
        <v>0.075</v>
      </c>
    </row>
    <row r="591" customFormat="false" ht="15" hidden="false" customHeight="true" outlineLevel="0" collapsed="false">
      <c r="B591" s="14" t="n">
        <v>67</v>
      </c>
      <c r="C591" s="11" t="s">
        <v>142</v>
      </c>
      <c r="D591" s="17" t="n">
        <v>1</v>
      </c>
      <c r="E591" s="11" t="s">
        <v>112</v>
      </c>
      <c r="F591" s="14" t="str">
        <f aca="false">IFERROR(VLOOKUP(C591,Ingredients!$B$6:$I$206,7,FALSE()),"?")</f>
        <v>unit</v>
      </c>
      <c r="G591" s="31" t="n">
        <f aca="false">IFERROR(VLOOKUP(C591,Ingredients!$B$6:$I$206,6,FALSE()),0)</f>
        <v>0.14</v>
      </c>
      <c r="H591" s="32" t="n">
        <f aca="false">IFERROR(D591*G591,0)</f>
        <v>0.14</v>
      </c>
    </row>
    <row r="592" customFormat="false" ht="15" hidden="false" customHeight="true" outlineLevel="0" collapsed="false">
      <c r="B592" s="14" t="n">
        <v>67</v>
      </c>
      <c r="C592" s="11" t="s">
        <v>144</v>
      </c>
      <c r="D592" s="17" t="n">
        <v>1</v>
      </c>
      <c r="E592" s="11" t="s">
        <v>112</v>
      </c>
      <c r="F592" s="14" t="str">
        <f aca="false">IFERROR(VLOOKUP(C592,Ingredients!$B$6:$I$206,7,FALSE()),"?")</f>
        <v>unit</v>
      </c>
      <c r="G592" s="31" t="n">
        <f aca="false">IFERROR(VLOOKUP(C592,Ingredients!$B$6:$I$206,6,FALSE()),0)</f>
        <v>0.03</v>
      </c>
      <c r="H592" s="32" t="n">
        <f aca="false">IFERROR(D592*G592,0)</f>
        <v>0.03</v>
      </c>
    </row>
    <row r="593" customFormat="false" ht="15" hidden="false" customHeight="true" outlineLevel="0" collapsed="false">
      <c r="B593" s="14" t="n">
        <v>68</v>
      </c>
      <c r="C593" s="11" t="s">
        <v>116</v>
      </c>
      <c r="D593" s="17" t="n">
        <v>0.03</v>
      </c>
      <c r="E593" s="11" t="s">
        <v>79</v>
      </c>
      <c r="F593" s="14" t="str">
        <f aca="false">IFERROR(VLOOKUP(C593,Ingredients!$B$6:$I$206,7,FALSE()),"?")</f>
        <v>kg</v>
      </c>
      <c r="G593" s="31" t="n">
        <f aca="false">IFERROR(VLOOKUP(C593,Ingredients!$B$6:$I$206,6,FALSE()),0)</f>
        <v>7</v>
      </c>
      <c r="H593" s="32" t="n">
        <f aca="false">IFERROR(D593*G593,0)</f>
        <v>0.21</v>
      </c>
    </row>
    <row r="594" customFormat="false" ht="15" hidden="false" customHeight="true" outlineLevel="0" collapsed="false">
      <c r="B594" s="14" t="n">
        <v>68</v>
      </c>
      <c r="C594" s="11" t="s">
        <v>63</v>
      </c>
      <c r="D594" s="17" t="n">
        <v>0.34</v>
      </c>
      <c r="E594" s="11" t="s">
        <v>65</v>
      </c>
      <c r="F594" s="14" t="str">
        <f aca="false">IFERROR(VLOOKUP(C594,Ingredients!$B$6:$I$206,7,FALSE()),"?")</f>
        <v>L</v>
      </c>
      <c r="G594" s="31" t="n">
        <f aca="false">IFERROR(VLOOKUP(C594,Ingredients!$B$6:$I$206,6,FALSE()),0)</f>
        <v>0.732745961820852</v>
      </c>
      <c r="H594" s="32" t="n">
        <f aca="false">IFERROR(D594*G594,0)</f>
        <v>0.24913362701909</v>
      </c>
    </row>
    <row r="595" customFormat="false" ht="15" hidden="false" customHeight="true" outlineLevel="0" collapsed="false">
      <c r="B595" s="14" t="n">
        <v>68</v>
      </c>
      <c r="C595" s="11" t="s">
        <v>138</v>
      </c>
      <c r="D595" s="17" t="n">
        <v>1</v>
      </c>
      <c r="E595" s="11" t="s">
        <v>112</v>
      </c>
      <c r="F595" s="14" t="str">
        <f aca="false">IFERROR(VLOOKUP(C595,Ingredients!$B$6:$I$206,7,FALSE()),"?")</f>
        <v>unit</v>
      </c>
      <c r="G595" s="31" t="n">
        <f aca="false">IFERROR(VLOOKUP(C595,Ingredients!$B$6:$I$206,6,FALSE()),0)</f>
        <v>0.11</v>
      </c>
      <c r="H595" s="32" t="n">
        <f aca="false">IFERROR(D595*G595,0)</f>
        <v>0.11</v>
      </c>
    </row>
    <row r="596" customFormat="false" ht="15" hidden="false" customHeight="true" outlineLevel="0" collapsed="false">
      <c r="B596" s="14" t="n">
        <v>68</v>
      </c>
      <c r="C596" s="11" t="s">
        <v>140</v>
      </c>
      <c r="D596" s="17" t="n">
        <v>1</v>
      </c>
      <c r="E596" s="11" t="s">
        <v>112</v>
      </c>
      <c r="F596" s="14" t="str">
        <f aca="false">IFERROR(VLOOKUP(C596,Ingredients!$B$6:$I$206,7,FALSE()),"?")</f>
        <v>unit</v>
      </c>
      <c r="G596" s="31" t="n">
        <f aca="false">IFERROR(VLOOKUP(C596,Ingredients!$B$6:$I$206,6,FALSE()),0)</f>
        <v>0.03</v>
      </c>
      <c r="H596" s="32" t="n">
        <f aca="false">IFERROR(D596*G596,0)</f>
        <v>0.03</v>
      </c>
    </row>
    <row r="597" customFormat="false" ht="15" hidden="false" customHeight="true" outlineLevel="0" collapsed="false">
      <c r="B597" s="14" t="n">
        <v>69</v>
      </c>
      <c r="C597" s="11" t="s">
        <v>116</v>
      </c>
      <c r="D597" s="17" t="n">
        <v>0.02</v>
      </c>
      <c r="E597" s="11" t="s">
        <v>79</v>
      </c>
      <c r="F597" s="14" t="str">
        <f aca="false">IFERROR(VLOOKUP(C597,Ingredients!$B$6:$I$206,7,FALSE()),"?")</f>
        <v>kg</v>
      </c>
      <c r="G597" s="31" t="n">
        <f aca="false">IFERROR(VLOOKUP(C597,Ingredients!$B$6:$I$206,6,FALSE()),0)</f>
        <v>7</v>
      </c>
      <c r="H597" s="32" t="n">
        <f aca="false">IFERROR(D597*G597,0)</f>
        <v>0.14</v>
      </c>
    </row>
    <row r="598" customFormat="false" ht="15" hidden="false" customHeight="true" outlineLevel="0" collapsed="false">
      <c r="B598" s="14" t="n">
        <v>69</v>
      </c>
      <c r="C598" s="11" t="s">
        <v>63</v>
      </c>
      <c r="D598" s="17" t="n">
        <v>0.22</v>
      </c>
      <c r="E598" s="11" t="s">
        <v>65</v>
      </c>
      <c r="F598" s="14" t="str">
        <f aca="false">IFERROR(VLOOKUP(C598,Ingredients!$B$6:$I$206,7,FALSE()),"?")</f>
        <v>L</v>
      </c>
      <c r="G598" s="31" t="n">
        <f aca="false">IFERROR(VLOOKUP(C598,Ingredients!$B$6:$I$206,6,FALSE()),0)</f>
        <v>0.732745961820852</v>
      </c>
      <c r="H598" s="32" t="n">
        <f aca="false">IFERROR(D598*G598,0)</f>
        <v>0.161204111600587</v>
      </c>
    </row>
    <row r="599" customFormat="false" ht="15" hidden="false" customHeight="true" outlineLevel="0" collapsed="false">
      <c r="B599" s="14" t="n">
        <v>69</v>
      </c>
      <c r="C599" s="11" t="s">
        <v>134</v>
      </c>
      <c r="D599" s="17" t="n">
        <v>1</v>
      </c>
      <c r="E599" s="11" t="s">
        <v>112</v>
      </c>
      <c r="F599" s="14" t="str">
        <f aca="false">IFERROR(VLOOKUP(C599,Ingredients!$B$6:$I$206,7,FALSE()),"?")</f>
        <v>unit</v>
      </c>
      <c r="G599" s="31" t="n">
        <f aca="false">IFERROR(VLOOKUP(C599,Ingredients!$B$6:$I$206,6,FALSE()),0)</f>
        <v>0.09</v>
      </c>
      <c r="H599" s="32" t="n">
        <f aca="false">IFERROR(D599*G599,0)</f>
        <v>0.09</v>
      </c>
    </row>
    <row r="600" customFormat="false" ht="15" hidden="false" customHeight="true" outlineLevel="0" collapsed="false">
      <c r="B600" s="14" t="n">
        <v>69</v>
      </c>
      <c r="C600" s="11" t="s">
        <v>136</v>
      </c>
      <c r="D600" s="17" t="n">
        <v>1</v>
      </c>
      <c r="E600" s="11" t="s">
        <v>112</v>
      </c>
      <c r="F600" s="14" t="str">
        <f aca="false">IFERROR(VLOOKUP(C600,Ingredients!$B$6:$I$206,7,FALSE()),"?")</f>
        <v>unit</v>
      </c>
      <c r="G600" s="31" t="n">
        <f aca="false">IFERROR(VLOOKUP(C600,Ingredients!$B$6:$I$206,6,FALSE()),0)</f>
        <v>0.03</v>
      </c>
      <c r="H600" s="32" t="n">
        <f aca="false">IFERROR(D600*G600,0)</f>
        <v>0.03</v>
      </c>
    </row>
    <row r="601" customFormat="false" ht="15" hidden="false" customHeight="true" outlineLevel="0" collapsed="false">
      <c r="B601" s="14" t="n">
        <v>70</v>
      </c>
      <c r="C601" s="11" t="s">
        <v>116</v>
      </c>
      <c r="D601" s="17" t="n">
        <v>0.04</v>
      </c>
      <c r="E601" s="11" t="s">
        <v>79</v>
      </c>
      <c r="F601" s="14" t="str">
        <f aca="false">IFERROR(VLOOKUP(C601,Ingredients!$B$6:$I$206,7,FALSE()),"?")</f>
        <v>kg</v>
      </c>
      <c r="G601" s="31" t="n">
        <f aca="false">IFERROR(VLOOKUP(C601,Ingredients!$B$6:$I$206,6,FALSE()),0)</f>
        <v>7</v>
      </c>
      <c r="H601" s="32" t="n">
        <f aca="false">IFERROR(D601*G601,0)</f>
        <v>0.28</v>
      </c>
    </row>
    <row r="602" customFormat="false" ht="15" hidden="false" customHeight="true" outlineLevel="0" collapsed="false">
      <c r="B602" s="14" t="n">
        <v>70</v>
      </c>
      <c r="C602" s="11" t="s">
        <v>63</v>
      </c>
      <c r="D602" s="17" t="n">
        <v>0.46</v>
      </c>
      <c r="E602" s="11" t="s">
        <v>65</v>
      </c>
      <c r="F602" s="14" t="str">
        <f aca="false">IFERROR(VLOOKUP(C602,Ingredients!$B$6:$I$206,7,FALSE()),"?")</f>
        <v>L</v>
      </c>
      <c r="G602" s="31" t="n">
        <f aca="false">IFERROR(VLOOKUP(C602,Ingredients!$B$6:$I$206,6,FALSE()),0)</f>
        <v>0.732745961820852</v>
      </c>
      <c r="H602" s="32" t="n">
        <f aca="false">IFERROR(D602*G602,0)</f>
        <v>0.337063142437592</v>
      </c>
    </row>
    <row r="603" customFormat="false" ht="15" hidden="false" customHeight="true" outlineLevel="0" collapsed="false">
      <c r="B603" s="14" t="n">
        <v>70</v>
      </c>
      <c r="C603" s="11" t="s">
        <v>142</v>
      </c>
      <c r="D603" s="17" t="n">
        <v>1</v>
      </c>
      <c r="E603" s="11" t="s">
        <v>112</v>
      </c>
      <c r="F603" s="14" t="str">
        <f aca="false">IFERROR(VLOOKUP(C603,Ingredients!$B$6:$I$206,7,FALSE()),"?")</f>
        <v>unit</v>
      </c>
      <c r="G603" s="31" t="n">
        <f aca="false">IFERROR(VLOOKUP(C603,Ingredients!$B$6:$I$206,6,FALSE()),0)</f>
        <v>0.14</v>
      </c>
      <c r="H603" s="32" t="n">
        <f aca="false">IFERROR(D603*G603,0)</f>
        <v>0.14</v>
      </c>
    </row>
    <row r="604" customFormat="false" ht="15" hidden="false" customHeight="true" outlineLevel="0" collapsed="false">
      <c r="B604" s="14" t="n">
        <v>70</v>
      </c>
      <c r="C604" s="11" t="s">
        <v>144</v>
      </c>
      <c r="D604" s="17" t="n">
        <v>1</v>
      </c>
      <c r="E604" s="11" t="s">
        <v>112</v>
      </c>
      <c r="F604" s="14" t="str">
        <f aca="false">IFERROR(VLOOKUP(C604,Ingredients!$B$6:$I$206,7,FALSE()),"?")</f>
        <v>unit</v>
      </c>
      <c r="G604" s="31" t="n">
        <f aca="false">IFERROR(VLOOKUP(C604,Ingredients!$B$6:$I$206,6,FALSE()),0)</f>
        <v>0.03</v>
      </c>
      <c r="H604" s="32" t="n">
        <f aca="false">IFERROR(D604*G604,0)</f>
        <v>0.03</v>
      </c>
    </row>
    <row r="605" customFormat="false" ht="15" hidden="false" customHeight="true" outlineLevel="0" collapsed="false">
      <c r="B605" s="14" t="n">
        <v>71</v>
      </c>
      <c r="C605" s="11" t="s">
        <v>122</v>
      </c>
      <c r="D605" s="17" t="n">
        <v>0.003</v>
      </c>
      <c r="E605" s="11" t="s">
        <v>79</v>
      </c>
      <c r="F605" s="14" t="str">
        <f aca="false">IFERROR(VLOOKUP(C605,Ingredients!$B$6:$I$206,7,FALSE()),"?")</f>
        <v>kg</v>
      </c>
      <c r="G605" s="31" t="n">
        <f aca="false">IFERROR(VLOOKUP(C605,Ingredients!$B$6:$I$206,6,FALSE()),0)</f>
        <v>181.818181818182</v>
      </c>
      <c r="H605" s="32" t="n">
        <f aca="false">IFERROR(D605*G605,0)</f>
        <v>0.545454545454545</v>
      </c>
    </row>
    <row r="606" customFormat="false" ht="15" hidden="false" customHeight="true" outlineLevel="0" collapsed="false">
      <c r="B606" s="14" t="n">
        <v>71</v>
      </c>
      <c r="C606" s="11" t="s">
        <v>63</v>
      </c>
      <c r="D606" s="17" t="n">
        <v>0.28</v>
      </c>
      <c r="E606" s="11" t="s">
        <v>65</v>
      </c>
      <c r="F606" s="14" t="str">
        <f aca="false">IFERROR(VLOOKUP(C606,Ingredients!$B$6:$I$206,7,FALSE()),"?")</f>
        <v>L</v>
      </c>
      <c r="G606" s="31" t="n">
        <f aca="false">IFERROR(VLOOKUP(C606,Ingredients!$B$6:$I$206,6,FALSE()),0)</f>
        <v>0.732745961820852</v>
      </c>
      <c r="H606" s="32" t="n">
        <f aca="false">IFERROR(D606*G606,0)</f>
        <v>0.205168869309839</v>
      </c>
    </row>
    <row r="607" customFormat="false" ht="15" hidden="false" customHeight="true" outlineLevel="0" collapsed="false">
      <c r="B607" s="14" t="n">
        <v>71</v>
      </c>
      <c r="C607" s="11" t="s">
        <v>138</v>
      </c>
      <c r="D607" s="17" t="n">
        <v>1</v>
      </c>
      <c r="E607" s="11" t="s">
        <v>112</v>
      </c>
      <c r="F607" s="14" t="str">
        <f aca="false">IFERROR(VLOOKUP(C607,Ingredients!$B$6:$I$206,7,FALSE()),"?")</f>
        <v>unit</v>
      </c>
      <c r="G607" s="31" t="n">
        <f aca="false">IFERROR(VLOOKUP(C607,Ingredients!$B$6:$I$206,6,FALSE()),0)</f>
        <v>0.11</v>
      </c>
      <c r="H607" s="32" t="n">
        <f aca="false">IFERROR(D607*G607,0)</f>
        <v>0.11</v>
      </c>
    </row>
    <row r="608" customFormat="false" ht="15" hidden="false" customHeight="true" outlineLevel="0" collapsed="false">
      <c r="B608" s="14" t="n">
        <v>71</v>
      </c>
      <c r="C608" s="11" t="s">
        <v>140</v>
      </c>
      <c r="D608" s="17" t="n">
        <v>1</v>
      </c>
      <c r="E608" s="11" t="s">
        <v>112</v>
      </c>
      <c r="F608" s="14" t="str">
        <f aca="false">IFERROR(VLOOKUP(C608,Ingredients!$B$6:$I$206,7,FALSE()),"?")</f>
        <v>unit</v>
      </c>
      <c r="G608" s="31" t="n">
        <f aca="false">IFERROR(VLOOKUP(C608,Ingredients!$B$6:$I$206,6,FALSE()),0)</f>
        <v>0.03</v>
      </c>
      <c r="H608" s="32" t="n">
        <f aca="false">IFERROR(D608*G608,0)</f>
        <v>0.03</v>
      </c>
    </row>
    <row r="609" customFormat="false" ht="15" hidden="false" customHeight="true" outlineLevel="0" collapsed="false">
      <c r="B609" s="14" t="n">
        <v>71</v>
      </c>
      <c r="C609" s="11" t="s">
        <v>95</v>
      </c>
      <c r="D609" s="17" t="n">
        <v>30</v>
      </c>
      <c r="E609" s="11" t="s">
        <v>84</v>
      </c>
      <c r="F609" s="14" t="str">
        <f aca="false">IFERROR(VLOOKUP(C609,Ingredients!$B$6:$I$206,7,FALSE()),"?")</f>
        <v>ml</v>
      </c>
      <c r="G609" s="31" t="n">
        <f aca="false">IFERROR(VLOOKUP(C609,Ingredients!$B$6:$I$206,6,FALSE()),0)</f>
        <v>0.005</v>
      </c>
      <c r="H609" s="32" t="n">
        <f aca="false">IFERROR(D609*G609,0)</f>
        <v>0.15</v>
      </c>
    </row>
    <row r="610" customFormat="false" ht="15" hidden="false" customHeight="true" outlineLevel="0" collapsed="false">
      <c r="B610" s="14" t="n">
        <v>72</v>
      </c>
      <c r="C610" s="11" t="s">
        <v>122</v>
      </c>
      <c r="D610" s="17" t="n">
        <v>0.003</v>
      </c>
      <c r="E610" s="11" t="s">
        <v>79</v>
      </c>
      <c r="F610" s="14" t="str">
        <f aca="false">IFERROR(VLOOKUP(C610,Ingredients!$B$6:$I$206,7,FALSE()),"?")</f>
        <v>kg</v>
      </c>
      <c r="G610" s="31" t="n">
        <f aca="false">IFERROR(VLOOKUP(C610,Ingredients!$B$6:$I$206,6,FALSE()),0)</f>
        <v>181.818181818182</v>
      </c>
      <c r="H610" s="32" t="n">
        <f aca="false">IFERROR(D610*G610,0)</f>
        <v>0.545454545454545</v>
      </c>
    </row>
    <row r="611" customFormat="false" ht="15" hidden="false" customHeight="true" outlineLevel="0" collapsed="false">
      <c r="B611" s="14" t="n">
        <v>72</v>
      </c>
      <c r="C611" s="11" t="s">
        <v>63</v>
      </c>
      <c r="D611" s="17" t="n">
        <v>0.18</v>
      </c>
      <c r="E611" s="11" t="s">
        <v>65</v>
      </c>
      <c r="F611" s="14" t="str">
        <f aca="false">IFERROR(VLOOKUP(C611,Ingredients!$B$6:$I$206,7,FALSE()),"?")</f>
        <v>L</v>
      </c>
      <c r="G611" s="31" t="n">
        <f aca="false">IFERROR(VLOOKUP(C611,Ingredients!$B$6:$I$206,6,FALSE()),0)</f>
        <v>0.732745961820852</v>
      </c>
      <c r="H611" s="32" t="n">
        <f aca="false">IFERROR(D611*G611,0)</f>
        <v>0.131894273127753</v>
      </c>
    </row>
    <row r="612" customFormat="false" ht="15" hidden="false" customHeight="true" outlineLevel="0" collapsed="false">
      <c r="B612" s="14" t="n">
        <v>72</v>
      </c>
      <c r="C612" s="11" t="s">
        <v>134</v>
      </c>
      <c r="D612" s="17" t="n">
        <v>1</v>
      </c>
      <c r="E612" s="11" t="s">
        <v>112</v>
      </c>
      <c r="F612" s="14" t="str">
        <f aca="false">IFERROR(VLOOKUP(C612,Ingredients!$B$6:$I$206,7,FALSE()),"?")</f>
        <v>unit</v>
      </c>
      <c r="G612" s="31" t="n">
        <f aca="false">IFERROR(VLOOKUP(C612,Ingredients!$B$6:$I$206,6,FALSE()),0)</f>
        <v>0.09</v>
      </c>
      <c r="H612" s="32" t="n">
        <f aca="false">IFERROR(D612*G612,0)</f>
        <v>0.09</v>
      </c>
    </row>
    <row r="613" customFormat="false" ht="15" hidden="false" customHeight="true" outlineLevel="0" collapsed="false">
      <c r="B613" s="14" t="n">
        <v>72</v>
      </c>
      <c r="C613" s="11" t="s">
        <v>136</v>
      </c>
      <c r="D613" s="17" t="n">
        <v>1</v>
      </c>
      <c r="E613" s="11" t="s">
        <v>112</v>
      </c>
      <c r="F613" s="14" t="str">
        <f aca="false">IFERROR(VLOOKUP(C613,Ingredients!$B$6:$I$206,7,FALSE()),"?")</f>
        <v>unit</v>
      </c>
      <c r="G613" s="31" t="n">
        <f aca="false">IFERROR(VLOOKUP(C613,Ingredients!$B$6:$I$206,6,FALSE()),0)</f>
        <v>0.03</v>
      </c>
      <c r="H613" s="32" t="n">
        <f aca="false">IFERROR(D613*G613,0)</f>
        <v>0.03</v>
      </c>
    </row>
    <row r="614" customFormat="false" ht="15" hidden="false" customHeight="true" outlineLevel="0" collapsed="false">
      <c r="B614" s="14" t="n">
        <v>72</v>
      </c>
      <c r="C614" s="11" t="s">
        <v>95</v>
      </c>
      <c r="D614" s="17" t="n">
        <v>30</v>
      </c>
      <c r="E614" s="11" t="s">
        <v>84</v>
      </c>
      <c r="F614" s="14" t="str">
        <f aca="false">IFERROR(VLOOKUP(C614,Ingredients!$B$6:$I$206,7,FALSE()),"?")</f>
        <v>ml</v>
      </c>
      <c r="G614" s="31" t="n">
        <f aca="false">IFERROR(VLOOKUP(C614,Ingredients!$B$6:$I$206,6,FALSE()),0)</f>
        <v>0.005</v>
      </c>
      <c r="H614" s="32" t="n">
        <f aca="false">IFERROR(D614*G614,0)</f>
        <v>0.15</v>
      </c>
    </row>
    <row r="615" customFormat="false" ht="15" hidden="false" customHeight="true" outlineLevel="0" collapsed="false">
      <c r="B615" s="14" t="n">
        <v>73</v>
      </c>
      <c r="C615" s="11" t="s">
        <v>122</v>
      </c>
      <c r="D615" s="17" t="n">
        <v>0.003</v>
      </c>
      <c r="E615" s="11" t="s">
        <v>79</v>
      </c>
      <c r="F615" s="14" t="str">
        <f aca="false">IFERROR(VLOOKUP(C615,Ingredients!$B$6:$I$206,7,FALSE()),"?")</f>
        <v>kg</v>
      </c>
      <c r="G615" s="31" t="n">
        <f aca="false">IFERROR(VLOOKUP(C615,Ingredients!$B$6:$I$206,6,FALSE()),0)</f>
        <v>181.818181818182</v>
      </c>
      <c r="H615" s="32" t="n">
        <f aca="false">IFERROR(D615*G615,0)</f>
        <v>0.545454545454545</v>
      </c>
    </row>
    <row r="616" customFormat="false" ht="15" hidden="false" customHeight="true" outlineLevel="0" collapsed="false">
      <c r="B616" s="14" t="n">
        <v>73</v>
      </c>
      <c r="C616" s="11" t="s">
        <v>63</v>
      </c>
      <c r="D616" s="17" t="n">
        <v>0.38</v>
      </c>
      <c r="E616" s="11" t="s">
        <v>65</v>
      </c>
      <c r="F616" s="14" t="str">
        <f aca="false">IFERROR(VLOOKUP(C616,Ingredients!$B$6:$I$206,7,FALSE()),"?")</f>
        <v>L</v>
      </c>
      <c r="G616" s="31" t="n">
        <f aca="false">IFERROR(VLOOKUP(C616,Ingredients!$B$6:$I$206,6,FALSE()),0)</f>
        <v>0.732745961820852</v>
      </c>
      <c r="H616" s="32" t="n">
        <f aca="false">IFERROR(D616*G616,0)</f>
        <v>0.278443465491924</v>
      </c>
    </row>
    <row r="617" customFormat="false" ht="15" hidden="false" customHeight="true" outlineLevel="0" collapsed="false">
      <c r="B617" s="14" t="n">
        <v>73</v>
      </c>
      <c r="C617" s="11" t="s">
        <v>142</v>
      </c>
      <c r="D617" s="17" t="n">
        <v>1</v>
      </c>
      <c r="E617" s="11" t="s">
        <v>112</v>
      </c>
      <c r="F617" s="14" t="str">
        <f aca="false">IFERROR(VLOOKUP(C617,Ingredients!$B$6:$I$206,7,FALSE()),"?")</f>
        <v>unit</v>
      </c>
      <c r="G617" s="31" t="n">
        <f aca="false">IFERROR(VLOOKUP(C617,Ingredients!$B$6:$I$206,6,FALSE()),0)</f>
        <v>0.14</v>
      </c>
      <c r="H617" s="32" t="n">
        <f aca="false">IFERROR(D617*G617,0)</f>
        <v>0.14</v>
      </c>
    </row>
    <row r="618" customFormat="false" ht="15" hidden="false" customHeight="true" outlineLevel="0" collapsed="false">
      <c r="B618" s="14" t="n">
        <v>73</v>
      </c>
      <c r="C618" s="11" t="s">
        <v>144</v>
      </c>
      <c r="D618" s="17" t="n">
        <v>1</v>
      </c>
      <c r="E618" s="11" t="s">
        <v>112</v>
      </c>
      <c r="F618" s="14" t="str">
        <f aca="false">IFERROR(VLOOKUP(C618,Ingredients!$B$6:$I$206,7,FALSE()),"?")</f>
        <v>unit</v>
      </c>
      <c r="G618" s="31" t="n">
        <f aca="false">IFERROR(VLOOKUP(C618,Ingredients!$B$6:$I$206,6,FALSE()),0)</f>
        <v>0.03</v>
      </c>
      <c r="H618" s="32" t="n">
        <f aca="false">IFERROR(D618*G618,0)</f>
        <v>0.03</v>
      </c>
    </row>
    <row r="619" customFormat="false" ht="15" hidden="false" customHeight="true" outlineLevel="0" collapsed="false">
      <c r="B619" s="14" t="n">
        <v>73</v>
      </c>
      <c r="C619" s="11" t="s">
        <v>95</v>
      </c>
      <c r="D619" s="17" t="n">
        <v>30</v>
      </c>
      <c r="E619" s="11" t="s">
        <v>84</v>
      </c>
      <c r="F619" s="14" t="str">
        <f aca="false">IFERROR(VLOOKUP(C619,Ingredients!$B$6:$I$206,7,FALSE()),"?")</f>
        <v>ml</v>
      </c>
      <c r="G619" s="31" t="n">
        <f aca="false">IFERROR(VLOOKUP(C619,Ingredients!$B$6:$I$206,6,FALSE()),0)</f>
        <v>0.005</v>
      </c>
      <c r="H619" s="32" t="n">
        <f aca="false">IFERROR(D619*G619,0)</f>
        <v>0.15</v>
      </c>
    </row>
    <row r="620" customFormat="false" ht="15" hidden="false" customHeight="true" outlineLevel="0" collapsed="false">
      <c r="B620" s="14" t="n">
        <v>74</v>
      </c>
      <c r="C620" s="11" t="s">
        <v>122</v>
      </c>
      <c r="D620" s="17" t="n">
        <v>0.003</v>
      </c>
      <c r="E620" s="11" t="s">
        <v>79</v>
      </c>
      <c r="F620" s="14" t="str">
        <f aca="false">IFERROR(VLOOKUP(C620,Ingredients!$B$6:$I$206,7,FALSE()),"?")</f>
        <v>kg</v>
      </c>
      <c r="G620" s="31" t="n">
        <f aca="false">IFERROR(VLOOKUP(C620,Ingredients!$B$6:$I$206,6,FALSE()),0)</f>
        <v>181.818181818182</v>
      </c>
      <c r="H620" s="32" t="n">
        <f aca="false">IFERROR(D620*G620,0)</f>
        <v>0.545454545454545</v>
      </c>
    </row>
    <row r="621" customFormat="false" ht="15" hidden="false" customHeight="true" outlineLevel="0" collapsed="false">
      <c r="B621" s="14" t="n">
        <v>74</v>
      </c>
      <c r="C621" s="11" t="s">
        <v>63</v>
      </c>
      <c r="D621" s="17" t="n">
        <v>0.28</v>
      </c>
      <c r="E621" s="11" t="s">
        <v>65</v>
      </c>
      <c r="F621" s="14" t="str">
        <f aca="false">IFERROR(VLOOKUP(C621,Ingredients!$B$6:$I$206,7,FALSE()),"?")</f>
        <v>L</v>
      </c>
      <c r="G621" s="31" t="n">
        <f aca="false">IFERROR(VLOOKUP(C621,Ingredients!$B$6:$I$206,6,FALSE()),0)</f>
        <v>0.732745961820852</v>
      </c>
      <c r="H621" s="32" t="n">
        <f aca="false">IFERROR(D621*G621,0)</f>
        <v>0.205168869309839</v>
      </c>
    </row>
    <row r="622" customFormat="false" ht="15" hidden="false" customHeight="true" outlineLevel="0" collapsed="false">
      <c r="B622" s="14" t="n">
        <v>74</v>
      </c>
      <c r="C622" s="11" t="s">
        <v>138</v>
      </c>
      <c r="D622" s="17" t="n">
        <v>1</v>
      </c>
      <c r="E622" s="11" t="s">
        <v>112</v>
      </c>
      <c r="F622" s="14" t="str">
        <f aca="false">IFERROR(VLOOKUP(C622,Ingredients!$B$6:$I$206,7,FALSE()),"?")</f>
        <v>unit</v>
      </c>
      <c r="G622" s="31" t="n">
        <f aca="false">IFERROR(VLOOKUP(C622,Ingredients!$B$6:$I$206,6,FALSE()),0)</f>
        <v>0.11</v>
      </c>
      <c r="H622" s="32" t="n">
        <f aca="false">IFERROR(D622*G622,0)</f>
        <v>0.11</v>
      </c>
    </row>
    <row r="623" customFormat="false" ht="15" hidden="false" customHeight="true" outlineLevel="0" collapsed="false">
      <c r="B623" s="14" t="n">
        <v>74</v>
      </c>
      <c r="C623" s="11" t="s">
        <v>140</v>
      </c>
      <c r="D623" s="17" t="n">
        <v>1</v>
      </c>
      <c r="E623" s="11" t="s">
        <v>112</v>
      </c>
      <c r="F623" s="14" t="str">
        <f aca="false">IFERROR(VLOOKUP(C623,Ingredients!$B$6:$I$206,7,FALSE()),"?")</f>
        <v>unit</v>
      </c>
      <c r="G623" s="31" t="n">
        <f aca="false">IFERROR(VLOOKUP(C623,Ingredients!$B$6:$I$206,6,FALSE()),0)</f>
        <v>0.03</v>
      </c>
      <c r="H623" s="32" t="n">
        <f aca="false">IFERROR(D623*G623,0)</f>
        <v>0.03</v>
      </c>
    </row>
    <row r="624" customFormat="false" ht="15" hidden="false" customHeight="true" outlineLevel="0" collapsed="false">
      <c r="B624" s="14" t="n">
        <v>75</v>
      </c>
      <c r="C624" s="11" t="s">
        <v>122</v>
      </c>
      <c r="D624" s="17" t="n">
        <v>0.003</v>
      </c>
      <c r="E624" s="11" t="s">
        <v>79</v>
      </c>
      <c r="F624" s="14" t="str">
        <f aca="false">IFERROR(VLOOKUP(C624,Ingredients!$B$6:$I$206,7,FALSE()),"?")</f>
        <v>kg</v>
      </c>
      <c r="G624" s="31" t="n">
        <f aca="false">IFERROR(VLOOKUP(C624,Ingredients!$B$6:$I$206,6,FALSE()),0)</f>
        <v>181.818181818182</v>
      </c>
      <c r="H624" s="32" t="n">
        <f aca="false">IFERROR(D624*G624,0)</f>
        <v>0.545454545454545</v>
      </c>
    </row>
    <row r="625" customFormat="false" ht="15" hidden="false" customHeight="true" outlineLevel="0" collapsed="false">
      <c r="B625" s="14" t="n">
        <v>75</v>
      </c>
      <c r="C625" s="11" t="s">
        <v>63</v>
      </c>
      <c r="D625" s="17" t="n">
        <v>0.18</v>
      </c>
      <c r="E625" s="11" t="s">
        <v>65</v>
      </c>
      <c r="F625" s="14" t="str">
        <f aca="false">IFERROR(VLOOKUP(C625,Ingredients!$B$6:$I$206,7,FALSE()),"?")</f>
        <v>L</v>
      </c>
      <c r="G625" s="31" t="n">
        <f aca="false">IFERROR(VLOOKUP(C625,Ingredients!$B$6:$I$206,6,FALSE()),0)</f>
        <v>0.732745961820852</v>
      </c>
      <c r="H625" s="32" t="n">
        <f aca="false">IFERROR(D625*G625,0)</f>
        <v>0.131894273127753</v>
      </c>
    </row>
    <row r="626" customFormat="false" ht="15" hidden="false" customHeight="true" outlineLevel="0" collapsed="false">
      <c r="B626" s="14" t="n">
        <v>75</v>
      </c>
      <c r="C626" s="11" t="s">
        <v>134</v>
      </c>
      <c r="D626" s="17" t="n">
        <v>1</v>
      </c>
      <c r="E626" s="11" t="s">
        <v>112</v>
      </c>
      <c r="F626" s="14" t="str">
        <f aca="false">IFERROR(VLOOKUP(C626,Ingredients!$B$6:$I$206,7,FALSE()),"?")</f>
        <v>unit</v>
      </c>
      <c r="G626" s="31" t="n">
        <f aca="false">IFERROR(VLOOKUP(C626,Ingredients!$B$6:$I$206,6,FALSE()),0)</f>
        <v>0.09</v>
      </c>
      <c r="H626" s="32" t="n">
        <f aca="false">IFERROR(D626*G626,0)</f>
        <v>0.09</v>
      </c>
    </row>
    <row r="627" customFormat="false" ht="15" hidden="false" customHeight="true" outlineLevel="0" collapsed="false">
      <c r="B627" s="14" t="n">
        <v>75</v>
      </c>
      <c r="C627" s="11" t="s">
        <v>136</v>
      </c>
      <c r="D627" s="17" t="n">
        <v>1</v>
      </c>
      <c r="E627" s="11" t="s">
        <v>112</v>
      </c>
      <c r="F627" s="14" t="str">
        <f aca="false">IFERROR(VLOOKUP(C627,Ingredients!$B$6:$I$206,7,FALSE()),"?")</f>
        <v>unit</v>
      </c>
      <c r="G627" s="31" t="n">
        <f aca="false">IFERROR(VLOOKUP(C627,Ingredients!$B$6:$I$206,6,FALSE()),0)</f>
        <v>0.03</v>
      </c>
      <c r="H627" s="32" t="n">
        <f aca="false">IFERROR(D627*G627,0)</f>
        <v>0.03</v>
      </c>
    </row>
    <row r="628" customFormat="false" ht="15" hidden="false" customHeight="true" outlineLevel="0" collapsed="false">
      <c r="B628" s="14" t="n">
        <v>76</v>
      </c>
      <c r="C628" s="11" t="s">
        <v>122</v>
      </c>
      <c r="D628" s="17" t="n">
        <v>0.003</v>
      </c>
      <c r="E628" s="11" t="s">
        <v>79</v>
      </c>
      <c r="F628" s="14" t="str">
        <f aca="false">IFERROR(VLOOKUP(C628,Ingredients!$B$6:$I$206,7,FALSE()),"?")</f>
        <v>kg</v>
      </c>
      <c r="G628" s="31" t="n">
        <f aca="false">IFERROR(VLOOKUP(C628,Ingredients!$B$6:$I$206,6,FALSE()),0)</f>
        <v>181.818181818182</v>
      </c>
      <c r="H628" s="32" t="n">
        <f aca="false">IFERROR(D628*G628,0)</f>
        <v>0.545454545454545</v>
      </c>
    </row>
    <row r="629" customFormat="false" ht="15" hidden="false" customHeight="true" outlineLevel="0" collapsed="false">
      <c r="B629" s="14" t="n">
        <v>76</v>
      </c>
      <c r="C629" s="11" t="s">
        <v>63</v>
      </c>
      <c r="D629" s="17" t="n">
        <v>0.38</v>
      </c>
      <c r="E629" s="11" t="s">
        <v>65</v>
      </c>
      <c r="F629" s="14" t="str">
        <f aca="false">IFERROR(VLOOKUP(C629,Ingredients!$B$6:$I$206,7,FALSE()),"?")</f>
        <v>L</v>
      </c>
      <c r="G629" s="31" t="n">
        <f aca="false">IFERROR(VLOOKUP(C629,Ingredients!$B$6:$I$206,6,FALSE()),0)</f>
        <v>0.732745961820852</v>
      </c>
      <c r="H629" s="32" t="n">
        <f aca="false">IFERROR(D629*G629,0)</f>
        <v>0.278443465491924</v>
      </c>
    </row>
    <row r="630" customFormat="false" ht="15" hidden="false" customHeight="true" outlineLevel="0" collapsed="false">
      <c r="B630" s="14" t="n">
        <v>76</v>
      </c>
      <c r="C630" s="11" t="s">
        <v>142</v>
      </c>
      <c r="D630" s="17" t="n">
        <v>1</v>
      </c>
      <c r="E630" s="11" t="s">
        <v>112</v>
      </c>
      <c r="F630" s="14" t="str">
        <f aca="false">IFERROR(VLOOKUP(C630,Ingredients!$B$6:$I$206,7,FALSE()),"?")</f>
        <v>unit</v>
      </c>
      <c r="G630" s="31" t="n">
        <f aca="false">IFERROR(VLOOKUP(C630,Ingredients!$B$6:$I$206,6,FALSE()),0)</f>
        <v>0.14</v>
      </c>
      <c r="H630" s="32" t="n">
        <f aca="false">IFERROR(D630*G630,0)</f>
        <v>0.14</v>
      </c>
    </row>
    <row r="631" customFormat="false" ht="15" hidden="false" customHeight="true" outlineLevel="0" collapsed="false">
      <c r="B631" s="14" t="n">
        <v>76</v>
      </c>
      <c r="C631" s="11" t="s">
        <v>144</v>
      </c>
      <c r="D631" s="17" t="n">
        <v>1</v>
      </c>
      <c r="E631" s="11" t="s">
        <v>112</v>
      </c>
      <c r="F631" s="14" t="str">
        <f aca="false">IFERROR(VLOOKUP(C631,Ingredients!$B$6:$I$206,7,FALSE()),"?")</f>
        <v>unit</v>
      </c>
      <c r="G631" s="31" t="n">
        <f aca="false">IFERROR(VLOOKUP(C631,Ingredients!$B$6:$I$206,6,FALSE()),0)</f>
        <v>0.03</v>
      </c>
      <c r="H631" s="32" t="n">
        <f aca="false">IFERROR(D631*G631,0)</f>
        <v>0.03</v>
      </c>
    </row>
    <row r="632" customFormat="false" ht="15" hidden="false" customHeight="true" outlineLevel="0" collapsed="false">
      <c r="B632" s="14" t="n">
        <v>77</v>
      </c>
      <c r="C632" s="11" t="s">
        <v>122</v>
      </c>
      <c r="D632" s="17" t="n">
        <v>0.003</v>
      </c>
      <c r="E632" s="11" t="s">
        <v>79</v>
      </c>
      <c r="F632" s="14" t="str">
        <f aca="false">IFERROR(VLOOKUP(C632,Ingredients!$B$6:$I$206,7,FALSE()),"?")</f>
        <v>kg</v>
      </c>
      <c r="G632" s="31" t="n">
        <f aca="false">IFERROR(VLOOKUP(C632,Ingredients!$B$6:$I$206,6,FALSE()),0)</f>
        <v>181.818181818182</v>
      </c>
      <c r="H632" s="32" t="n">
        <f aca="false">IFERROR(D632*G632,0)</f>
        <v>0.545454545454545</v>
      </c>
    </row>
    <row r="633" customFormat="false" ht="15" hidden="false" customHeight="true" outlineLevel="0" collapsed="false">
      <c r="B633" s="14" t="n">
        <v>77</v>
      </c>
      <c r="C633" s="11" t="s">
        <v>63</v>
      </c>
      <c r="D633" s="17" t="n">
        <v>0.28</v>
      </c>
      <c r="E633" s="11" t="s">
        <v>65</v>
      </c>
      <c r="F633" s="14" t="str">
        <f aca="false">IFERROR(VLOOKUP(C633,Ingredients!$B$6:$I$206,7,FALSE()),"?")</f>
        <v>L</v>
      </c>
      <c r="G633" s="31" t="n">
        <f aca="false">IFERROR(VLOOKUP(C633,Ingredients!$B$6:$I$206,6,FALSE()),0)</f>
        <v>0.732745961820852</v>
      </c>
      <c r="H633" s="32" t="n">
        <f aca="false">IFERROR(D633*G633,0)</f>
        <v>0.205168869309839</v>
      </c>
    </row>
    <row r="634" customFormat="false" ht="15" hidden="false" customHeight="true" outlineLevel="0" collapsed="false">
      <c r="B634" s="14" t="n">
        <v>77</v>
      </c>
      <c r="C634" s="11" t="s">
        <v>138</v>
      </c>
      <c r="D634" s="17" t="n">
        <v>1</v>
      </c>
      <c r="E634" s="11" t="s">
        <v>112</v>
      </c>
      <c r="F634" s="14" t="str">
        <f aca="false">IFERROR(VLOOKUP(C634,Ingredients!$B$6:$I$206,7,FALSE()),"?")</f>
        <v>unit</v>
      </c>
      <c r="G634" s="31" t="n">
        <f aca="false">IFERROR(VLOOKUP(C634,Ingredients!$B$6:$I$206,6,FALSE()),0)</f>
        <v>0.11</v>
      </c>
      <c r="H634" s="32" t="n">
        <f aca="false">IFERROR(D634*G634,0)</f>
        <v>0.11</v>
      </c>
    </row>
    <row r="635" customFormat="false" ht="15" hidden="false" customHeight="true" outlineLevel="0" collapsed="false">
      <c r="B635" s="14" t="n">
        <v>77</v>
      </c>
      <c r="C635" s="11" t="s">
        <v>140</v>
      </c>
      <c r="D635" s="17" t="n">
        <v>1</v>
      </c>
      <c r="E635" s="11" t="s">
        <v>112</v>
      </c>
      <c r="F635" s="14" t="str">
        <f aca="false">IFERROR(VLOOKUP(C635,Ingredients!$B$6:$I$206,7,FALSE()),"?")</f>
        <v>unit</v>
      </c>
      <c r="G635" s="31" t="n">
        <f aca="false">IFERROR(VLOOKUP(C635,Ingredients!$B$6:$I$206,6,FALSE()),0)</f>
        <v>0.03</v>
      </c>
      <c r="H635" s="32" t="n">
        <f aca="false">IFERROR(D635*G635,0)</f>
        <v>0.03</v>
      </c>
    </row>
    <row r="636" customFormat="false" ht="15" hidden="false" customHeight="true" outlineLevel="0" collapsed="false">
      <c r="B636" s="14" t="n">
        <v>77</v>
      </c>
      <c r="C636" s="11" t="s">
        <v>88</v>
      </c>
      <c r="D636" s="17" t="n">
        <v>30</v>
      </c>
      <c r="E636" s="11" t="s">
        <v>84</v>
      </c>
      <c r="F636" s="14" t="str">
        <f aca="false">IFERROR(VLOOKUP(C636,Ingredients!$B$6:$I$206,7,FALSE()),"?")</f>
        <v>ml</v>
      </c>
      <c r="G636" s="31" t="n">
        <f aca="false">IFERROR(VLOOKUP(C636,Ingredients!$B$6:$I$206,6,FALSE()),0)</f>
        <v>0.005</v>
      </c>
      <c r="H636" s="32" t="n">
        <f aca="false">IFERROR(D636*G636,0)</f>
        <v>0.15</v>
      </c>
    </row>
    <row r="637" customFormat="false" ht="15" hidden="false" customHeight="true" outlineLevel="0" collapsed="false">
      <c r="B637" s="14" t="n">
        <v>78</v>
      </c>
      <c r="C637" s="11" t="s">
        <v>122</v>
      </c>
      <c r="D637" s="17" t="n">
        <v>0.003</v>
      </c>
      <c r="E637" s="11" t="s">
        <v>79</v>
      </c>
      <c r="F637" s="14" t="str">
        <f aca="false">IFERROR(VLOOKUP(C637,Ingredients!$B$6:$I$206,7,FALSE()),"?")</f>
        <v>kg</v>
      </c>
      <c r="G637" s="31" t="n">
        <f aca="false">IFERROR(VLOOKUP(C637,Ingredients!$B$6:$I$206,6,FALSE()),0)</f>
        <v>181.818181818182</v>
      </c>
      <c r="H637" s="32" t="n">
        <f aca="false">IFERROR(D637*G637,0)</f>
        <v>0.545454545454545</v>
      </c>
    </row>
    <row r="638" customFormat="false" ht="15" hidden="false" customHeight="true" outlineLevel="0" collapsed="false">
      <c r="B638" s="14" t="n">
        <v>78</v>
      </c>
      <c r="C638" s="11" t="s">
        <v>63</v>
      </c>
      <c r="D638" s="17" t="n">
        <v>0.18</v>
      </c>
      <c r="E638" s="11" t="s">
        <v>65</v>
      </c>
      <c r="F638" s="14" t="str">
        <f aca="false">IFERROR(VLOOKUP(C638,Ingredients!$B$6:$I$206,7,FALSE()),"?")</f>
        <v>L</v>
      </c>
      <c r="G638" s="31" t="n">
        <f aca="false">IFERROR(VLOOKUP(C638,Ingredients!$B$6:$I$206,6,FALSE()),0)</f>
        <v>0.732745961820852</v>
      </c>
      <c r="H638" s="32" t="n">
        <f aca="false">IFERROR(D638*G638,0)</f>
        <v>0.131894273127753</v>
      </c>
    </row>
    <row r="639" customFormat="false" ht="15" hidden="false" customHeight="true" outlineLevel="0" collapsed="false">
      <c r="B639" s="14" t="n">
        <v>78</v>
      </c>
      <c r="C639" s="11" t="s">
        <v>134</v>
      </c>
      <c r="D639" s="17" t="n">
        <v>1</v>
      </c>
      <c r="E639" s="11" t="s">
        <v>112</v>
      </c>
      <c r="F639" s="14" t="str">
        <f aca="false">IFERROR(VLOOKUP(C639,Ingredients!$B$6:$I$206,7,FALSE()),"?")</f>
        <v>unit</v>
      </c>
      <c r="G639" s="31" t="n">
        <f aca="false">IFERROR(VLOOKUP(C639,Ingredients!$B$6:$I$206,6,FALSE()),0)</f>
        <v>0.09</v>
      </c>
      <c r="H639" s="32" t="n">
        <f aca="false">IFERROR(D639*G639,0)</f>
        <v>0.09</v>
      </c>
    </row>
    <row r="640" customFormat="false" ht="15" hidden="false" customHeight="true" outlineLevel="0" collapsed="false">
      <c r="B640" s="14" t="n">
        <v>78</v>
      </c>
      <c r="C640" s="11" t="s">
        <v>136</v>
      </c>
      <c r="D640" s="17" t="n">
        <v>1</v>
      </c>
      <c r="E640" s="11" t="s">
        <v>112</v>
      </c>
      <c r="F640" s="14" t="str">
        <f aca="false">IFERROR(VLOOKUP(C640,Ingredients!$B$6:$I$206,7,FALSE()),"?")</f>
        <v>unit</v>
      </c>
      <c r="G640" s="31" t="n">
        <f aca="false">IFERROR(VLOOKUP(C640,Ingredients!$B$6:$I$206,6,FALSE()),0)</f>
        <v>0.03</v>
      </c>
      <c r="H640" s="32" t="n">
        <f aca="false">IFERROR(D640*G640,0)</f>
        <v>0.03</v>
      </c>
    </row>
    <row r="641" customFormat="false" ht="15" hidden="false" customHeight="true" outlineLevel="0" collapsed="false">
      <c r="B641" s="14" t="n">
        <v>78</v>
      </c>
      <c r="C641" s="11" t="s">
        <v>88</v>
      </c>
      <c r="D641" s="17" t="n">
        <v>30</v>
      </c>
      <c r="E641" s="11" t="s">
        <v>84</v>
      </c>
      <c r="F641" s="14" t="str">
        <f aca="false">IFERROR(VLOOKUP(C641,Ingredients!$B$6:$I$206,7,FALSE()),"?")</f>
        <v>ml</v>
      </c>
      <c r="G641" s="31" t="n">
        <f aca="false">IFERROR(VLOOKUP(C641,Ingredients!$B$6:$I$206,6,FALSE()),0)</f>
        <v>0.005</v>
      </c>
      <c r="H641" s="32" t="n">
        <f aca="false">IFERROR(D641*G641,0)</f>
        <v>0.15</v>
      </c>
    </row>
    <row r="642" customFormat="false" ht="15" hidden="false" customHeight="true" outlineLevel="0" collapsed="false">
      <c r="B642" s="14" t="n">
        <v>79</v>
      </c>
      <c r="C642" s="11" t="s">
        <v>122</v>
      </c>
      <c r="D642" s="17" t="n">
        <v>0.003</v>
      </c>
      <c r="E642" s="11" t="s">
        <v>79</v>
      </c>
      <c r="F642" s="14" t="str">
        <f aca="false">IFERROR(VLOOKUP(C642,Ingredients!$B$6:$I$206,7,FALSE()),"?")</f>
        <v>kg</v>
      </c>
      <c r="G642" s="31" t="n">
        <f aca="false">IFERROR(VLOOKUP(C642,Ingredients!$B$6:$I$206,6,FALSE()),0)</f>
        <v>181.818181818182</v>
      </c>
      <c r="H642" s="32" t="n">
        <f aca="false">IFERROR(D642*G642,0)</f>
        <v>0.545454545454545</v>
      </c>
    </row>
    <row r="643" customFormat="false" ht="15" hidden="false" customHeight="true" outlineLevel="0" collapsed="false">
      <c r="B643" s="14" t="n">
        <v>79</v>
      </c>
      <c r="C643" s="11" t="s">
        <v>63</v>
      </c>
      <c r="D643" s="17" t="n">
        <v>0.38</v>
      </c>
      <c r="E643" s="11" t="s">
        <v>65</v>
      </c>
      <c r="F643" s="14" t="str">
        <f aca="false">IFERROR(VLOOKUP(C643,Ingredients!$B$6:$I$206,7,FALSE()),"?")</f>
        <v>L</v>
      </c>
      <c r="G643" s="31" t="n">
        <f aca="false">IFERROR(VLOOKUP(C643,Ingredients!$B$6:$I$206,6,FALSE()),0)</f>
        <v>0.732745961820852</v>
      </c>
      <c r="H643" s="32" t="n">
        <f aca="false">IFERROR(D643*G643,0)</f>
        <v>0.278443465491924</v>
      </c>
    </row>
    <row r="644" customFormat="false" ht="15" hidden="false" customHeight="true" outlineLevel="0" collapsed="false">
      <c r="B644" s="14" t="n">
        <v>79</v>
      </c>
      <c r="C644" s="11" t="s">
        <v>142</v>
      </c>
      <c r="D644" s="17" t="n">
        <v>1</v>
      </c>
      <c r="E644" s="11" t="s">
        <v>112</v>
      </c>
      <c r="F644" s="14" t="str">
        <f aca="false">IFERROR(VLOOKUP(C644,Ingredients!$B$6:$I$206,7,FALSE()),"?")</f>
        <v>unit</v>
      </c>
      <c r="G644" s="31" t="n">
        <f aca="false">IFERROR(VLOOKUP(C644,Ingredients!$B$6:$I$206,6,FALSE()),0)</f>
        <v>0.14</v>
      </c>
      <c r="H644" s="32" t="n">
        <f aca="false">IFERROR(D644*G644,0)</f>
        <v>0.14</v>
      </c>
    </row>
    <row r="645" customFormat="false" ht="15" hidden="false" customHeight="true" outlineLevel="0" collapsed="false">
      <c r="B645" s="14" t="n">
        <v>79</v>
      </c>
      <c r="C645" s="11" t="s">
        <v>144</v>
      </c>
      <c r="D645" s="17" t="n">
        <v>1</v>
      </c>
      <c r="E645" s="11" t="s">
        <v>112</v>
      </c>
      <c r="F645" s="14" t="str">
        <f aca="false">IFERROR(VLOOKUP(C645,Ingredients!$B$6:$I$206,7,FALSE()),"?")</f>
        <v>unit</v>
      </c>
      <c r="G645" s="31" t="n">
        <f aca="false">IFERROR(VLOOKUP(C645,Ingredients!$B$6:$I$206,6,FALSE()),0)</f>
        <v>0.03</v>
      </c>
      <c r="H645" s="32" t="n">
        <f aca="false">IFERROR(D645*G645,0)</f>
        <v>0.03</v>
      </c>
    </row>
    <row r="646" customFormat="false" ht="15" hidden="false" customHeight="true" outlineLevel="0" collapsed="false">
      <c r="B646" s="14" t="n">
        <v>79</v>
      </c>
      <c r="C646" s="11" t="s">
        <v>88</v>
      </c>
      <c r="D646" s="17" t="n">
        <v>30</v>
      </c>
      <c r="E646" s="11" t="s">
        <v>84</v>
      </c>
      <c r="F646" s="14" t="str">
        <f aca="false">IFERROR(VLOOKUP(C646,Ingredients!$B$6:$I$206,7,FALSE()),"?")</f>
        <v>ml</v>
      </c>
      <c r="G646" s="31" t="n">
        <f aca="false">IFERROR(VLOOKUP(C646,Ingredients!$B$6:$I$206,6,FALSE()),0)</f>
        <v>0.005</v>
      </c>
      <c r="H646" s="32" t="n">
        <f aca="false">IFERROR(D646*G646,0)</f>
        <v>0.15</v>
      </c>
    </row>
    <row r="647" customFormat="false" ht="15" hidden="false" customHeight="true" outlineLevel="0" collapsed="false">
      <c r="B647" s="14" t="n">
        <v>80</v>
      </c>
      <c r="C647" s="11" t="s">
        <v>122</v>
      </c>
      <c r="D647" s="17" t="n">
        <v>0.003</v>
      </c>
      <c r="E647" s="11" t="s">
        <v>79</v>
      </c>
      <c r="F647" s="14" t="str">
        <f aca="false">IFERROR(VLOOKUP(C647,Ingredients!$B$6:$I$206,7,FALSE()),"?")</f>
        <v>kg</v>
      </c>
      <c r="G647" s="31" t="n">
        <f aca="false">IFERROR(VLOOKUP(C647,Ingredients!$B$6:$I$206,6,FALSE()),0)</f>
        <v>181.818181818182</v>
      </c>
      <c r="H647" s="32" t="n">
        <f aca="false">IFERROR(D647*G647,0)</f>
        <v>0.545454545454545</v>
      </c>
    </row>
    <row r="648" customFormat="false" ht="15" hidden="false" customHeight="true" outlineLevel="0" collapsed="false">
      <c r="B648" s="14" t="n">
        <v>80</v>
      </c>
      <c r="C648" s="11" t="s">
        <v>63</v>
      </c>
      <c r="D648" s="17" t="n">
        <v>0.28</v>
      </c>
      <c r="E648" s="11" t="s">
        <v>65</v>
      </c>
      <c r="F648" s="14" t="str">
        <f aca="false">IFERROR(VLOOKUP(C648,Ingredients!$B$6:$I$206,7,FALSE()),"?")</f>
        <v>L</v>
      </c>
      <c r="G648" s="31" t="n">
        <f aca="false">IFERROR(VLOOKUP(C648,Ingredients!$B$6:$I$206,6,FALSE()),0)</f>
        <v>0.732745961820852</v>
      </c>
      <c r="H648" s="32" t="n">
        <f aca="false">IFERROR(D648*G648,0)</f>
        <v>0.205168869309839</v>
      </c>
    </row>
    <row r="649" customFormat="false" ht="15" hidden="false" customHeight="true" outlineLevel="0" collapsed="false">
      <c r="B649" s="14" t="n">
        <v>80</v>
      </c>
      <c r="C649" s="11" t="s">
        <v>138</v>
      </c>
      <c r="D649" s="17" t="n">
        <v>1</v>
      </c>
      <c r="E649" s="11" t="s">
        <v>112</v>
      </c>
      <c r="F649" s="14" t="str">
        <f aca="false">IFERROR(VLOOKUP(C649,Ingredients!$B$6:$I$206,7,FALSE()),"?")</f>
        <v>unit</v>
      </c>
      <c r="G649" s="31" t="n">
        <f aca="false">IFERROR(VLOOKUP(C649,Ingredients!$B$6:$I$206,6,FALSE()),0)</f>
        <v>0.11</v>
      </c>
      <c r="H649" s="32" t="n">
        <f aca="false">IFERROR(D649*G649,0)</f>
        <v>0.11</v>
      </c>
    </row>
    <row r="650" customFormat="false" ht="15" hidden="false" customHeight="true" outlineLevel="0" collapsed="false">
      <c r="B650" s="14" t="n">
        <v>80</v>
      </c>
      <c r="C650" s="11" t="s">
        <v>140</v>
      </c>
      <c r="D650" s="17" t="n">
        <v>1</v>
      </c>
      <c r="E650" s="11" t="s">
        <v>112</v>
      </c>
      <c r="F650" s="14" t="str">
        <f aca="false">IFERROR(VLOOKUP(C650,Ingredients!$B$6:$I$206,7,FALSE()),"?")</f>
        <v>unit</v>
      </c>
      <c r="G650" s="31" t="n">
        <f aca="false">IFERROR(VLOOKUP(C650,Ingredients!$B$6:$I$206,6,FALSE()),0)</f>
        <v>0.03</v>
      </c>
      <c r="H650" s="32" t="n">
        <f aca="false">IFERROR(D650*G650,0)</f>
        <v>0.03</v>
      </c>
    </row>
    <row r="651" customFormat="false" ht="15" hidden="false" customHeight="true" outlineLevel="0" collapsed="false">
      <c r="B651" s="14" t="n">
        <v>80</v>
      </c>
      <c r="C651" s="11" t="s">
        <v>92</v>
      </c>
      <c r="D651" s="17" t="n">
        <v>30</v>
      </c>
      <c r="E651" s="11" t="s">
        <v>84</v>
      </c>
      <c r="F651" s="14" t="str">
        <f aca="false">IFERROR(VLOOKUP(C651,Ingredients!$B$6:$I$206,7,FALSE()),"?")</f>
        <v>ml</v>
      </c>
      <c r="G651" s="31" t="n">
        <f aca="false">IFERROR(VLOOKUP(C651,Ingredients!$B$6:$I$206,6,FALSE()),0)</f>
        <v>0.005</v>
      </c>
      <c r="H651" s="32" t="n">
        <f aca="false">IFERROR(D651*G651,0)</f>
        <v>0.15</v>
      </c>
    </row>
    <row r="652" customFormat="false" ht="15" hidden="false" customHeight="true" outlineLevel="0" collapsed="false">
      <c r="B652" s="14" t="n">
        <v>81</v>
      </c>
      <c r="C652" s="11" t="s">
        <v>122</v>
      </c>
      <c r="D652" s="17" t="n">
        <v>0.003</v>
      </c>
      <c r="E652" s="11" t="s">
        <v>79</v>
      </c>
      <c r="F652" s="14" t="str">
        <f aca="false">IFERROR(VLOOKUP(C652,Ingredients!$B$6:$I$206,7,FALSE()),"?")</f>
        <v>kg</v>
      </c>
      <c r="G652" s="31" t="n">
        <f aca="false">IFERROR(VLOOKUP(C652,Ingredients!$B$6:$I$206,6,FALSE()),0)</f>
        <v>181.818181818182</v>
      </c>
      <c r="H652" s="32" t="n">
        <f aca="false">IFERROR(D652*G652,0)</f>
        <v>0.545454545454545</v>
      </c>
    </row>
    <row r="653" customFormat="false" ht="15" hidden="false" customHeight="true" outlineLevel="0" collapsed="false">
      <c r="B653" s="14" t="n">
        <v>81</v>
      </c>
      <c r="C653" s="11" t="s">
        <v>63</v>
      </c>
      <c r="D653" s="17" t="n">
        <v>0.18</v>
      </c>
      <c r="E653" s="11" t="s">
        <v>65</v>
      </c>
      <c r="F653" s="14" t="str">
        <f aca="false">IFERROR(VLOOKUP(C653,Ingredients!$B$6:$I$206,7,FALSE()),"?")</f>
        <v>L</v>
      </c>
      <c r="G653" s="31" t="n">
        <f aca="false">IFERROR(VLOOKUP(C653,Ingredients!$B$6:$I$206,6,FALSE()),0)</f>
        <v>0.732745961820852</v>
      </c>
      <c r="H653" s="32" t="n">
        <f aca="false">IFERROR(D653*G653,0)</f>
        <v>0.131894273127753</v>
      </c>
    </row>
    <row r="654" customFormat="false" ht="15" hidden="false" customHeight="true" outlineLevel="0" collapsed="false">
      <c r="B654" s="14" t="n">
        <v>81</v>
      </c>
      <c r="C654" s="11" t="s">
        <v>134</v>
      </c>
      <c r="D654" s="17" t="n">
        <v>1</v>
      </c>
      <c r="E654" s="11" t="s">
        <v>112</v>
      </c>
      <c r="F654" s="14" t="str">
        <f aca="false">IFERROR(VLOOKUP(C654,Ingredients!$B$6:$I$206,7,FALSE()),"?")</f>
        <v>unit</v>
      </c>
      <c r="G654" s="31" t="n">
        <f aca="false">IFERROR(VLOOKUP(C654,Ingredients!$B$6:$I$206,6,FALSE()),0)</f>
        <v>0.09</v>
      </c>
      <c r="H654" s="32" t="n">
        <f aca="false">IFERROR(D654*G654,0)</f>
        <v>0.09</v>
      </c>
    </row>
    <row r="655" customFormat="false" ht="15" hidden="false" customHeight="true" outlineLevel="0" collapsed="false">
      <c r="B655" s="14" t="n">
        <v>81</v>
      </c>
      <c r="C655" s="11" t="s">
        <v>136</v>
      </c>
      <c r="D655" s="17" t="n">
        <v>1</v>
      </c>
      <c r="E655" s="11" t="s">
        <v>112</v>
      </c>
      <c r="F655" s="14" t="str">
        <f aca="false">IFERROR(VLOOKUP(C655,Ingredients!$B$6:$I$206,7,FALSE()),"?")</f>
        <v>unit</v>
      </c>
      <c r="G655" s="31" t="n">
        <f aca="false">IFERROR(VLOOKUP(C655,Ingredients!$B$6:$I$206,6,FALSE()),0)</f>
        <v>0.03</v>
      </c>
      <c r="H655" s="32" t="n">
        <f aca="false">IFERROR(D655*G655,0)</f>
        <v>0.03</v>
      </c>
    </row>
    <row r="656" customFormat="false" ht="15" hidden="false" customHeight="true" outlineLevel="0" collapsed="false">
      <c r="B656" s="14" t="n">
        <v>81</v>
      </c>
      <c r="C656" s="11" t="s">
        <v>92</v>
      </c>
      <c r="D656" s="17" t="n">
        <v>30</v>
      </c>
      <c r="E656" s="11" t="s">
        <v>84</v>
      </c>
      <c r="F656" s="14" t="str">
        <f aca="false">IFERROR(VLOOKUP(C656,Ingredients!$B$6:$I$206,7,FALSE()),"?")</f>
        <v>ml</v>
      </c>
      <c r="G656" s="31" t="n">
        <f aca="false">IFERROR(VLOOKUP(C656,Ingredients!$B$6:$I$206,6,FALSE()),0)</f>
        <v>0.005</v>
      </c>
      <c r="H656" s="32" t="n">
        <f aca="false">IFERROR(D656*G656,0)</f>
        <v>0.15</v>
      </c>
    </row>
    <row r="657" customFormat="false" ht="15" hidden="false" customHeight="true" outlineLevel="0" collapsed="false">
      <c r="B657" s="14" t="n">
        <v>82</v>
      </c>
      <c r="C657" s="11" t="s">
        <v>122</v>
      </c>
      <c r="D657" s="17" t="n">
        <v>0.003</v>
      </c>
      <c r="E657" s="11" t="s">
        <v>79</v>
      </c>
      <c r="F657" s="14" t="str">
        <f aca="false">IFERROR(VLOOKUP(C657,Ingredients!$B$6:$I$206,7,FALSE()),"?")</f>
        <v>kg</v>
      </c>
      <c r="G657" s="31" t="n">
        <f aca="false">IFERROR(VLOOKUP(C657,Ingredients!$B$6:$I$206,6,FALSE()),0)</f>
        <v>181.818181818182</v>
      </c>
      <c r="H657" s="32" t="n">
        <f aca="false">IFERROR(D657*G657,0)</f>
        <v>0.545454545454545</v>
      </c>
    </row>
    <row r="658" customFormat="false" ht="15" hidden="false" customHeight="true" outlineLevel="0" collapsed="false">
      <c r="B658" s="14" t="n">
        <v>82</v>
      </c>
      <c r="C658" s="11" t="s">
        <v>63</v>
      </c>
      <c r="D658" s="17" t="n">
        <v>0.38</v>
      </c>
      <c r="E658" s="11" t="s">
        <v>65</v>
      </c>
      <c r="F658" s="14" t="str">
        <f aca="false">IFERROR(VLOOKUP(C658,Ingredients!$B$6:$I$206,7,FALSE()),"?")</f>
        <v>L</v>
      </c>
      <c r="G658" s="31" t="n">
        <f aca="false">IFERROR(VLOOKUP(C658,Ingredients!$B$6:$I$206,6,FALSE()),0)</f>
        <v>0.732745961820852</v>
      </c>
      <c r="H658" s="32" t="n">
        <f aca="false">IFERROR(D658*G658,0)</f>
        <v>0.278443465491924</v>
      </c>
    </row>
    <row r="659" customFormat="false" ht="15" hidden="false" customHeight="true" outlineLevel="0" collapsed="false">
      <c r="B659" s="14" t="n">
        <v>82</v>
      </c>
      <c r="C659" s="11" t="s">
        <v>142</v>
      </c>
      <c r="D659" s="17" t="n">
        <v>1</v>
      </c>
      <c r="E659" s="11" t="s">
        <v>112</v>
      </c>
      <c r="F659" s="14" t="str">
        <f aca="false">IFERROR(VLOOKUP(C659,Ingredients!$B$6:$I$206,7,FALSE()),"?")</f>
        <v>unit</v>
      </c>
      <c r="G659" s="31" t="n">
        <f aca="false">IFERROR(VLOOKUP(C659,Ingredients!$B$6:$I$206,6,FALSE()),0)</f>
        <v>0.14</v>
      </c>
      <c r="H659" s="32" t="n">
        <f aca="false">IFERROR(D659*G659,0)</f>
        <v>0.14</v>
      </c>
    </row>
    <row r="660" customFormat="false" ht="15" hidden="false" customHeight="true" outlineLevel="0" collapsed="false">
      <c r="B660" s="14" t="n">
        <v>82</v>
      </c>
      <c r="C660" s="11" t="s">
        <v>144</v>
      </c>
      <c r="D660" s="17" t="n">
        <v>1</v>
      </c>
      <c r="E660" s="11" t="s">
        <v>112</v>
      </c>
      <c r="F660" s="14" t="str">
        <f aca="false">IFERROR(VLOOKUP(C660,Ingredients!$B$6:$I$206,7,FALSE()),"?")</f>
        <v>unit</v>
      </c>
      <c r="G660" s="31" t="n">
        <f aca="false">IFERROR(VLOOKUP(C660,Ingredients!$B$6:$I$206,6,FALSE()),0)</f>
        <v>0.03</v>
      </c>
      <c r="H660" s="32" t="n">
        <f aca="false">IFERROR(D660*G660,0)</f>
        <v>0.03</v>
      </c>
    </row>
    <row r="661" customFormat="false" ht="15" hidden="false" customHeight="true" outlineLevel="0" collapsed="false">
      <c r="B661" s="14" t="n">
        <v>82</v>
      </c>
      <c r="C661" s="11" t="s">
        <v>92</v>
      </c>
      <c r="D661" s="17" t="n">
        <v>30</v>
      </c>
      <c r="E661" s="11" t="s">
        <v>84</v>
      </c>
      <c r="F661" s="14" t="str">
        <f aca="false">IFERROR(VLOOKUP(C661,Ingredients!$B$6:$I$206,7,FALSE()),"?")</f>
        <v>ml</v>
      </c>
      <c r="G661" s="31" t="n">
        <f aca="false">IFERROR(VLOOKUP(C661,Ingredients!$B$6:$I$206,6,FALSE()),0)</f>
        <v>0.005</v>
      </c>
      <c r="H661" s="32" t="n">
        <f aca="false">IFERROR(D661*G661,0)</f>
        <v>0.15</v>
      </c>
    </row>
    <row r="662" customFormat="false" ht="15" hidden="false" customHeight="true" outlineLevel="0" collapsed="false">
      <c r="B662" s="14" t="n">
        <v>83</v>
      </c>
      <c r="C662" s="11" t="s">
        <v>122</v>
      </c>
      <c r="D662" s="17" t="n">
        <v>0.003</v>
      </c>
      <c r="E662" s="11" t="s">
        <v>79</v>
      </c>
      <c r="F662" s="14" t="str">
        <f aca="false">IFERROR(VLOOKUP(C662,Ingredients!$B$6:$I$206,7,FALSE()),"?")</f>
        <v>kg</v>
      </c>
      <c r="G662" s="31" t="n">
        <f aca="false">IFERROR(VLOOKUP(C662,Ingredients!$B$6:$I$206,6,FALSE()),0)</f>
        <v>181.818181818182</v>
      </c>
      <c r="H662" s="32" t="n">
        <f aca="false">IFERROR(D662*G662,0)</f>
        <v>0.545454545454545</v>
      </c>
    </row>
    <row r="663" customFormat="false" ht="15" hidden="false" customHeight="true" outlineLevel="0" collapsed="false">
      <c r="B663" s="14" t="n">
        <v>83</v>
      </c>
      <c r="C663" s="11" t="s">
        <v>63</v>
      </c>
      <c r="D663" s="17" t="n">
        <v>0.28</v>
      </c>
      <c r="E663" s="11" t="s">
        <v>65</v>
      </c>
      <c r="F663" s="14" t="str">
        <f aca="false">IFERROR(VLOOKUP(C663,Ingredients!$B$6:$I$206,7,FALSE()),"?")</f>
        <v>L</v>
      </c>
      <c r="G663" s="31" t="n">
        <f aca="false">IFERROR(VLOOKUP(C663,Ingredients!$B$6:$I$206,6,FALSE()),0)</f>
        <v>0.732745961820852</v>
      </c>
      <c r="H663" s="32" t="n">
        <f aca="false">IFERROR(D663*G663,0)</f>
        <v>0.205168869309839</v>
      </c>
    </row>
    <row r="664" customFormat="false" ht="15" hidden="false" customHeight="true" outlineLevel="0" collapsed="false">
      <c r="B664" s="14" t="n">
        <v>83</v>
      </c>
      <c r="C664" s="11" t="s">
        <v>138</v>
      </c>
      <c r="D664" s="17" t="n">
        <v>1</v>
      </c>
      <c r="E664" s="11" t="s">
        <v>112</v>
      </c>
      <c r="F664" s="14" t="str">
        <f aca="false">IFERROR(VLOOKUP(C664,Ingredients!$B$6:$I$206,7,FALSE()),"?")</f>
        <v>unit</v>
      </c>
      <c r="G664" s="31" t="n">
        <f aca="false">IFERROR(VLOOKUP(C664,Ingredients!$B$6:$I$206,6,FALSE()),0)</f>
        <v>0.11</v>
      </c>
      <c r="H664" s="32" t="n">
        <f aca="false">IFERROR(D664*G664,0)</f>
        <v>0.11</v>
      </c>
    </row>
    <row r="665" customFormat="false" ht="15" hidden="false" customHeight="true" outlineLevel="0" collapsed="false">
      <c r="B665" s="14" t="n">
        <v>83</v>
      </c>
      <c r="C665" s="11" t="s">
        <v>140</v>
      </c>
      <c r="D665" s="17" t="n">
        <v>1</v>
      </c>
      <c r="E665" s="11" t="s">
        <v>112</v>
      </c>
      <c r="F665" s="14" t="str">
        <f aca="false">IFERROR(VLOOKUP(C665,Ingredients!$B$6:$I$206,7,FALSE()),"?")</f>
        <v>unit</v>
      </c>
      <c r="G665" s="31" t="n">
        <f aca="false">IFERROR(VLOOKUP(C665,Ingredients!$B$6:$I$206,6,FALSE()),0)</f>
        <v>0.03</v>
      </c>
      <c r="H665" s="32" t="n">
        <f aca="false">IFERROR(D665*G665,0)</f>
        <v>0.03</v>
      </c>
    </row>
    <row r="666" customFormat="false" ht="15" hidden="false" customHeight="true" outlineLevel="0" collapsed="false">
      <c r="B666" s="14" t="n">
        <v>83</v>
      </c>
      <c r="C666" s="11" t="s">
        <v>82</v>
      </c>
      <c r="D666" s="17" t="n">
        <v>30</v>
      </c>
      <c r="E666" s="11" t="s">
        <v>84</v>
      </c>
      <c r="F666" s="14" t="str">
        <f aca="false">IFERROR(VLOOKUP(C666,Ingredients!$B$6:$I$206,7,FALSE()),"?")</f>
        <v>ml</v>
      </c>
      <c r="G666" s="31" t="n">
        <f aca="false">IFERROR(VLOOKUP(C666,Ingredients!$B$6:$I$206,6,FALSE()),0)</f>
        <v>0.005</v>
      </c>
      <c r="H666" s="32" t="n">
        <f aca="false">IFERROR(D666*G666,0)</f>
        <v>0.15</v>
      </c>
    </row>
    <row r="667" customFormat="false" ht="15" hidden="false" customHeight="true" outlineLevel="0" collapsed="false">
      <c r="B667" s="14" t="n">
        <v>84</v>
      </c>
      <c r="C667" s="11" t="s">
        <v>122</v>
      </c>
      <c r="D667" s="17" t="n">
        <v>0.003</v>
      </c>
      <c r="E667" s="11" t="s">
        <v>79</v>
      </c>
      <c r="F667" s="14" t="str">
        <f aca="false">IFERROR(VLOOKUP(C667,Ingredients!$B$6:$I$206,7,FALSE()),"?")</f>
        <v>kg</v>
      </c>
      <c r="G667" s="31" t="n">
        <f aca="false">IFERROR(VLOOKUP(C667,Ingredients!$B$6:$I$206,6,FALSE()),0)</f>
        <v>181.818181818182</v>
      </c>
      <c r="H667" s="32" t="n">
        <f aca="false">IFERROR(D667*G667,0)</f>
        <v>0.545454545454545</v>
      </c>
    </row>
    <row r="668" customFormat="false" ht="15" hidden="false" customHeight="true" outlineLevel="0" collapsed="false">
      <c r="B668" s="14" t="n">
        <v>84</v>
      </c>
      <c r="C668" s="11" t="s">
        <v>63</v>
      </c>
      <c r="D668" s="17" t="n">
        <v>0.18</v>
      </c>
      <c r="E668" s="11" t="s">
        <v>65</v>
      </c>
      <c r="F668" s="14" t="str">
        <f aca="false">IFERROR(VLOOKUP(C668,Ingredients!$B$6:$I$206,7,FALSE()),"?")</f>
        <v>L</v>
      </c>
      <c r="G668" s="31" t="n">
        <f aca="false">IFERROR(VLOOKUP(C668,Ingredients!$B$6:$I$206,6,FALSE()),0)</f>
        <v>0.732745961820852</v>
      </c>
      <c r="H668" s="32" t="n">
        <f aca="false">IFERROR(D668*G668,0)</f>
        <v>0.131894273127753</v>
      </c>
    </row>
    <row r="669" customFormat="false" ht="15" hidden="false" customHeight="true" outlineLevel="0" collapsed="false">
      <c r="B669" s="14" t="n">
        <v>84</v>
      </c>
      <c r="C669" s="11" t="s">
        <v>134</v>
      </c>
      <c r="D669" s="17" t="n">
        <v>1</v>
      </c>
      <c r="E669" s="11" t="s">
        <v>112</v>
      </c>
      <c r="F669" s="14" t="str">
        <f aca="false">IFERROR(VLOOKUP(C669,Ingredients!$B$6:$I$206,7,FALSE()),"?")</f>
        <v>unit</v>
      </c>
      <c r="G669" s="31" t="n">
        <f aca="false">IFERROR(VLOOKUP(C669,Ingredients!$B$6:$I$206,6,FALSE()),0)</f>
        <v>0.09</v>
      </c>
      <c r="H669" s="32" t="n">
        <f aca="false">IFERROR(D669*G669,0)</f>
        <v>0.09</v>
      </c>
    </row>
    <row r="670" customFormat="false" ht="15" hidden="false" customHeight="true" outlineLevel="0" collapsed="false">
      <c r="B670" s="14" t="n">
        <v>84</v>
      </c>
      <c r="C670" s="11" t="s">
        <v>136</v>
      </c>
      <c r="D670" s="17" t="n">
        <v>1</v>
      </c>
      <c r="E670" s="11" t="s">
        <v>112</v>
      </c>
      <c r="F670" s="14" t="str">
        <f aca="false">IFERROR(VLOOKUP(C670,Ingredients!$B$6:$I$206,7,FALSE()),"?")</f>
        <v>unit</v>
      </c>
      <c r="G670" s="31" t="n">
        <f aca="false">IFERROR(VLOOKUP(C670,Ingredients!$B$6:$I$206,6,FALSE()),0)</f>
        <v>0.03</v>
      </c>
      <c r="H670" s="32" t="n">
        <f aca="false">IFERROR(D670*G670,0)</f>
        <v>0.03</v>
      </c>
    </row>
    <row r="671" customFormat="false" ht="15" hidden="false" customHeight="true" outlineLevel="0" collapsed="false">
      <c r="B671" s="14" t="n">
        <v>84</v>
      </c>
      <c r="C671" s="11" t="s">
        <v>82</v>
      </c>
      <c r="D671" s="17" t="n">
        <v>30</v>
      </c>
      <c r="E671" s="11" t="s">
        <v>84</v>
      </c>
      <c r="F671" s="14" t="str">
        <f aca="false">IFERROR(VLOOKUP(C671,Ingredients!$B$6:$I$206,7,FALSE()),"?")</f>
        <v>ml</v>
      </c>
      <c r="G671" s="31" t="n">
        <f aca="false">IFERROR(VLOOKUP(C671,Ingredients!$B$6:$I$206,6,FALSE()),0)</f>
        <v>0.005</v>
      </c>
      <c r="H671" s="32" t="n">
        <f aca="false">IFERROR(D671*G671,0)</f>
        <v>0.15</v>
      </c>
    </row>
    <row r="672" customFormat="false" ht="15" hidden="false" customHeight="true" outlineLevel="0" collapsed="false">
      <c r="B672" s="14" t="n">
        <v>85</v>
      </c>
      <c r="C672" s="11" t="s">
        <v>122</v>
      </c>
      <c r="D672" s="17" t="n">
        <v>0.003</v>
      </c>
      <c r="E672" s="11" t="s">
        <v>79</v>
      </c>
      <c r="F672" s="14" t="str">
        <f aca="false">IFERROR(VLOOKUP(C672,Ingredients!$B$6:$I$206,7,FALSE()),"?")</f>
        <v>kg</v>
      </c>
      <c r="G672" s="31" t="n">
        <f aca="false">IFERROR(VLOOKUP(C672,Ingredients!$B$6:$I$206,6,FALSE()),0)</f>
        <v>181.818181818182</v>
      </c>
      <c r="H672" s="32" t="n">
        <f aca="false">IFERROR(D672*G672,0)</f>
        <v>0.545454545454545</v>
      </c>
    </row>
    <row r="673" customFormat="false" ht="15" hidden="false" customHeight="true" outlineLevel="0" collapsed="false">
      <c r="B673" s="14" t="n">
        <v>85</v>
      </c>
      <c r="C673" s="11" t="s">
        <v>63</v>
      </c>
      <c r="D673" s="17" t="n">
        <v>0.38</v>
      </c>
      <c r="E673" s="11" t="s">
        <v>65</v>
      </c>
      <c r="F673" s="14" t="str">
        <f aca="false">IFERROR(VLOOKUP(C673,Ingredients!$B$6:$I$206,7,FALSE()),"?")</f>
        <v>L</v>
      </c>
      <c r="G673" s="31" t="n">
        <f aca="false">IFERROR(VLOOKUP(C673,Ingredients!$B$6:$I$206,6,FALSE()),0)</f>
        <v>0.732745961820852</v>
      </c>
      <c r="H673" s="32" t="n">
        <f aca="false">IFERROR(D673*G673,0)</f>
        <v>0.278443465491924</v>
      </c>
    </row>
    <row r="674" customFormat="false" ht="15" hidden="false" customHeight="true" outlineLevel="0" collapsed="false">
      <c r="B674" s="14" t="n">
        <v>85</v>
      </c>
      <c r="C674" s="11" t="s">
        <v>142</v>
      </c>
      <c r="D674" s="17" t="n">
        <v>1</v>
      </c>
      <c r="E674" s="11" t="s">
        <v>112</v>
      </c>
      <c r="F674" s="14" t="str">
        <f aca="false">IFERROR(VLOOKUP(C674,Ingredients!$B$6:$I$206,7,FALSE()),"?")</f>
        <v>unit</v>
      </c>
      <c r="G674" s="31" t="n">
        <f aca="false">IFERROR(VLOOKUP(C674,Ingredients!$B$6:$I$206,6,FALSE()),0)</f>
        <v>0.14</v>
      </c>
      <c r="H674" s="32" t="n">
        <f aca="false">IFERROR(D674*G674,0)</f>
        <v>0.14</v>
      </c>
    </row>
    <row r="675" customFormat="false" ht="15" hidden="false" customHeight="true" outlineLevel="0" collapsed="false">
      <c r="B675" s="14" t="n">
        <v>85</v>
      </c>
      <c r="C675" s="11" t="s">
        <v>144</v>
      </c>
      <c r="D675" s="17" t="n">
        <v>1</v>
      </c>
      <c r="E675" s="11" t="s">
        <v>112</v>
      </c>
      <c r="F675" s="14" t="str">
        <f aca="false">IFERROR(VLOOKUP(C675,Ingredients!$B$6:$I$206,7,FALSE()),"?")</f>
        <v>unit</v>
      </c>
      <c r="G675" s="31" t="n">
        <f aca="false">IFERROR(VLOOKUP(C675,Ingredients!$B$6:$I$206,6,FALSE()),0)</f>
        <v>0.03</v>
      </c>
      <c r="H675" s="32" t="n">
        <f aca="false">IFERROR(D675*G675,0)</f>
        <v>0.03</v>
      </c>
    </row>
    <row r="676" customFormat="false" ht="15" hidden="false" customHeight="true" outlineLevel="0" collapsed="false">
      <c r="B676" s="14" t="n">
        <v>85</v>
      </c>
      <c r="C676" s="11" t="s">
        <v>82</v>
      </c>
      <c r="D676" s="17" t="n">
        <v>30</v>
      </c>
      <c r="E676" s="11" t="s">
        <v>84</v>
      </c>
      <c r="F676" s="14" t="str">
        <f aca="false">IFERROR(VLOOKUP(C676,Ingredients!$B$6:$I$206,7,FALSE()),"?")</f>
        <v>ml</v>
      </c>
      <c r="G676" s="31" t="n">
        <f aca="false">IFERROR(VLOOKUP(C676,Ingredients!$B$6:$I$206,6,FALSE()),0)</f>
        <v>0.005</v>
      </c>
      <c r="H676" s="32" t="n">
        <f aca="false">IFERROR(D676*G676,0)</f>
        <v>0.15</v>
      </c>
    </row>
    <row r="677" customFormat="false" ht="15" hidden="false" customHeight="true" outlineLevel="0" collapsed="false">
      <c r="B677" s="14" t="n">
        <v>86</v>
      </c>
      <c r="C677" s="11" t="s">
        <v>122</v>
      </c>
      <c r="D677" s="17" t="n">
        <v>0.003</v>
      </c>
      <c r="E677" s="11" t="s">
        <v>79</v>
      </c>
      <c r="F677" s="14" t="str">
        <f aca="false">IFERROR(VLOOKUP(C677,Ingredients!$B$6:$I$206,7,FALSE()),"?")</f>
        <v>kg</v>
      </c>
      <c r="G677" s="31" t="n">
        <f aca="false">IFERROR(VLOOKUP(C677,Ingredients!$B$6:$I$206,6,FALSE()),0)</f>
        <v>181.818181818182</v>
      </c>
      <c r="H677" s="32" t="n">
        <f aca="false">IFERROR(D677*G677,0)</f>
        <v>0.545454545454545</v>
      </c>
    </row>
    <row r="678" customFormat="false" ht="15" hidden="false" customHeight="true" outlineLevel="0" collapsed="false">
      <c r="B678" s="14" t="n">
        <v>86</v>
      </c>
      <c r="C678" s="11" t="s">
        <v>63</v>
      </c>
      <c r="D678" s="17" t="n">
        <v>0.28</v>
      </c>
      <c r="E678" s="11" t="s">
        <v>65</v>
      </c>
      <c r="F678" s="14" t="str">
        <f aca="false">IFERROR(VLOOKUP(C678,Ingredients!$B$6:$I$206,7,FALSE()),"?")</f>
        <v>L</v>
      </c>
      <c r="G678" s="31" t="n">
        <f aca="false">IFERROR(VLOOKUP(C678,Ingredients!$B$6:$I$206,6,FALSE()),0)</f>
        <v>0.732745961820852</v>
      </c>
      <c r="H678" s="32" t="n">
        <f aca="false">IFERROR(D678*G678,0)</f>
        <v>0.205168869309839</v>
      </c>
    </row>
    <row r="679" customFormat="false" ht="15" hidden="false" customHeight="true" outlineLevel="0" collapsed="false">
      <c r="B679" s="14" t="n">
        <v>86</v>
      </c>
      <c r="C679" s="11" t="s">
        <v>138</v>
      </c>
      <c r="D679" s="17" t="n">
        <v>1</v>
      </c>
      <c r="E679" s="11" t="s">
        <v>112</v>
      </c>
      <c r="F679" s="14" t="str">
        <f aca="false">IFERROR(VLOOKUP(C679,Ingredients!$B$6:$I$206,7,FALSE()),"?")</f>
        <v>unit</v>
      </c>
      <c r="G679" s="31" t="n">
        <f aca="false">IFERROR(VLOOKUP(C679,Ingredients!$B$6:$I$206,6,FALSE()),0)</f>
        <v>0.11</v>
      </c>
      <c r="H679" s="32" t="n">
        <f aca="false">IFERROR(D679*G679,0)</f>
        <v>0.11</v>
      </c>
    </row>
    <row r="680" customFormat="false" ht="15" hidden="false" customHeight="true" outlineLevel="0" collapsed="false">
      <c r="B680" s="14" t="n">
        <v>86</v>
      </c>
      <c r="C680" s="11" t="s">
        <v>140</v>
      </c>
      <c r="D680" s="17" t="n">
        <v>1</v>
      </c>
      <c r="E680" s="11" t="s">
        <v>112</v>
      </c>
      <c r="F680" s="14" t="str">
        <f aca="false">IFERROR(VLOOKUP(C680,Ingredients!$B$6:$I$206,7,FALSE()),"?")</f>
        <v>unit</v>
      </c>
      <c r="G680" s="31" t="n">
        <f aca="false">IFERROR(VLOOKUP(C680,Ingredients!$B$6:$I$206,6,FALSE()),0)</f>
        <v>0.03</v>
      </c>
      <c r="H680" s="32" t="n">
        <f aca="false">IFERROR(D680*G680,0)</f>
        <v>0.03</v>
      </c>
    </row>
    <row r="681" customFormat="false" ht="15" hidden="false" customHeight="true" outlineLevel="0" collapsed="false">
      <c r="B681" s="14" t="n">
        <v>87</v>
      </c>
      <c r="C681" s="11" t="s">
        <v>122</v>
      </c>
      <c r="D681" s="17" t="n">
        <v>0.003</v>
      </c>
      <c r="E681" s="11" t="s">
        <v>79</v>
      </c>
      <c r="F681" s="14" t="str">
        <f aca="false">IFERROR(VLOOKUP(C681,Ingredients!$B$6:$I$206,7,FALSE()),"?")</f>
        <v>kg</v>
      </c>
      <c r="G681" s="31" t="n">
        <f aca="false">IFERROR(VLOOKUP(C681,Ingredients!$B$6:$I$206,6,FALSE()),0)</f>
        <v>181.818181818182</v>
      </c>
      <c r="H681" s="32" t="n">
        <f aca="false">IFERROR(D681*G681,0)</f>
        <v>0.545454545454545</v>
      </c>
    </row>
    <row r="682" customFormat="false" ht="15" hidden="false" customHeight="true" outlineLevel="0" collapsed="false">
      <c r="B682" s="14" t="n">
        <v>87</v>
      </c>
      <c r="C682" s="11" t="s">
        <v>63</v>
      </c>
      <c r="D682" s="17" t="n">
        <v>0.18</v>
      </c>
      <c r="E682" s="11" t="s">
        <v>65</v>
      </c>
      <c r="F682" s="14" t="str">
        <f aca="false">IFERROR(VLOOKUP(C682,Ingredients!$B$6:$I$206,7,FALSE()),"?")</f>
        <v>L</v>
      </c>
      <c r="G682" s="31" t="n">
        <f aca="false">IFERROR(VLOOKUP(C682,Ingredients!$B$6:$I$206,6,FALSE()),0)</f>
        <v>0.732745961820852</v>
      </c>
      <c r="H682" s="32" t="n">
        <f aca="false">IFERROR(D682*G682,0)</f>
        <v>0.131894273127753</v>
      </c>
    </row>
    <row r="683" customFormat="false" ht="15" hidden="false" customHeight="true" outlineLevel="0" collapsed="false">
      <c r="B683" s="14" t="n">
        <v>87</v>
      </c>
      <c r="C683" s="11" t="s">
        <v>134</v>
      </c>
      <c r="D683" s="17" t="n">
        <v>1</v>
      </c>
      <c r="E683" s="11" t="s">
        <v>112</v>
      </c>
      <c r="F683" s="14" t="str">
        <f aca="false">IFERROR(VLOOKUP(C683,Ingredients!$B$6:$I$206,7,FALSE()),"?")</f>
        <v>unit</v>
      </c>
      <c r="G683" s="31" t="n">
        <f aca="false">IFERROR(VLOOKUP(C683,Ingredients!$B$6:$I$206,6,FALSE()),0)</f>
        <v>0.09</v>
      </c>
      <c r="H683" s="32" t="n">
        <f aca="false">IFERROR(D683*G683,0)</f>
        <v>0.09</v>
      </c>
    </row>
    <row r="684" customFormat="false" ht="15" hidden="false" customHeight="true" outlineLevel="0" collapsed="false">
      <c r="B684" s="14" t="n">
        <v>87</v>
      </c>
      <c r="C684" s="11" t="s">
        <v>136</v>
      </c>
      <c r="D684" s="17" t="n">
        <v>1</v>
      </c>
      <c r="E684" s="11" t="s">
        <v>112</v>
      </c>
      <c r="F684" s="14" t="str">
        <f aca="false">IFERROR(VLOOKUP(C684,Ingredients!$B$6:$I$206,7,FALSE()),"?")</f>
        <v>unit</v>
      </c>
      <c r="G684" s="31" t="n">
        <f aca="false">IFERROR(VLOOKUP(C684,Ingredients!$B$6:$I$206,6,FALSE()),0)</f>
        <v>0.03</v>
      </c>
      <c r="H684" s="32" t="n">
        <f aca="false">IFERROR(D684*G684,0)</f>
        <v>0.03</v>
      </c>
    </row>
    <row r="685" customFormat="false" ht="15" hidden="false" customHeight="true" outlineLevel="0" collapsed="false">
      <c r="B685" s="14" t="n">
        <v>88</v>
      </c>
      <c r="C685" s="11" t="s">
        <v>122</v>
      </c>
      <c r="D685" s="17" t="n">
        <v>0.003</v>
      </c>
      <c r="E685" s="11" t="s">
        <v>79</v>
      </c>
      <c r="F685" s="14" t="str">
        <f aca="false">IFERROR(VLOOKUP(C685,Ingredients!$B$6:$I$206,7,FALSE()),"?")</f>
        <v>kg</v>
      </c>
      <c r="G685" s="31" t="n">
        <f aca="false">IFERROR(VLOOKUP(C685,Ingredients!$B$6:$I$206,6,FALSE()),0)</f>
        <v>181.818181818182</v>
      </c>
      <c r="H685" s="32" t="n">
        <f aca="false">IFERROR(D685*G685,0)</f>
        <v>0.545454545454545</v>
      </c>
    </row>
    <row r="686" customFormat="false" ht="15" hidden="false" customHeight="true" outlineLevel="0" collapsed="false">
      <c r="B686" s="14" t="n">
        <v>88</v>
      </c>
      <c r="C686" s="11" t="s">
        <v>63</v>
      </c>
      <c r="D686" s="17" t="n">
        <v>0.38</v>
      </c>
      <c r="E686" s="11" t="s">
        <v>65</v>
      </c>
      <c r="F686" s="14" t="str">
        <f aca="false">IFERROR(VLOOKUP(C686,Ingredients!$B$6:$I$206,7,FALSE()),"?")</f>
        <v>L</v>
      </c>
      <c r="G686" s="31" t="n">
        <f aca="false">IFERROR(VLOOKUP(C686,Ingredients!$B$6:$I$206,6,FALSE()),0)</f>
        <v>0.732745961820852</v>
      </c>
      <c r="H686" s="32" t="n">
        <f aca="false">IFERROR(D686*G686,0)</f>
        <v>0.278443465491924</v>
      </c>
    </row>
    <row r="687" customFormat="false" ht="15" hidden="false" customHeight="true" outlineLevel="0" collapsed="false">
      <c r="B687" s="14" t="n">
        <v>88</v>
      </c>
      <c r="C687" s="11" t="s">
        <v>142</v>
      </c>
      <c r="D687" s="17" t="n">
        <v>1</v>
      </c>
      <c r="E687" s="11" t="s">
        <v>112</v>
      </c>
      <c r="F687" s="14" t="str">
        <f aca="false">IFERROR(VLOOKUP(C687,Ingredients!$B$6:$I$206,7,FALSE()),"?")</f>
        <v>unit</v>
      </c>
      <c r="G687" s="31" t="n">
        <f aca="false">IFERROR(VLOOKUP(C687,Ingredients!$B$6:$I$206,6,FALSE()),0)</f>
        <v>0.14</v>
      </c>
      <c r="H687" s="32" t="n">
        <f aca="false">IFERROR(D687*G687,0)</f>
        <v>0.14</v>
      </c>
    </row>
    <row r="688" customFormat="false" ht="15" hidden="false" customHeight="true" outlineLevel="0" collapsed="false">
      <c r="B688" s="14" t="n">
        <v>88</v>
      </c>
      <c r="C688" s="11" t="s">
        <v>144</v>
      </c>
      <c r="D688" s="17" t="n">
        <v>1</v>
      </c>
      <c r="E688" s="11" t="s">
        <v>112</v>
      </c>
      <c r="F688" s="14" t="str">
        <f aca="false">IFERROR(VLOOKUP(C688,Ingredients!$B$6:$I$206,7,FALSE()),"?")</f>
        <v>unit</v>
      </c>
      <c r="G688" s="31" t="n">
        <f aca="false">IFERROR(VLOOKUP(C688,Ingredients!$B$6:$I$206,6,FALSE()),0)</f>
        <v>0.03</v>
      </c>
      <c r="H688" s="32" t="n">
        <f aca="false">IFERROR(D688*G688,0)</f>
        <v>0.03</v>
      </c>
    </row>
    <row r="689" customFormat="false" ht="15" hidden="false" customHeight="true" outlineLevel="0" collapsed="false">
      <c r="B689" s="14" t="n">
        <v>89</v>
      </c>
      <c r="C689" s="11" t="s">
        <v>77</v>
      </c>
      <c r="D689" s="17" t="n">
        <v>0.036</v>
      </c>
      <c r="E689" s="11" t="s">
        <v>79</v>
      </c>
      <c r="F689" s="14" t="str">
        <f aca="false">IFERROR(VLOOKUP(C689,Ingredients!$B$6:$I$206,7,FALSE()),"?")</f>
        <v>kg</v>
      </c>
      <c r="G689" s="31" t="n">
        <f aca="false">IFERROR(VLOOKUP(C689,Ingredients!$B$6:$I$206,6,FALSE()),0)</f>
        <v>16.25</v>
      </c>
      <c r="H689" s="32" t="n">
        <f aca="false">IFERROR(D689*G689,0)</f>
        <v>0.585</v>
      </c>
    </row>
    <row r="690" customFormat="false" ht="15" hidden="false" customHeight="true" outlineLevel="0" collapsed="false">
      <c r="B690" s="14" t="n">
        <v>89</v>
      </c>
      <c r="C690" s="11" t="s">
        <v>63</v>
      </c>
      <c r="D690" s="17" t="n">
        <v>0.2</v>
      </c>
      <c r="E690" s="11" t="s">
        <v>65</v>
      </c>
      <c r="F690" s="14" t="str">
        <f aca="false">IFERROR(VLOOKUP(C690,Ingredients!$B$6:$I$206,7,FALSE()),"?")</f>
        <v>L</v>
      </c>
      <c r="G690" s="31" t="n">
        <f aca="false">IFERROR(VLOOKUP(C690,Ingredients!$B$6:$I$206,6,FALSE()),0)</f>
        <v>0.732745961820852</v>
      </c>
      <c r="H690" s="32" t="n">
        <f aca="false">IFERROR(D690*G690,0)</f>
        <v>0.14654919236417</v>
      </c>
    </row>
    <row r="691" customFormat="false" ht="15" hidden="false" customHeight="true" outlineLevel="0" collapsed="false">
      <c r="B691" s="14" t="n">
        <v>89</v>
      </c>
      <c r="C691" s="11" t="s">
        <v>142</v>
      </c>
      <c r="D691" s="17" t="n">
        <v>1</v>
      </c>
      <c r="E691" s="11" t="s">
        <v>112</v>
      </c>
      <c r="F691" s="14" t="str">
        <f aca="false">IFERROR(VLOOKUP(C691,Ingredients!$B$6:$I$206,7,FALSE()),"?")</f>
        <v>unit</v>
      </c>
      <c r="G691" s="31" t="n">
        <f aca="false">IFERROR(VLOOKUP(C691,Ingredients!$B$6:$I$206,6,FALSE()),0)</f>
        <v>0.14</v>
      </c>
      <c r="H691" s="32" t="n">
        <f aca="false">IFERROR(D691*G691,0)</f>
        <v>0.14</v>
      </c>
    </row>
    <row r="692" customFormat="false" ht="15" hidden="false" customHeight="true" outlineLevel="0" collapsed="false">
      <c r="B692" s="14" t="n">
        <v>89</v>
      </c>
      <c r="C692" s="11" t="s">
        <v>144</v>
      </c>
      <c r="D692" s="17" t="n">
        <v>1</v>
      </c>
      <c r="E692" s="11" t="s">
        <v>112</v>
      </c>
      <c r="F692" s="14" t="str">
        <f aca="false">IFERROR(VLOOKUP(C692,Ingredients!$B$6:$I$206,7,FALSE()),"?")</f>
        <v>unit</v>
      </c>
      <c r="G692" s="31" t="n">
        <f aca="false">IFERROR(VLOOKUP(C692,Ingredients!$B$6:$I$206,6,FALSE()),0)</f>
        <v>0.03</v>
      </c>
      <c r="H692" s="32" t="n">
        <f aca="false">IFERROR(D692*G692,0)</f>
        <v>0.03</v>
      </c>
    </row>
    <row r="693" customFormat="false" ht="15" hidden="false" customHeight="true" outlineLevel="0" collapsed="false">
      <c r="B693" s="14" t="n">
        <v>90</v>
      </c>
      <c r="C693" s="11" t="s">
        <v>77</v>
      </c>
      <c r="D693" s="17" t="n">
        <v>0.036</v>
      </c>
      <c r="E693" s="11" t="s">
        <v>79</v>
      </c>
      <c r="F693" s="14" t="str">
        <f aca="false">IFERROR(VLOOKUP(C693,Ingredients!$B$6:$I$206,7,FALSE()),"?")</f>
        <v>kg</v>
      </c>
      <c r="G693" s="31" t="n">
        <f aca="false">IFERROR(VLOOKUP(C693,Ingredients!$B$6:$I$206,6,FALSE()),0)</f>
        <v>16.25</v>
      </c>
      <c r="H693" s="32" t="n">
        <f aca="false">IFERROR(D693*G693,0)</f>
        <v>0.585</v>
      </c>
    </row>
    <row r="694" customFormat="false" ht="15" hidden="false" customHeight="true" outlineLevel="0" collapsed="false">
      <c r="B694" s="14" t="n">
        <v>90</v>
      </c>
      <c r="C694" s="11" t="s">
        <v>63</v>
      </c>
      <c r="D694" s="17" t="n">
        <v>0.15</v>
      </c>
      <c r="E694" s="11" t="s">
        <v>65</v>
      </c>
      <c r="F694" s="14" t="str">
        <f aca="false">IFERROR(VLOOKUP(C694,Ingredients!$B$6:$I$206,7,FALSE()),"?")</f>
        <v>L</v>
      </c>
      <c r="G694" s="31" t="n">
        <f aca="false">IFERROR(VLOOKUP(C694,Ingredients!$B$6:$I$206,6,FALSE()),0)</f>
        <v>0.732745961820852</v>
      </c>
      <c r="H694" s="32" t="n">
        <f aca="false">IFERROR(D694*G694,0)</f>
        <v>0.109911894273128</v>
      </c>
    </row>
    <row r="695" customFormat="false" ht="15" hidden="false" customHeight="true" outlineLevel="0" collapsed="false">
      <c r="B695" s="14" t="n">
        <v>90</v>
      </c>
      <c r="C695" s="11" t="s">
        <v>138</v>
      </c>
      <c r="D695" s="17" t="n">
        <v>1</v>
      </c>
      <c r="E695" s="11" t="s">
        <v>112</v>
      </c>
      <c r="F695" s="14" t="str">
        <f aca="false">IFERROR(VLOOKUP(C695,Ingredients!$B$6:$I$206,7,FALSE()),"?")</f>
        <v>unit</v>
      </c>
      <c r="G695" s="31" t="n">
        <f aca="false">IFERROR(VLOOKUP(C695,Ingredients!$B$6:$I$206,6,FALSE()),0)</f>
        <v>0.11</v>
      </c>
      <c r="H695" s="32" t="n">
        <f aca="false">IFERROR(D695*G695,0)</f>
        <v>0.11</v>
      </c>
    </row>
    <row r="696" customFormat="false" ht="15" hidden="false" customHeight="true" outlineLevel="0" collapsed="false">
      <c r="B696" s="14" t="n">
        <v>90</v>
      </c>
      <c r="C696" s="11" t="s">
        <v>140</v>
      </c>
      <c r="D696" s="17" t="n">
        <v>1</v>
      </c>
      <c r="E696" s="11" t="s">
        <v>112</v>
      </c>
      <c r="F696" s="14" t="str">
        <f aca="false">IFERROR(VLOOKUP(C696,Ingredients!$B$6:$I$206,7,FALSE()),"?")</f>
        <v>unit</v>
      </c>
      <c r="G696" s="31" t="n">
        <f aca="false">IFERROR(VLOOKUP(C696,Ingredients!$B$6:$I$206,6,FALSE()),0)</f>
        <v>0.03</v>
      </c>
      <c r="H696" s="32" t="n">
        <f aca="false">IFERROR(D696*G696,0)</f>
        <v>0.03</v>
      </c>
    </row>
    <row r="697" customFormat="false" ht="15" hidden="false" customHeight="true" outlineLevel="0" collapsed="false">
      <c r="B697" s="14" t="n">
        <v>91</v>
      </c>
      <c r="C697" s="11" t="s">
        <v>77</v>
      </c>
      <c r="D697" s="17" t="n">
        <v>0.036</v>
      </c>
      <c r="E697" s="11" t="s">
        <v>79</v>
      </c>
      <c r="F697" s="14" t="str">
        <f aca="false">IFERROR(VLOOKUP(C697,Ingredients!$B$6:$I$206,7,FALSE()),"?")</f>
        <v>kg</v>
      </c>
      <c r="G697" s="31" t="n">
        <f aca="false">IFERROR(VLOOKUP(C697,Ingredients!$B$6:$I$206,6,FALSE()),0)</f>
        <v>16.25</v>
      </c>
      <c r="H697" s="32" t="n">
        <f aca="false">IFERROR(D697*G697,0)</f>
        <v>0.585</v>
      </c>
    </row>
    <row r="698" customFormat="false" ht="15" hidden="false" customHeight="true" outlineLevel="0" collapsed="false">
      <c r="B698" s="14" t="n">
        <v>91</v>
      </c>
      <c r="C698" s="11" t="s">
        <v>63</v>
      </c>
      <c r="D698" s="17" t="n">
        <v>0.2</v>
      </c>
      <c r="E698" s="11" t="s">
        <v>65</v>
      </c>
      <c r="F698" s="14" t="str">
        <f aca="false">IFERROR(VLOOKUP(C698,Ingredients!$B$6:$I$206,7,FALSE()),"?")</f>
        <v>L</v>
      </c>
      <c r="G698" s="31" t="n">
        <f aca="false">IFERROR(VLOOKUP(C698,Ingredients!$B$6:$I$206,6,FALSE()),0)</f>
        <v>0.732745961820852</v>
      </c>
      <c r="H698" s="32" t="n">
        <f aca="false">IFERROR(D698*G698,0)</f>
        <v>0.14654919236417</v>
      </c>
    </row>
    <row r="699" customFormat="false" ht="15" hidden="false" customHeight="true" outlineLevel="0" collapsed="false">
      <c r="B699" s="14" t="n">
        <v>91</v>
      </c>
      <c r="C699" s="11" t="s">
        <v>142</v>
      </c>
      <c r="D699" s="17" t="n">
        <v>1</v>
      </c>
      <c r="E699" s="11" t="s">
        <v>112</v>
      </c>
      <c r="F699" s="14" t="str">
        <f aca="false">IFERROR(VLOOKUP(C699,Ingredients!$B$6:$I$206,7,FALSE()),"?")</f>
        <v>unit</v>
      </c>
      <c r="G699" s="31" t="n">
        <f aca="false">IFERROR(VLOOKUP(C699,Ingredients!$B$6:$I$206,6,FALSE()),0)</f>
        <v>0.14</v>
      </c>
      <c r="H699" s="32" t="n">
        <f aca="false">IFERROR(D699*G699,0)</f>
        <v>0.14</v>
      </c>
    </row>
    <row r="700" customFormat="false" ht="15" hidden="false" customHeight="true" outlineLevel="0" collapsed="false">
      <c r="B700" s="14" t="n">
        <v>91</v>
      </c>
      <c r="C700" s="11" t="s">
        <v>144</v>
      </c>
      <c r="D700" s="17" t="n">
        <v>1</v>
      </c>
      <c r="E700" s="11" t="s">
        <v>112</v>
      </c>
      <c r="F700" s="14" t="str">
        <f aca="false">IFERROR(VLOOKUP(C700,Ingredients!$B$6:$I$206,7,FALSE()),"?")</f>
        <v>unit</v>
      </c>
      <c r="G700" s="31" t="n">
        <f aca="false">IFERROR(VLOOKUP(C700,Ingredients!$B$6:$I$206,6,FALSE()),0)</f>
        <v>0.03</v>
      </c>
      <c r="H700" s="32" t="n">
        <f aca="false">IFERROR(D700*G700,0)</f>
        <v>0.03</v>
      </c>
    </row>
    <row r="701" customFormat="false" ht="15" hidden="false" customHeight="true" outlineLevel="0" collapsed="false">
      <c r="B701" s="14" t="n">
        <v>92</v>
      </c>
      <c r="C701" s="11" t="s">
        <v>77</v>
      </c>
      <c r="D701" s="17" t="n">
        <v>0.036</v>
      </c>
      <c r="E701" s="11" t="s">
        <v>79</v>
      </c>
      <c r="F701" s="14" t="str">
        <f aca="false">IFERROR(VLOOKUP(C701,Ingredients!$B$6:$I$206,7,FALSE()),"?")</f>
        <v>kg</v>
      </c>
      <c r="G701" s="31" t="n">
        <f aca="false">IFERROR(VLOOKUP(C701,Ingredients!$B$6:$I$206,6,FALSE()),0)</f>
        <v>16.25</v>
      </c>
      <c r="H701" s="32" t="n">
        <f aca="false">IFERROR(D701*G701,0)</f>
        <v>0.585</v>
      </c>
    </row>
    <row r="702" customFormat="false" ht="15" hidden="false" customHeight="true" outlineLevel="0" collapsed="false">
      <c r="B702" s="14" t="n">
        <v>92</v>
      </c>
      <c r="C702" s="11" t="s">
        <v>63</v>
      </c>
      <c r="D702" s="17" t="n">
        <v>0.15</v>
      </c>
      <c r="E702" s="11" t="s">
        <v>65</v>
      </c>
      <c r="F702" s="14" t="str">
        <f aca="false">IFERROR(VLOOKUP(C702,Ingredients!$B$6:$I$206,7,FALSE()),"?")</f>
        <v>L</v>
      </c>
      <c r="G702" s="31" t="n">
        <f aca="false">IFERROR(VLOOKUP(C702,Ingredients!$B$6:$I$206,6,FALSE()),0)</f>
        <v>0.732745961820852</v>
      </c>
      <c r="H702" s="32" t="n">
        <f aca="false">IFERROR(D702*G702,0)</f>
        <v>0.109911894273128</v>
      </c>
    </row>
    <row r="703" customFormat="false" ht="15" hidden="false" customHeight="true" outlineLevel="0" collapsed="false">
      <c r="B703" s="14" t="n">
        <v>92</v>
      </c>
      <c r="C703" s="11" t="s">
        <v>138</v>
      </c>
      <c r="D703" s="17" t="n">
        <v>1</v>
      </c>
      <c r="E703" s="11" t="s">
        <v>112</v>
      </c>
      <c r="F703" s="14" t="str">
        <f aca="false">IFERROR(VLOOKUP(C703,Ingredients!$B$6:$I$206,7,FALSE()),"?")</f>
        <v>unit</v>
      </c>
      <c r="G703" s="31" t="n">
        <f aca="false">IFERROR(VLOOKUP(C703,Ingredients!$B$6:$I$206,6,FALSE()),0)</f>
        <v>0.11</v>
      </c>
      <c r="H703" s="32" t="n">
        <f aca="false">IFERROR(D703*G703,0)</f>
        <v>0.11</v>
      </c>
    </row>
    <row r="704" customFormat="false" ht="15" hidden="false" customHeight="true" outlineLevel="0" collapsed="false">
      <c r="B704" s="14" t="n">
        <v>92</v>
      </c>
      <c r="C704" s="11" t="s">
        <v>140</v>
      </c>
      <c r="D704" s="17" t="n">
        <v>1</v>
      </c>
      <c r="E704" s="11" t="s">
        <v>112</v>
      </c>
      <c r="F704" s="14" t="str">
        <f aca="false">IFERROR(VLOOKUP(C704,Ingredients!$B$6:$I$206,7,FALSE()),"?")</f>
        <v>unit</v>
      </c>
      <c r="G704" s="31" t="n">
        <f aca="false">IFERROR(VLOOKUP(C704,Ingredients!$B$6:$I$206,6,FALSE()),0)</f>
        <v>0.03</v>
      </c>
      <c r="H704" s="32" t="n">
        <f aca="false">IFERROR(D704*G704,0)</f>
        <v>0.03</v>
      </c>
    </row>
    <row r="705" customFormat="false" ht="15" hidden="false" customHeight="true" outlineLevel="0" collapsed="false">
      <c r="B705" s="14" t="n">
        <v>93</v>
      </c>
      <c r="C705" s="11" t="s">
        <v>115</v>
      </c>
      <c r="D705" s="17" t="n">
        <v>0.00125</v>
      </c>
      <c r="E705" s="11" t="s">
        <v>79</v>
      </c>
      <c r="F705" s="14" t="str">
        <f aca="false">IFERROR(VLOOKUP(C705,Ingredients!$B$6:$I$206,7,FALSE()),"?")</f>
        <v>kg</v>
      </c>
      <c r="G705" s="31" t="n">
        <f aca="false">IFERROR(VLOOKUP(C705,Ingredients!$B$6:$I$206,6,FALSE()),0)</f>
        <v>180</v>
      </c>
      <c r="H705" s="32" t="n">
        <f aca="false">IFERROR(D705*G705,0)</f>
        <v>0.225</v>
      </c>
    </row>
    <row r="706" customFormat="false" ht="15" hidden="false" customHeight="true" outlineLevel="0" collapsed="false">
      <c r="B706" s="14" t="n">
        <v>93</v>
      </c>
      <c r="C706" s="11" t="s">
        <v>63</v>
      </c>
      <c r="D706" s="17" t="n">
        <v>0.24</v>
      </c>
      <c r="E706" s="11" t="s">
        <v>65</v>
      </c>
      <c r="F706" s="14" t="str">
        <f aca="false">IFERROR(VLOOKUP(C706,Ingredients!$B$6:$I$206,7,FALSE()),"?")</f>
        <v>L</v>
      </c>
      <c r="G706" s="31" t="n">
        <f aca="false">IFERROR(VLOOKUP(C706,Ingredients!$B$6:$I$206,6,FALSE()),0)</f>
        <v>0.732745961820852</v>
      </c>
      <c r="H706" s="32" t="n">
        <f aca="false">IFERROR(D706*G706,0)</f>
        <v>0.175859030837004</v>
      </c>
    </row>
    <row r="707" customFormat="false" ht="15" hidden="false" customHeight="true" outlineLevel="0" collapsed="false">
      <c r="B707" s="14" t="n">
        <v>93</v>
      </c>
      <c r="C707" s="11" t="s">
        <v>142</v>
      </c>
      <c r="D707" s="17" t="n">
        <v>1</v>
      </c>
      <c r="E707" s="11" t="s">
        <v>112</v>
      </c>
      <c r="F707" s="14" t="str">
        <f aca="false">IFERROR(VLOOKUP(C707,Ingredients!$B$6:$I$206,7,FALSE()),"?")</f>
        <v>unit</v>
      </c>
      <c r="G707" s="31" t="n">
        <f aca="false">IFERROR(VLOOKUP(C707,Ingredients!$B$6:$I$206,6,FALSE()),0)</f>
        <v>0.14</v>
      </c>
      <c r="H707" s="32" t="n">
        <f aca="false">IFERROR(D707*G707,0)</f>
        <v>0.14</v>
      </c>
    </row>
    <row r="708" customFormat="false" ht="15" hidden="false" customHeight="true" outlineLevel="0" collapsed="false">
      <c r="B708" s="14" t="n">
        <v>93</v>
      </c>
      <c r="C708" s="11" t="s">
        <v>144</v>
      </c>
      <c r="D708" s="17" t="n">
        <v>1</v>
      </c>
      <c r="E708" s="11" t="s">
        <v>112</v>
      </c>
      <c r="F708" s="14" t="str">
        <f aca="false">IFERROR(VLOOKUP(C708,Ingredients!$B$6:$I$206,7,FALSE()),"?")</f>
        <v>unit</v>
      </c>
      <c r="G708" s="31" t="n">
        <f aca="false">IFERROR(VLOOKUP(C708,Ingredients!$B$6:$I$206,6,FALSE()),0)</f>
        <v>0.03</v>
      </c>
      <c r="H708" s="32" t="n">
        <f aca="false">IFERROR(D708*G708,0)</f>
        <v>0.03</v>
      </c>
    </row>
    <row r="709" customFormat="false" ht="15" hidden="false" customHeight="true" outlineLevel="0" collapsed="false">
      <c r="B709" s="14" t="n">
        <v>93</v>
      </c>
      <c r="C709" s="11" t="s">
        <v>104</v>
      </c>
      <c r="D709" s="17" t="n">
        <v>30</v>
      </c>
      <c r="E709" s="11" t="s">
        <v>84</v>
      </c>
      <c r="F709" s="14" t="str">
        <f aca="false">IFERROR(VLOOKUP(C709,Ingredients!$B$6:$I$206,7,FALSE()),"?")</f>
        <v>ml</v>
      </c>
      <c r="G709" s="31" t="n">
        <f aca="false">IFERROR(VLOOKUP(C709,Ingredients!$B$6:$I$206,6,FALSE()),0)</f>
        <v>0.005</v>
      </c>
      <c r="H709" s="32" t="n">
        <f aca="false">IFERROR(D709*G709,0)</f>
        <v>0.15</v>
      </c>
    </row>
    <row r="710" customFormat="false" ht="15" hidden="false" customHeight="true" outlineLevel="0" collapsed="false">
      <c r="B710" s="14" t="n">
        <v>94</v>
      </c>
      <c r="C710" s="11" t="s">
        <v>115</v>
      </c>
      <c r="D710" s="17" t="n">
        <v>0.00125</v>
      </c>
      <c r="E710" s="11" t="s">
        <v>79</v>
      </c>
      <c r="F710" s="14" t="str">
        <f aca="false">IFERROR(VLOOKUP(C710,Ingredients!$B$6:$I$206,7,FALSE()),"?")</f>
        <v>kg</v>
      </c>
      <c r="G710" s="31" t="n">
        <f aca="false">IFERROR(VLOOKUP(C710,Ingredients!$B$6:$I$206,6,FALSE()),0)</f>
        <v>180</v>
      </c>
      <c r="H710" s="32" t="n">
        <f aca="false">IFERROR(D710*G710,0)</f>
        <v>0.225</v>
      </c>
    </row>
    <row r="711" customFormat="false" ht="15" hidden="false" customHeight="true" outlineLevel="0" collapsed="false">
      <c r="B711" s="14" t="n">
        <v>94</v>
      </c>
      <c r="C711" s="11" t="s">
        <v>63</v>
      </c>
      <c r="D711" s="17" t="n">
        <v>0.18</v>
      </c>
      <c r="E711" s="11" t="s">
        <v>65</v>
      </c>
      <c r="F711" s="14" t="str">
        <f aca="false">IFERROR(VLOOKUP(C711,Ingredients!$B$6:$I$206,7,FALSE()),"?")</f>
        <v>L</v>
      </c>
      <c r="G711" s="31" t="n">
        <f aca="false">IFERROR(VLOOKUP(C711,Ingredients!$B$6:$I$206,6,FALSE()),0)</f>
        <v>0.732745961820852</v>
      </c>
      <c r="H711" s="32" t="n">
        <f aca="false">IFERROR(D711*G711,0)</f>
        <v>0.131894273127753</v>
      </c>
    </row>
    <row r="712" customFormat="false" ht="15" hidden="false" customHeight="true" outlineLevel="0" collapsed="false">
      <c r="B712" s="14" t="n">
        <v>94</v>
      </c>
      <c r="C712" s="11" t="s">
        <v>138</v>
      </c>
      <c r="D712" s="17" t="n">
        <v>1</v>
      </c>
      <c r="E712" s="11" t="s">
        <v>112</v>
      </c>
      <c r="F712" s="14" t="str">
        <f aca="false">IFERROR(VLOOKUP(C712,Ingredients!$B$6:$I$206,7,FALSE()),"?")</f>
        <v>unit</v>
      </c>
      <c r="G712" s="31" t="n">
        <f aca="false">IFERROR(VLOOKUP(C712,Ingredients!$B$6:$I$206,6,FALSE()),0)</f>
        <v>0.11</v>
      </c>
      <c r="H712" s="32" t="n">
        <f aca="false">IFERROR(D712*G712,0)</f>
        <v>0.11</v>
      </c>
    </row>
    <row r="713" customFormat="false" ht="15" hidden="false" customHeight="true" outlineLevel="0" collapsed="false">
      <c r="B713" s="14" t="n">
        <v>94</v>
      </c>
      <c r="C713" s="11" t="s">
        <v>140</v>
      </c>
      <c r="D713" s="17" t="n">
        <v>1</v>
      </c>
      <c r="E713" s="11" t="s">
        <v>112</v>
      </c>
      <c r="F713" s="14" t="str">
        <f aca="false">IFERROR(VLOOKUP(C713,Ingredients!$B$6:$I$206,7,FALSE()),"?")</f>
        <v>unit</v>
      </c>
      <c r="G713" s="31" t="n">
        <f aca="false">IFERROR(VLOOKUP(C713,Ingredients!$B$6:$I$206,6,FALSE()),0)</f>
        <v>0.03</v>
      </c>
      <c r="H713" s="32" t="n">
        <f aca="false">IFERROR(D713*G713,0)</f>
        <v>0.03</v>
      </c>
    </row>
    <row r="714" customFormat="false" ht="15" hidden="false" customHeight="true" outlineLevel="0" collapsed="false">
      <c r="B714" s="14" t="n">
        <v>94</v>
      </c>
      <c r="C714" s="11" t="s">
        <v>104</v>
      </c>
      <c r="D714" s="17" t="n">
        <v>30</v>
      </c>
      <c r="E714" s="11" t="s">
        <v>84</v>
      </c>
      <c r="F714" s="14" t="str">
        <f aca="false">IFERROR(VLOOKUP(C714,Ingredients!$B$6:$I$206,7,FALSE()),"?")</f>
        <v>ml</v>
      </c>
      <c r="G714" s="31" t="n">
        <f aca="false">IFERROR(VLOOKUP(C714,Ingredients!$B$6:$I$206,6,FALSE()),0)</f>
        <v>0.005</v>
      </c>
      <c r="H714" s="32" t="n">
        <f aca="false">IFERROR(D714*G714,0)</f>
        <v>0.15</v>
      </c>
    </row>
    <row r="715" customFormat="false" ht="15" hidden="false" customHeight="true" outlineLevel="0" collapsed="false">
      <c r="B715" s="14" t="n">
        <v>95</v>
      </c>
      <c r="C715" s="11" t="s">
        <v>115</v>
      </c>
      <c r="D715" s="17" t="n">
        <v>0.00125</v>
      </c>
      <c r="E715" s="11" t="s">
        <v>79</v>
      </c>
      <c r="F715" s="14" t="str">
        <f aca="false">IFERROR(VLOOKUP(C715,Ingredients!$B$6:$I$206,7,FALSE()),"?")</f>
        <v>kg</v>
      </c>
      <c r="G715" s="31" t="n">
        <f aca="false">IFERROR(VLOOKUP(C715,Ingredients!$B$6:$I$206,6,FALSE()),0)</f>
        <v>180</v>
      </c>
      <c r="H715" s="32" t="n">
        <f aca="false">IFERROR(D715*G715,0)</f>
        <v>0.225</v>
      </c>
    </row>
    <row r="716" customFormat="false" ht="15" hidden="false" customHeight="true" outlineLevel="0" collapsed="false">
      <c r="B716" s="14" t="n">
        <v>95</v>
      </c>
      <c r="C716" s="11" t="s">
        <v>63</v>
      </c>
      <c r="D716" s="17" t="n">
        <v>0.24</v>
      </c>
      <c r="E716" s="11" t="s">
        <v>65</v>
      </c>
      <c r="F716" s="14" t="str">
        <f aca="false">IFERROR(VLOOKUP(C716,Ingredients!$B$6:$I$206,7,FALSE()),"?")</f>
        <v>L</v>
      </c>
      <c r="G716" s="31" t="n">
        <f aca="false">IFERROR(VLOOKUP(C716,Ingredients!$B$6:$I$206,6,FALSE()),0)</f>
        <v>0.732745961820852</v>
      </c>
      <c r="H716" s="32" t="n">
        <f aca="false">IFERROR(D716*G716,0)</f>
        <v>0.175859030837004</v>
      </c>
    </row>
    <row r="717" customFormat="false" ht="15" hidden="false" customHeight="true" outlineLevel="0" collapsed="false">
      <c r="B717" s="14" t="n">
        <v>95</v>
      </c>
      <c r="C717" s="11" t="s">
        <v>142</v>
      </c>
      <c r="D717" s="17" t="n">
        <v>1</v>
      </c>
      <c r="E717" s="11" t="s">
        <v>112</v>
      </c>
      <c r="F717" s="14" t="str">
        <f aca="false">IFERROR(VLOOKUP(C717,Ingredients!$B$6:$I$206,7,FALSE()),"?")</f>
        <v>unit</v>
      </c>
      <c r="G717" s="31" t="n">
        <f aca="false">IFERROR(VLOOKUP(C717,Ingredients!$B$6:$I$206,6,FALSE()),0)</f>
        <v>0.14</v>
      </c>
      <c r="H717" s="32" t="n">
        <f aca="false">IFERROR(D717*G717,0)</f>
        <v>0.14</v>
      </c>
    </row>
    <row r="718" customFormat="false" ht="15" hidden="false" customHeight="true" outlineLevel="0" collapsed="false">
      <c r="B718" s="14" t="n">
        <v>95</v>
      </c>
      <c r="C718" s="11" t="s">
        <v>144</v>
      </c>
      <c r="D718" s="17" t="n">
        <v>1</v>
      </c>
      <c r="E718" s="11" t="s">
        <v>112</v>
      </c>
      <c r="F718" s="14" t="str">
        <f aca="false">IFERROR(VLOOKUP(C718,Ingredients!$B$6:$I$206,7,FALSE()),"?")</f>
        <v>unit</v>
      </c>
      <c r="G718" s="31" t="n">
        <f aca="false">IFERROR(VLOOKUP(C718,Ingredients!$B$6:$I$206,6,FALSE()),0)</f>
        <v>0.03</v>
      </c>
      <c r="H718" s="32" t="n">
        <f aca="false">IFERROR(D718*G718,0)</f>
        <v>0.03</v>
      </c>
    </row>
    <row r="719" customFormat="false" ht="15" hidden="false" customHeight="true" outlineLevel="0" collapsed="false">
      <c r="B719" s="14" t="n">
        <v>95</v>
      </c>
      <c r="C719" s="11" t="s">
        <v>103</v>
      </c>
      <c r="D719" s="17" t="n">
        <v>30</v>
      </c>
      <c r="E719" s="11" t="s">
        <v>84</v>
      </c>
      <c r="F719" s="14" t="str">
        <f aca="false">IFERROR(VLOOKUP(C719,Ingredients!$B$6:$I$206,7,FALSE()),"?")</f>
        <v>ml</v>
      </c>
      <c r="G719" s="31" t="n">
        <f aca="false">IFERROR(VLOOKUP(C719,Ingredients!$B$6:$I$206,6,FALSE()),0)</f>
        <v>0.005</v>
      </c>
      <c r="H719" s="32" t="n">
        <f aca="false">IFERROR(D719*G719,0)</f>
        <v>0.15</v>
      </c>
    </row>
    <row r="720" customFormat="false" ht="15" hidden="false" customHeight="true" outlineLevel="0" collapsed="false">
      <c r="B720" s="14" t="n">
        <v>96</v>
      </c>
      <c r="C720" s="11" t="s">
        <v>115</v>
      </c>
      <c r="D720" s="17" t="n">
        <v>0.00125</v>
      </c>
      <c r="E720" s="11" t="s">
        <v>79</v>
      </c>
      <c r="F720" s="14" t="str">
        <f aca="false">IFERROR(VLOOKUP(C720,Ingredients!$B$6:$I$206,7,FALSE()),"?")</f>
        <v>kg</v>
      </c>
      <c r="G720" s="31" t="n">
        <f aca="false">IFERROR(VLOOKUP(C720,Ingredients!$B$6:$I$206,6,FALSE()),0)</f>
        <v>180</v>
      </c>
      <c r="H720" s="32" t="n">
        <f aca="false">IFERROR(D720*G720,0)</f>
        <v>0.225</v>
      </c>
    </row>
    <row r="721" customFormat="false" ht="15" hidden="false" customHeight="true" outlineLevel="0" collapsed="false">
      <c r="B721" s="14" t="n">
        <v>96</v>
      </c>
      <c r="C721" s="11" t="s">
        <v>63</v>
      </c>
      <c r="D721" s="17" t="n">
        <v>0.18</v>
      </c>
      <c r="E721" s="11" t="s">
        <v>65</v>
      </c>
      <c r="F721" s="14" t="str">
        <f aca="false">IFERROR(VLOOKUP(C721,Ingredients!$B$6:$I$206,7,FALSE()),"?")</f>
        <v>L</v>
      </c>
      <c r="G721" s="31" t="n">
        <f aca="false">IFERROR(VLOOKUP(C721,Ingredients!$B$6:$I$206,6,FALSE()),0)</f>
        <v>0.732745961820852</v>
      </c>
      <c r="H721" s="32" t="n">
        <f aca="false">IFERROR(D721*G721,0)</f>
        <v>0.131894273127753</v>
      </c>
    </row>
    <row r="722" customFormat="false" ht="15" hidden="false" customHeight="true" outlineLevel="0" collapsed="false">
      <c r="B722" s="14" t="n">
        <v>96</v>
      </c>
      <c r="C722" s="11" t="s">
        <v>138</v>
      </c>
      <c r="D722" s="17" t="n">
        <v>1</v>
      </c>
      <c r="E722" s="11" t="s">
        <v>112</v>
      </c>
      <c r="F722" s="14" t="str">
        <f aca="false">IFERROR(VLOOKUP(C722,Ingredients!$B$6:$I$206,7,FALSE()),"?")</f>
        <v>unit</v>
      </c>
      <c r="G722" s="31" t="n">
        <f aca="false">IFERROR(VLOOKUP(C722,Ingredients!$B$6:$I$206,6,FALSE()),0)</f>
        <v>0.11</v>
      </c>
      <c r="H722" s="32" t="n">
        <f aca="false">IFERROR(D722*G722,0)</f>
        <v>0.11</v>
      </c>
    </row>
    <row r="723" customFormat="false" ht="15" hidden="false" customHeight="true" outlineLevel="0" collapsed="false">
      <c r="B723" s="14" t="n">
        <v>96</v>
      </c>
      <c r="C723" s="11" t="s">
        <v>140</v>
      </c>
      <c r="D723" s="17" t="n">
        <v>1</v>
      </c>
      <c r="E723" s="11" t="s">
        <v>112</v>
      </c>
      <c r="F723" s="14" t="str">
        <f aca="false">IFERROR(VLOOKUP(C723,Ingredients!$B$6:$I$206,7,FALSE()),"?")</f>
        <v>unit</v>
      </c>
      <c r="G723" s="31" t="n">
        <f aca="false">IFERROR(VLOOKUP(C723,Ingredients!$B$6:$I$206,6,FALSE()),0)</f>
        <v>0.03</v>
      </c>
      <c r="H723" s="32" t="n">
        <f aca="false">IFERROR(D723*G723,0)</f>
        <v>0.03</v>
      </c>
    </row>
    <row r="724" customFormat="false" ht="15" hidden="false" customHeight="true" outlineLevel="0" collapsed="false">
      <c r="B724" s="14" t="n">
        <v>96</v>
      </c>
      <c r="C724" s="11" t="s">
        <v>103</v>
      </c>
      <c r="D724" s="17" t="n">
        <v>30</v>
      </c>
      <c r="E724" s="11" t="s">
        <v>84</v>
      </c>
      <c r="F724" s="14" t="str">
        <f aca="false">IFERROR(VLOOKUP(C724,Ingredients!$B$6:$I$206,7,FALSE()),"?")</f>
        <v>ml</v>
      </c>
      <c r="G724" s="31" t="n">
        <f aca="false">IFERROR(VLOOKUP(C724,Ingredients!$B$6:$I$206,6,FALSE()),0)</f>
        <v>0.005</v>
      </c>
      <c r="H724" s="32" t="n">
        <f aca="false">IFERROR(D724*G724,0)</f>
        <v>0.15</v>
      </c>
    </row>
    <row r="725" customFormat="false" ht="15" hidden="false" customHeight="true" outlineLevel="0" collapsed="false">
      <c r="B725" s="14" t="n">
        <v>97</v>
      </c>
      <c r="C725" s="11" t="s">
        <v>77</v>
      </c>
      <c r="D725" s="17" t="n">
        <v>0.036</v>
      </c>
      <c r="E725" s="11" t="s">
        <v>79</v>
      </c>
      <c r="F725" s="14" t="str">
        <f aca="false">IFERROR(VLOOKUP(C725,Ingredients!$B$6:$I$206,7,FALSE()),"?")</f>
        <v>kg</v>
      </c>
      <c r="G725" s="31" t="n">
        <f aca="false">IFERROR(VLOOKUP(C725,Ingredients!$B$6:$I$206,6,FALSE()),0)</f>
        <v>16.25</v>
      </c>
      <c r="H725" s="32" t="n">
        <f aca="false">IFERROR(D725*G725,0)</f>
        <v>0.585</v>
      </c>
    </row>
    <row r="726" customFormat="false" ht="15" hidden="false" customHeight="true" outlineLevel="0" collapsed="false">
      <c r="B726" s="14" t="n">
        <v>97</v>
      </c>
      <c r="C726" s="11" t="s">
        <v>63</v>
      </c>
      <c r="D726" s="17" t="n">
        <v>0.2</v>
      </c>
      <c r="E726" s="11" t="s">
        <v>65</v>
      </c>
      <c r="F726" s="14" t="str">
        <f aca="false">IFERROR(VLOOKUP(C726,Ingredients!$B$6:$I$206,7,FALSE()),"?")</f>
        <v>L</v>
      </c>
      <c r="G726" s="31" t="n">
        <f aca="false">IFERROR(VLOOKUP(C726,Ingredients!$B$6:$I$206,6,FALSE()),0)</f>
        <v>0.732745961820852</v>
      </c>
      <c r="H726" s="32" t="n">
        <f aca="false">IFERROR(D726*G726,0)</f>
        <v>0.14654919236417</v>
      </c>
    </row>
    <row r="727" customFormat="false" ht="15" hidden="false" customHeight="true" outlineLevel="0" collapsed="false">
      <c r="B727" s="14" t="n">
        <v>97</v>
      </c>
      <c r="C727" s="11" t="s">
        <v>142</v>
      </c>
      <c r="D727" s="17" t="n">
        <v>1</v>
      </c>
      <c r="E727" s="11" t="s">
        <v>112</v>
      </c>
      <c r="F727" s="14" t="str">
        <f aca="false">IFERROR(VLOOKUP(C727,Ingredients!$B$6:$I$206,7,FALSE()),"?")</f>
        <v>unit</v>
      </c>
      <c r="G727" s="31" t="n">
        <f aca="false">IFERROR(VLOOKUP(C727,Ingredients!$B$6:$I$206,6,FALSE()),0)</f>
        <v>0.14</v>
      </c>
      <c r="H727" s="32" t="n">
        <f aca="false">IFERROR(D727*G727,0)</f>
        <v>0.14</v>
      </c>
    </row>
    <row r="728" customFormat="false" ht="15" hidden="false" customHeight="true" outlineLevel="0" collapsed="false">
      <c r="B728" s="14" t="n">
        <v>97</v>
      </c>
      <c r="C728" s="11" t="s">
        <v>144</v>
      </c>
      <c r="D728" s="17" t="n">
        <v>1</v>
      </c>
      <c r="E728" s="11" t="s">
        <v>112</v>
      </c>
      <c r="F728" s="14" t="str">
        <f aca="false">IFERROR(VLOOKUP(C728,Ingredients!$B$6:$I$206,7,FALSE()),"?")</f>
        <v>unit</v>
      </c>
      <c r="G728" s="31" t="n">
        <f aca="false">IFERROR(VLOOKUP(C728,Ingredients!$B$6:$I$206,6,FALSE()),0)</f>
        <v>0.03</v>
      </c>
      <c r="H728" s="32" t="n">
        <f aca="false">IFERROR(D728*G728,0)</f>
        <v>0.03</v>
      </c>
    </row>
    <row r="729" customFormat="false" ht="15" hidden="false" customHeight="true" outlineLevel="0" collapsed="false">
      <c r="B729" s="14" t="n">
        <v>97</v>
      </c>
      <c r="C729" s="11" t="s">
        <v>103</v>
      </c>
      <c r="D729" s="17" t="n">
        <v>30</v>
      </c>
      <c r="E729" s="11" t="s">
        <v>84</v>
      </c>
      <c r="F729" s="14" t="str">
        <f aca="false">IFERROR(VLOOKUP(C729,Ingredients!$B$6:$I$206,7,FALSE()),"?")</f>
        <v>ml</v>
      </c>
      <c r="G729" s="31" t="n">
        <f aca="false">IFERROR(VLOOKUP(C729,Ingredients!$B$6:$I$206,6,FALSE()),0)</f>
        <v>0.005</v>
      </c>
      <c r="H729" s="32" t="n">
        <f aca="false">IFERROR(D729*G729,0)</f>
        <v>0.15</v>
      </c>
    </row>
    <row r="730" customFormat="false" ht="15" hidden="false" customHeight="true" outlineLevel="0" collapsed="false">
      <c r="B730" s="14" t="n">
        <v>98</v>
      </c>
      <c r="C730" s="11" t="s">
        <v>77</v>
      </c>
      <c r="D730" s="17" t="n">
        <v>0.036</v>
      </c>
      <c r="E730" s="11" t="s">
        <v>79</v>
      </c>
      <c r="F730" s="14" t="str">
        <f aca="false">IFERROR(VLOOKUP(C730,Ingredients!$B$6:$I$206,7,FALSE()),"?")</f>
        <v>kg</v>
      </c>
      <c r="G730" s="31" t="n">
        <f aca="false">IFERROR(VLOOKUP(C730,Ingredients!$B$6:$I$206,6,FALSE()),0)</f>
        <v>16.25</v>
      </c>
      <c r="H730" s="32" t="n">
        <f aca="false">IFERROR(D730*G730,0)</f>
        <v>0.585</v>
      </c>
    </row>
    <row r="731" customFormat="false" ht="15" hidden="false" customHeight="true" outlineLevel="0" collapsed="false">
      <c r="B731" s="14" t="n">
        <v>98</v>
      </c>
      <c r="C731" s="11" t="s">
        <v>63</v>
      </c>
      <c r="D731" s="17" t="n">
        <v>0.15</v>
      </c>
      <c r="E731" s="11" t="s">
        <v>65</v>
      </c>
      <c r="F731" s="14" t="str">
        <f aca="false">IFERROR(VLOOKUP(C731,Ingredients!$B$6:$I$206,7,FALSE()),"?")</f>
        <v>L</v>
      </c>
      <c r="G731" s="31" t="n">
        <f aca="false">IFERROR(VLOOKUP(C731,Ingredients!$B$6:$I$206,6,FALSE()),0)</f>
        <v>0.732745961820852</v>
      </c>
      <c r="H731" s="32" t="n">
        <f aca="false">IFERROR(D731*G731,0)</f>
        <v>0.109911894273128</v>
      </c>
    </row>
    <row r="732" customFormat="false" ht="15" hidden="false" customHeight="true" outlineLevel="0" collapsed="false">
      <c r="B732" s="14" t="n">
        <v>98</v>
      </c>
      <c r="C732" s="11" t="s">
        <v>138</v>
      </c>
      <c r="D732" s="17" t="n">
        <v>1</v>
      </c>
      <c r="E732" s="11" t="s">
        <v>112</v>
      </c>
      <c r="F732" s="14" t="str">
        <f aca="false">IFERROR(VLOOKUP(C732,Ingredients!$B$6:$I$206,7,FALSE()),"?")</f>
        <v>unit</v>
      </c>
      <c r="G732" s="31" t="n">
        <f aca="false">IFERROR(VLOOKUP(C732,Ingredients!$B$6:$I$206,6,FALSE()),0)</f>
        <v>0.11</v>
      </c>
      <c r="H732" s="32" t="n">
        <f aca="false">IFERROR(D732*G732,0)</f>
        <v>0.11</v>
      </c>
    </row>
    <row r="733" customFormat="false" ht="15" hidden="false" customHeight="true" outlineLevel="0" collapsed="false">
      <c r="B733" s="14" t="n">
        <v>98</v>
      </c>
      <c r="C733" s="11" t="s">
        <v>140</v>
      </c>
      <c r="D733" s="17" t="n">
        <v>1</v>
      </c>
      <c r="E733" s="11" t="s">
        <v>112</v>
      </c>
      <c r="F733" s="14" t="str">
        <f aca="false">IFERROR(VLOOKUP(C733,Ingredients!$B$6:$I$206,7,FALSE()),"?")</f>
        <v>unit</v>
      </c>
      <c r="G733" s="31" t="n">
        <f aca="false">IFERROR(VLOOKUP(C733,Ingredients!$B$6:$I$206,6,FALSE()),0)</f>
        <v>0.03</v>
      </c>
      <c r="H733" s="32" t="n">
        <f aca="false">IFERROR(D733*G733,0)</f>
        <v>0.03</v>
      </c>
    </row>
    <row r="734" customFormat="false" ht="15" hidden="false" customHeight="true" outlineLevel="0" collapsed="false">
      <c r="B734" s="14" t="n">
        <v>98</v>
      </c>
      <c r="C734" s="11" t="s">
        <v>103</v>
      </c>
      <c r="D734" s="17" t="n">
        <v>30</v>
      </c>
      <c r="E734" s="11" t="s">
        <v>84</v>
      </c>
      <c r="F734" s="14" t="str">
        <f aca="false">IFERROR(VLOOKUP(C734,Ingredients!$B$6:$I$206,7,FALSE()),"?")</f>
        <v>ml</v>
      </c>
      <c r="G734" s="31" t="n">
        <f aca="false">IFERROR(VLOOKUP(C734,Ingredients!$B$6:$I$206,6,FALSE()),0)</f>
        <v>0.005</v>
      </c>
      <c r="H734" s="32" t="n">
        <f aca="false">IFERROR(D734*G734,0)</f>
        <v>0.15</v>
      </c>
    </row>
    <row r="735" customFormat="false" ht="15" hidden="false" customHeight="true" outlineLevel="0" collapsed="false">
      <c r="B735" s="14" t="n">
        <v>99</v>
      </c>
      <c r="C735" s="11" t="s">
        <v>115</v>
      </c>
      <c r="D735" s="17" t="n">
        <v>0.00125</v>
      </c>
      <c r="E735" s="11" t="s">
        <v>79</v>
      </c>
      <c r="F735" s="14" t="str">
        <f aca="false">IFERROR(VLOOKUP(C735,Ingredients!$B$6:$I$206,7,FALSE()),"?")</f>
        <v>kg</v>
      </c>
      <c r="G735" s="31" t="n">
        <f aca="false">IFERROR(VLOOKUP(C735,Ingredients!$B$6:$I$206,6,FALSE()),0)</f>
        <v>180</v>
      </c>
      <c r="H735" s="32" t="n">
        <f aca="false">IFERROR(D735*G735,0)</f>
        <v>0.225</v>
      </c>
    </row>
    <row r="736" customFormat="false" ht="15" hidden="false" customHeight="true" outlineLevel="0" collapsed="false">
      <c r="B736" s="14" t="n">
        <v>99</v>
      </c>
      <c r="C736" s="11" t="s">
        <v>63</v>
      </c>
      <c r="D736" s="17" t="n">
        <v>0.24</v>
      </c>
      <c r="E736" s="11" t="s">
        <v>65</v>
      </c>
      <c r="F736" s="14" t="str">
        <f aca="false">IFERROR(VLOOKUP(C736,Ingredients!$B$6:$I$206,7,FALSE()),"?")</f>
        <v>L</v>
      </c>
      <c r="G736" s="31" t="n">
        <f aca="false">IFERROR(VLOOKUP(C736,Ingredients!$B$6:$I$206,6,FALSE()),0)</f>
        <v>0.732745961820852</v>
      </c>
      <c r="H736" s="32" t="n">
        <f aca="false">IFERROR(D736*G736,0)</f>
        <v>0.175859030837004</v>
      </c>
    </row>
    <row r="737" customFormat="false" ht="15" hidden="false" customHeight="true" outlineLevel="0" collapsed="false">
      <c r="B737" s="14" t="n">
        <v>99</v>
      </c>
      <c r="C737" s="11" t="s">
        <v>107</v>
      </c>
      <c r="D737" s="17" t="n">
        <v>15</v>
      </c>
      <c r="E737" s="11" t="s">
        <v>84</v>
      </c>
      <c r="F737" s="14" t="str">
        <f aca="false">IFERROR(VLOOKUP(C737,Ingredients!$B$6:$I$206,7,FALSE()),"?")</f>
        <v>ml</v>
      </c>
      <c r="G737" s="31" t="n">
        <f aca="false">IFERROR(VLOOKUP(C737,Ingredients!$B$6:$I$206,6,FALSE()),0)</f>
        <v>0.0112</v>
      </c>
      <c r="H737" s="32" t="n">
        <f aca="false">IFERROR(D737*G737,0)</f>
        <v>0.168</v>
      </c>
    </row>
    <row r="738" customFormat="false" ht="15" hidden="false" customHeight="true" outlineLevel="0" collapsed="false">
      <c r="B738" s="14" t="n">
        <v>99</v>
      </c>
      <c r="C738" s="11" t="s">
        <v>142</v>
      </c>
      <c r="D738" s="17" t="n">
        <v>1</v>
      </c>
      <c r="E738" s="11" t="s">
        <v>112</v>
      </c>
      <c r="F738" s="14" t="str">
        <f aca="false">IFERROR(VLOOKUP(C738,Ingredients!$B$6:$I$206,7,FALSE()),"?")</f>
        <v>unit</v>
      </c>
      <c r="G738" s="31" t="n">
        <f aca="false">IFERROR(VLOOKUP(C738,Ingredients!$B$6:$I$206,6,FALSE()),0)</f>
        <v>0.14</v>
      </c>
      <c r="H738" s="32" t="n">
        <f aca="false">IFERROR(D738*G738,0)</f>
        <v>0.14</v>
      </c>
    </row>
    <row r="739" customFormat="false" ht="15" hidden="false" customHeight="true" outlineLevel="0" collapsed="false">
      <c r="B739" s="14" t="n">
        <v>99</v>
      </c>
      <c r="C739" s="11" t="s">
        <v>144</v>
      </c>
      <c r="D739" s="17" t="n">
        <v>1</v>
      </c>
      <c r="E739" s="11" t="s">
        <v>112</v>
      </c>
      <c r="F739" s="14" t="str">
        <f aca="false">IFERROR(VLOOKUP(C739,Ingredients!$B$6:$I$206,7,FALSE()),"?")</f>
        <v>unit</v>
      </c>
      <c r="G739" s="31" t="n">
        <f aca="false">IFERROR(VLOOKUP(C739,Ingredients!$B$6:$I$206,6,FALSE()),0)</f>
        <v>0.03</v>
      </c>
      <c r="H739" s="32" t="n">
        <f aca="false">IFERROR(D739*G739,0)</f>
        <v>0.03</v>
      </c>
    </row>
    <row r="740" customFormat="false" ht="15" hidden="false" customHeight="true" outlineLevel="0" collapsed="false">
      <c r="B740" s="14" t="n">
        <v>100</v>
      </c>
      <c r="C740" s="11" t="s">
        <v>115</v>
      </c>
      <c r="D740" s="17" t="n">
        <v>0.00125</v>
      </c>
      <c r="E740" s="11" t="s">
        <v>79</v>
      </c>
      <c r="F740" s="14" t="str">
        <f aca="false">IFERROR(VLOOKUP(C740,Ingredients!$B$6:$I$206,7,FALSE()),"?")</f>
        <v>kg</v>
      </c>
      <c r="G740" s="31" t="n">
        <f aca="false">IFERROR(VLOOKUP(C740,Ingredients!$B$6:$I$206,6,FALSE()),0)</f>
        <v>180</v>
      </c>
      <c r="H740" s="32" t="n">
        <f aca="false">IFERROR(D740*G740,0)</f>
        <v>0.225</v>
      </c>
    </row>
    <row r="741" customFormat="false" ht="15" hidden="false" customHeight="true" outlineLevel="0" collapsed="false">
      <c r="B741" s="14" t="n">
        <v>100</v>
      </c>
      <c r="C741" s="11" t="s">
        <v>63</v>
      </c>
      <c r="D741" s="17" t="n">
        <v>0.18</v>
      </c>
      <c r="E741" s="11" t="s">
        <v>65</v>
      </c>
      <c r="F741" s="14" t="str">
        <f aca="false">IFERROR(VLOOKUP(C741,Ingredients!$B$6:$I$206,7,FALSE()),"?")</f>
        <v>L</v>
      </c>
      <c r="G741" s="31" t="n">
        <f aca="false">IFERROR(VLOOKUP(C741,Ingredients!$B$6:$I$206,6,FALSE()),0)</f>
        <v>0.732745961820852</v>
      </c>
      <c r="H741" s="32" t="n">
        <f aca="false">IFERROR(D741*G741,0)</f>
        <v>0.131894273127753</v>
      </c>
    </row>
    <row r="742" customFormat="false" ht="15" hidden="false" customHeight="true" outlineLevel="0" collapsed="false">
      <c r="B742" s="14" t="n">
        <v>100</v>
      </c>
      <c r="C742" s="11" t="s">
        <v>107</v>
      </c>
      <c r="D742" s="17" t="n">
        <v>15</v>
      </c>
      <c r="E742" s="11" t="s">
        <v>84</v>
      </c>
      <c r="F742" s="14" t="str">
        <f aca="false">IFERROR(VLOOKUP(C742,Ingredients!$B$6:$I$206,7,FALSE()),"?")</f>
        <v>ml</v>
      </c>
      <c r="G742" s="31" t="n">
        <f aca="false">IFERROR(VLOOKUP(C742,Ingredients!$B$6:$I$206,6,FALSE()),0)</f>
        <v>0.0112</v>
      </c>
      <c r="H742" s="32" t="n">
        <f aca="false">IFERROR(D742*G742,0)</f>
        <v>0.168</v>
      </c>
    </row>
    <row r="743" customFormat="false" ht="15" hidden="false" customHeight="true" outlineLevel="0" collapsed="false">
      <c r="B743" s="14" t="n">
        <v>100</v>
      </c>
      <c r="C743" s="11" t="s">
        <v>138</v>
      </c>
      <c r="D743" s="17" t="n">
        <v>1</v>
      </c>
      <c r="E743" s="11" t="s">
        <v>112</v>
      </c>
      <c r="F743" s="14" t="str">
        <f aca="false">IFERROR(VLOOKUP(C743,Ingredients!$B$6:$I$206,7,FALSE()),"?")</f>
        <v>unit</v>
      </c>
      <c r="G743" s="31" t="n">
        <f aca="false">IFERROR(VLOOKUP(C743,Ingredients!$B$6:$I$206,6,FALSE()),0)</f>
        <v>0.11</v>
      </c>
      <c r="H743" s="32" t="n">
        <f aca="false">IFERROR(D743*G743,0)</f>
        <v>0.11</v>
      </c>
    </row>
    <row r="744" customFormat="false" ht="15" hidden="false" customHeight="true" outlineLevel="0" collapsed="false">
      <c r="B744" s="14" t="n">
        <v>100</v>
      </c>
      <c r="C744" s="11" t="s">
        <v>140</v>
      </c>
      <c r="D744" s="17" t="n">
        <v>1</v>
      </c>
      <c r="E744" s="11" t="s">
        <v>112</v>
      </c>
      <c r="F744" s="14" t="str">
        <f aca="false">IFERROR(VLOOKUP(C744,Ingredients!$B$6:$I$206,7,FALSE()),"?")</f>
        <v>unit</v>
      </c>
      <c r="G744" s="31" t="n">
        <f aca="false">IFERROR(VLOOKUP(C744,Ingredients!$B$6:$I$206,6,FALSE()),0)</f>
        <v>0.03</v>
      </c>
      <c r="H744" s="32" t="n">
        <f aca="false">IFERROR(D744*G744,0)</f>
        <v>0.03</v>
      </c>
    </row>
    <row r="745" customFormat="false" ht="15" hidden="false" customHeight="true" outlineLevel="0" collapsed="false">
      <c r="B745" s="14" t="n">
        <v>101</v>
      </c>
      <c r="C745" s="11" t="s">
        <v>77</v>
      </c>
      <c r="D745" s="17" t="n">
        <v>0.036</v>
      </c>
      <c r="E745" s="11" t="s">
        <v>79</v>
      </c>
      <c r="F745" s="14" t="str">
        <f aca="false">IFERROR(VLOOKUP(C745,Ingredients!$B$6:$I$206,7,FALSE()),"?")</f>
        <v>kg</v>
      </c>
      <c r="G745" s="31" t="n">
        <f aca="false">IFERROR(VLOOKUP(C745,Ingredients!$B$6:$I$206,6,FALSE()),0)</f>
        <v>16.25</v>
      </c>
      <c r="H745" s="32" t="n">
        <f aca="false">IFERROR(D745*G745,0)</f>
        <v>0.585</v>
      </c>
    </row>
    <row r="746" customFormat="false" ht="15" hidden="false" customHeight="true" outlineLevel="0" collapsed="false">
      <c r="B746" s="14" t="n">
        <v>101</v>
      </c>
      <c r="C746" s="11" t="s">
        <v>63</v>
      </c>
      <c r="D746" s="17" t="n">
        <v>0.2</v>
      </c>
      <c r="E746" s="11" t="s">
        <v>65</v>
      </c>
      <c r="F746" s="14" t="str">
        <f aca="false">IFERROR(VLOOKUP(C746,Ingredients!$B$6:$I$206,7,FALSE()),"?")</f>
        <v>L</v>
      </c>
      <c r="G746" s="31" t="n">
        <f aca="false">IFERROR(VLOOKUP(C746,Ingredients!$B$6:$I$206,6,FALSE()),0)</f>
        <v>0.732745961820852</v>
      </c>
      <c r="H746" s="32" t="n">
        <f aca="false">IFERROR(D746*G746,0)</f>
        <v>0.14654919236417</v>
      </c>
    </row>
    <row r="747" customFormat="false" ht="15" hidden="false" customHeight="true" outlineLevel="0" collapsed="false">
      <c r="B747" s="14" t="n">
        <v>101</v>
      </c>
      <c r="C747" s="11" t="s">
        <v>107</v>
      </c>
      <c r="D747" s="17" t="n">
        <v>15</v>
      </c>
      <c r="E747" s="11" t="s">
        <v>84</v>
      </c>
      <c r="F747" s="14" t="str">
        <f aca="false">IFERROR(VLOOKUP(C747,Ingredients!$B$6:$I$206,7,FALSE()),"?")</f>
        <v>ml</v>
      </c>
      <c r="G747" s="31" t="n">
        <f aca="false">IFERROR(VLOOKUP(C747,Ingredients!$B$6:$I$206,6,FALSE()),0)</f>
        <v>0.0112</v>
      </c>
      <c r="H747" s="32" t="n">
        <f aca="false">IFERROR(D747*G747,0)</f>
        <v>0.168</v>
      </c>
    </row>
    <row r="748" customFormat="false" ht="15" hidden="false" customHeight="true" outlineLevel="0" collapsed="false">
      <c r="B748" s="14" t="n">
        <v>101</v>
      </c>
      <c r="C748" s="11" t="s">
        <v>82</v>
      </c>
      <c r="D748" s="17" t="n">
        <v>15</v>
      </c>
      <c r="E748" s="11" t="s">
        <v>84</v>
      </c>
      <c r="F748" s="14" t="str">
        <f aca="false">IFERROR(VLOOKUP(C748,Ingredients!$B$6:$I$206,7,FALSE()),"?")</f>
        <v>ml</v>
      </c>
      <c r="G748" s="31" t="n">
        <f aca="false">IFERROR(VLOOKUP(C748,Ingredients!$B$6:$I$206,6,FALSE()),0)</f>
        <v>0.005</v>
      </c>
      <c r="H748" s="32" t="n">
        <f aca="false">IFERROR(D748*G748,0)</f>
        <v>0.075</v>
      </c>
    </row>
    <row r="749" customFormat="false" ht="15" hidden="false" customHeight="true" outlineLevel="0" collapsed="false">
      <c r="B749" s="14" t="n">
        <v>101</v>
      </c>
      <c r="C749" s="11" t="s">
        <v>142</v>
      </c>
      <c r="D749" s="17" t="n">
        <v>1</v>
      </c>
      <c r="E749" s="11" t="s">
        <v>112</v>
      </c>
      <c r="F749" s="14" t="str">
        <f aca="false">IFERROR(VLOOKUP(C749,Ingredients!$B$6:$I$206,7,FALSE()),"?")</f>
        <v>unit</v>
      </c>
      <c r="G749" s="31" t="n">
        <f aca="false">IFERROR(VLOOKUP(C749,Ingredients!$B$6:$I$206,6,FALSE()),0)</f>
        <v>0.14</v>
      </c>
      <c r="H749" s="32" t="n">
        <f aca="false">IFERROR(D749*G749,0)</f>
        <v>0.14</v>
      </c>
    </row>
    <row r="750" customFormat="false" ht="15" hidden="false" customHeight="true" outlineLevel="0" collapsed="false">
      <c r="B750" s="14" t="n">
        <v>101</v>
      </c>
      <c r="C750" s="11" t="s">
        <v>144</v>
      </c>
      <c r="D750" s="17" t="n">
        <v>1</v>
      </c>
      <c r="E750" s="11" t="s">
        <v>112</v>
      </c>
      <c r="F750" s="14" t="str">
        <f aca="false">IFERROR(VLOOKUP(C750,Ingredients!$B$6:$I$206,7,FALSE()),"?")</f>
        <v>unit</v>
      </c>
      <c r="G750" s="31" t="n">
        <f aca="false">IFERROR(VLOOKUP(C750,Ingredients!$B$6:$I$206,6,FALSE()),0)</f>
        <v>0.03</v>
      </c>
      <c r="H750" s="32" t="n">
        <f aca="false">IFERROR(D750*G750,0)</f>
        <v>0.03</v>
      </c>
    </row>
    <row r="751" customFormat="false" ht="15" hidden="false" customHeight="true" outlineLevel="0" collapsed="false">
      <c r="B751" s="14" t="n">
        <v>102</v>
      </c>
      <c r="C751" s="11" t="s">
        <v>77</v>
      </c>
      <c r="D751" s="17" t="n">
        <v>0.036</v>
      </c>
      <c r="E751" s="11" t="s">
        <v>79</v>
      </c>
      <c r="F751" s="14" t="str">
        <f aca="false">IFERROR(VLOOKUP(C751,Ingredients!$B$6:$I$206,7,FALSE()),"?")</f>
        <v>kg</v>
      </c>
      <c r="G751" s="31" t="n">
        <f aca="false">IFERROR(VLOOKUP(C751,Ingredients!$B$6:$I$206,6,FALSE()),0)</f>
        <v>16.25</v>
      </c>
      <c r="H751" s="32" t="n">
        <f aca="false">IFERROR(D751*G751,0)</f>
        <v>0.585</v>
      </c>
    </row>
    <row r="752" customFormat="false" ht="15" hidden="false" customHeight="true" outlineLevel="0" collapsed="false">
      <c r="B752" s="14" t="n">
        <v>102</v>
      </c>
      <c r="C752" s="11" t="s">
        <v>63</v>
      </c>
      <c r="D752" s="17" t="n">
        <v>0.15</v>
      </c>
      <c r="E752" s="11" t="s">
        <v>65</v>
      </c>
      <c r="F752" s="14" t="str">
        <f aca="false">IFERROR(VLOOKUP(C752,Ingredients!$B$6:$I$206,7,FALSE()),"?")</f>
        <v>L</v>
      </c>
      <c r="G752" s="31" t="n">
        <f aca="false">IFERROR(VLOOKUP(C752,Ingredients!$B$6:$I$206,6,FALSE()),0)</f>
        <v>0.732745961820852</v>
      </c>
      <c r="H752" s="32" t="n">
        <f aca="false">IFERROR(D752*G752,0)</f>
        <v>0.109911894273128</v>
      </c>
    </row>
    <row r="753" customFormat="false" ht="15" hidden="false" customHeight="true" outlineLevel="0" collapsed="false">
      <c r="B753" s="14" t="n">
        <v>102</v>
      </c>
      <c r="C753" s="11" t="s">
        <v>107</v>
      </c>
      <c r="D753" s="17" t="n">
        <v>15</v>
      </c>
      <c r="E753" s="11" t="s">
        <v>84</v>
      </c>
      <c r="F753" s="14" t="str">
        <f aca="false">IFERROR(VLOOKUP(C753,Ingredients!$B$6:$I$206,7,FALSE()),"?")</f>
        <v>ml</v>
      </c>
      <c r="G753" s="31" t="n">
        <f aca="false">IFERROR(VLOOKUP(C753,Ingredients!$B$6:$I$206,6,FALSE()),0)</f>
        <v>0.0112</v>
      </c>
      <c r="H753" s="32" t="n">
        <f aca="false">IFERROR(D753*G753,0)</f>
        <v>0.168</v>
      </c>
    </row>
    <row r="754" customFormat="false" ht="15" hidden="false" customHeight="true" outlineLevel="0" collapsed="false">
      <c r="B754" s="14" t="n">
        <v>102</v>
      </c>
      <c r="C754" s="11" t="s">
        <v>82</v>
      </c>
      <c r="D754" s="17" t="n">
        <v>15</v>
      </c>
      <c r="E754" s="11" t="s">
        <v>84</v>
      </c>
      <c r="F754" s="14" t="str">
        <f aca="false">IFERROR(VLOOKUP(C754,Ingredients!$B$6:$I$206,7,FALSE()),"?")</f>
        <v>ml</v>
      </c>
      <c r="G754" s="31" t="n">
        <f aca="false">IFERROR(VLOOKUP(C754,Ingredients!$B$6:$I$206,6,FALSE()),0)</f>
        <v>0.005</v>
      </c>
      <c r="H754" s="32" t="n">
        <f aca="false">IFERROR(D754*G754,0)</f>
        <v>0.075</v>
      </c>
    </row>
    <row r="755" customFormat="false" ht="15" hidden="false" customHeight="true" outlineLevel="0" collapsed="false">
      <c r="B755" s="14" t="n">
        <v>102</v>
      </c>
      <c r="C755" s="11" t="s">
        <v>138</v>
      </c>
      <c r="D755" s="17" t="n">
        <v>1</v>
      </c>
      <c r="E755" s="11" t="s">
        <v>112</v>
      </c>
      <c r="F755" s="14" t="str">
        <f aca="false">IFERROR(VLOOKUP(C755,Ingredients!$B$6:$I$206,7,FALSE()),"?")</f>
        <v>unit</v>
      </c>
      <c r="G755" s="31" t="n">
        <f aca="false">IFERROR(VLOOKUP(C755,Ingredients!$B$6:$I$206,6,FALSE()),0)</f>
        <v>0.11</v>
      </c>
      <c r="H755" s="32" t="n">
        <f aca="false">IFERROR(D755*G755,0)</f>
        <v>0.11</v>
      </c>
    </row>
    <row r="756" customFormat="false" ht="15" hidden="false" customHeight="true" outlineLevel="0" collapsed="false">
      <c r="B756" s="14" t="n">
        <v>102</v>
      </c>
      <c r="C756" s="11" t="s">
        <v>140</v>
      </c>
      <c r="D756" s="17" t="n">
        <v>1</v>
      </c>
      <c r="E756" s="11" t="s">
        <v>112</v>
      </c>
      <c r="F756" s="14" t="str">
        <f aca="false">IFERROR(VLOOKUP(C756,Ingredients!$B$6:$I$206,7,FALSE()),"?")</f>
        <v>unit</v>
      </c>
      <c r="G756" s="31" t="n">
        <f aca="false">IFERROR(VLOOKUP(C756,Ingredients!$B$6:$I$206,6,FALSE()),0)</f>
        <v>0.03</v>
      </c>
      <c r="H756" s="32" t="n">
        <f aca="false">IFERROR(D756*G756,0)</f>
        <v>0.03</v>
      </c>
    </row>
    <row r="757" customFormat="false" ht="15" hidden="false" customHeight="true" outlineLevel="0" collapsed="false">
      <c r="B757" s="14" t="n">
        <v>103</v>
      </c>
      <c r="C757" s="11" t="s">
        <v>115</v>
      </c>
      <c r="D757" s="17" t="n">
        <v>0.00125</v>
      </c>
      <c r="E757" s="11" t="s">
        <v>79</v>
      </c>
      <c r="F757" s="14" t="str">
        <f aca="false">IFERROR(VLOOKUP(C757,Ingredients!$B$6:$I$206,7,FALSE()),"?")</f>
        <v>kg</v>
      </c>
      <c r="G757" s="31" t="n">
        <f aca="false">IFERROR(VLOOKUP(C757,Ingredients!$B$6:$I$206,6,FALSE()),0)</f>
        <v>180</v>
      </c>
      <c r="H757" s="32" t="n">
        <f aca="false">IFERROR(D757*G757,0)</f>
        <v>0.225</v>
      </c>
    </row>
    <row r="758" customFormat="false" ht="15" hidden="false" customHeight="true" outlineLevel="0" collapsed="false">
      <c r="B758" s="14" t="n">
        <v>103</v>
      </c>
      <c r="C758" s="11" t="s">
        <v>63</v>
      </c>
      <c r="D758" s="17" t="n">
        <v>0.24</v>
      </c>
      <c r="E758" s="11" t="s">
        <v>65</v>
      </c>
      <c r="F758" s="14" t="str">
        <f aca="false">IFERROR(VLOOKUP(C758,Ingredients!$B$6:$I$206,7,FALSE()),"?")</f>
        <v>L</v>
      </c>
      <c r="G758" s="31" t="n">
        <f aca="false">IFERROR(VLOOKUP(C758,Ingredients!$B$6:$I$206,6,FALSE()),0)</f>
        <v>0.732745961820852</v>
      </c>
      <c r="H758" s="32" t="n">
        <f aca="false">IFERROR(D758*G758,0)</f>
        <v>0.175859030837004</v>
      </c>
    </row>
    <row r="759" customFormat="false" ht="15" hidden="false" customHeight="true" outlineLevel="0" collapsed="false">
      <c r="B759" s="14" t="n">
        <v>103</v>
      </c>
      <c r="C759" s="11" t="s">
        <v>142</v>
      </c>
      <c r="D759" s="17" t="n">
        <v>1</v>
      </c>
      <c r="E759" s="11" t="s">
        <v>112</v>
      </c>
      <c r="F759" s="14" t="str">
        <f aca="false">IFERROR(VLOOKUP(C759,Ingredients!$B$6:$I$206,7,FALSE()),"?")</f>
        <v>unit</v>
      </c>
      <c r="G759" s="31" t="n">
        <f aca="false">IFERROR(VLOOKUP(C759,Ingredients!$B$6:$I$206,6,FALSE()),0)</f>
        <v>0.14</v>
      </c>
      <c r="H759" s="32" t="n">
        <f aca="false">IFERROR(D759*G759,0)</f>
        <v>0.14</v>
      </c>
    </row>
    <row r="760" customFormat="false" ht="15" hidden="false" customHeight="true" outlineLevel="0" collapsed="false">
      <c r="B760" s="14" t="n">
        <v>103</v>
      </c>
      <c r="C760" s="11" t="s">
        <v>144</v>
      </c>
      <c r="D760" s="17" t="n">
        <v>1</v>
      </c>
      <c r="E760" s="11" t="s">
        <v>112</v>
      </c>
      <c r="F760" s="14" t="str">
        <f aca="false">IFERROR(VLOOKUP(C760,Ingredients!$B$6:$I$206,7,FALSE()),"?")</f>
        <v>unit</v>
      </c>
      <c r="G760" s="31" t="n">
        <f aca="false">IFERROR(VLOOKUP(C760,Ingredients!$B$6:$I$206,6,FALSE()),0)</f>
        <v>0.03</v>
      </c>
      <c r="H760" s="32" t="n">
        <f aca="false">IFERROR(D760*G760,0)</f>
        <v>0.03</v>
      </c>
    </row>
    <row r="761" customFormat="false" ht="15" hidden="false" customHeight="true" outlineLevel="0" collapsed="false">
      <c r="B761" s="14" t="n">
        <v>103</v>
      </c>
      <c r="C761" s="11" t="s">
        <v>95</v>
      </c>
      <c r="D761" s="17" t="n">
        <v>30</v>
      </c>
      <c r="E761" s="11" t="s">
        <v>84</v>
      </c>
      <c r="F761" s="14" t="str">
        <f aca="false">IFERROR(VLOOKUP(C761,Ingredients!$B$6:$I$206,7,FALSE()),"?")</f>
        <v>ml</v>
      </c>
      <c r="G761" s="31" t="n">
        <f aca="false">IFERROR(VLOOKUP(C761,Ingredients!$B$6:$I$206,6,FALSE()),0)</f>
        <v>0.005</v>
      </c>
      <c r="H761" s="32" t="n">
        <f aca="false">IFERROR(D761*G761,0)</f>
        <v>0.15</v>
      </c>
    </row>
    <row r="762" customFormat="false" ht="15" hidden="false" customHeight="true" outlineLevel="0" collapsed="false">
      <c r="B762" s="14" t="n">
        <v>104</v>
      </c>
      <c r="C762" s="11" t="s">
        <v>115</v>
      </c>
      <c r="D762" s="17" t="n">
        <v>0.00125</v>
      </c>
      <c r="E762" s="11" t="s">
        <v>79</v>
      </c>
      <c r="F762" s="14" t="str">
        <f aca="false">IFERROR(VLOOKUP(C762,Ingredients!$B$6:$I$206,7,FALSE()),"?")</f>
        <v>kg</v>
      </c>
      <c r="G762" s="31" t="n">
        <f aca="false">IFERROR(VLOOKUP(C762,Ingredients!$B$6:$I$206,6,FALSE()),0)</f>
        <v>180</v>
      </c>
      <c r="H762" s="32" t="n">
        <f aca="false">IFERROR(D762*G762,0)</f>
        <v>0.225</v>
      </c>
    </row>
    <row r="763" customFormat="false" ht="15" hidden="false" customHeight="true" outlineLevel="0" collapsed="false">
      <c r="B763" s="14" t="n">
        <v>104</v>
      </c>
      <c r="C763" s="11" t="s">
        <v>63</v>
      </c>
      <c r="D763" s="17" t="n">
        <v>0.18</v>
      </c>
      <c r="E763" s="11" t="s">
        <v>65</v>
      </c>
      <c r="F763" s="14" t="str">
        <f aca="false">IFERROR(VLOOKUP(C763,Ingredients!$B$6:$I$206,7,FALSE()),"?")</f>
        <v>L</v>
      </c>
      <c r="G763" s="31" t="n">
        <f aca="false">IFERROR(VLOOKUP(C763,Ingredients!$B$6:$I$206,6,FALSE()),0)</f>
        <v>0.732745961820852</v>
      </c>
      <c r="H763" s="32" t="n">
        <f aca="false">IFERROR(D763*G763,0)</f>
        <v>0.131894273127753</v>
      </c>
    </row>
    <row r="764" customFormat="false" ht="15" hidden="false" customHeight="true" outlineLevel="0" collapsed="false">
      <c r="B764" s="14" t="n">
        <v>104</v>
      </c>
      <c r="C764" s="11" t="s">
        <v>138</v>
      </c>
      <c r="D764" s="17" t="n">
        <v>1</v>
      </c>
      <c r="E764" s="11" t="s">
        <v>112</v>
      </c>
      <c r="F764" s="14" t="str">
        <f aca="false">IFERROR(VLOOKUP(C764,Ingredients!$B$6:$I$206,7,FALSE()),"?")</f>
        <v>unit</v>
      </c>
      <c r="G764" s="31" t="n">
        <f aca="false">IFERROR(VLOOKUP(C764,Ingredients!$B$6:$I$206,6,FALSE()),0)</f>
        <v>0.11</v>
      </c>
      <c r="H764" s="32" t="n">
        <f aca="false">IFERROR(D764*G764,0)</f>
        <v>0.11</v>
      </c>
    </row>
    <row r="765" customFormat="false" ht="15" hidden="false" customHeight="true" outlineLevel="0" collapsed="false">
      <c r="B765" s="14" t="n">
        <v>104</v>
      </c>
      <c r="C765" s="11" t="s">
        <v>140</v>
      </c>
      <c r="D765" s="17" t="n">
        <v>1</v>
      </c>
      <c r="E765" s="11" t="s">
        <v>112</v>
      </c>
      <c r="F765" s="14" t="str">
        <f aca="false">IFERROR(VLOOKUP(C765,Ingredients!$B$6:$I$206,7,FALSE()),"?")</f>
        <v>unit</v>
      </c>
      <c r="G765" s="31" t="n">
        <f aca="false">IFERROR(VLOOKUP(C765,Ingredients!$B$6:$I$206,6,FALSE()),0)</f>
        <v>0.03</v>
      </c>
      <c r="H765" s="32" t="n">
        <f aca="false">IFERROR(D765*G765,0)</f>
        <v>0.03</v>
      </c>
    </row>
    <row r="766" customFormat="false" ht="15" hidden="false" customHeight="true" outlineLevel="0" collapsed="false">
      <c r="B766" s="14" t="n">
        <v>104</v>
      </c>
      <c r="C766" s="11" t="s">
        <v>95</v>
      </c>
      <c r="D766" s="17" t="n">
        <v>30</v>
      </c>
      <c r="E766" s="11" t="s">
        <v>84</v>
      </c>
      <c r="F766" s="14" t="str">
        <f aca="false">IFERROR(VLOOKUP(C766,Ingredients!$B$6:$I$206,7,FALSE()),"?")</f>
        <v>ml</v>
      </c>
      <c r="G766" s="31" t="n">
        <f aca="false">IFERROR(VLOOKUP(C766,Ingredients!$B$6:$I$206,6,FALSE()),0)</f>
        <v>0.005</v>
      </c>
      <c r="H766" s="32" t="n">
        <f aca="false">IFERROR(D766*G766,0)</f>
        <v>0.15</v>
      </c>
    </row>
    <row r="767" customFormat="false" ht="15" hidden="false" customHeight="true" outlineLevel="0" collapsed="false">
      <c r="B767" s="14" t="n">
        <v>105</v>
      </c>
      <c r="C767" s="11" t="s">
        <v>77</v>
      </c>
      <c r="D767" s="17" t="n">
        <v>0.036</v>
      </c>
      <c r="E767" s="11" t="s">
        <v>79</v>
      </c>
      <c r="F767" s="14" t="str">
        <f aca="false">IFERROR(VLOOKUP(C767,Ingredients!$B$6:$I$206,7,FALSE()),"?")</f>
        <v>kg</v>
      </c>
      <c r="G767" s="31" t="n">
        <f aca="false">IFERROR(VLOOKUP(C767,Ingredients!$B$6:$I$206,6,FALSE()),0)</f>
        <v>16.25</v>
      </c>
      <c r="H767" s="32" t="n">
        <f aca="false">IFERROR(D767*G767,0)</f>
        <v>0.585</v>
      </c>
    </row>
    <row r="768" customFormat="false" ht="15" hidden="false" customHeight="true" outlineLevel="0" collapsed="false">
      <c r="B768" s="14" t="n">
        <v>105</v>
      </c>
      <c r="C768" s="11" t="s">
        <v>63</v>
      </c>
      <c r="D768" s="17" t="n">
        <v>0.2</v>
      </c>
      <c r="E768" s="11" t="s">
        <v>65</v>
      </c>
      <c r="F768" s="14" t="str">
        <f aca="false">IFERROR(VLOOKUP(C768,Ingredients!$B$6:$I$206,7,FALSE()),"?")</f>
        <v>L</v>
      </c>
      <c r="G768" s="31" t="n">
        <f aca="false">IFERROR(VLOOKUP(C768,Ingredients!$B$6:$I$206,6,FALSE()),0)</f>
        <v>0.732745961820852</v>
      </c>
      <c r="H768" s="32" t="n">
        <f aca="false">IFERROR(D768*G768,0)</f>
        <v>0.14654919236417</v>
      </c>
    </row>
    <row r="769" customFormat="false" ht="15" hidden="false" customHeight="true" outlineLevel="0" collapsed="false">
      <c r="B769" s="14" t="n">
        <v>105</v>
      </c>
      <c r="C769" s="11" t="s">
        <v>142</v>
      </c>
      <c r="D769" s="17" t="n">
        <v>1</v>
      </c>
      <c r="E769" s="11" t="s">
        <v>112</v>
      </c>
      <c r="F769" s="14" t="str">
        <f aca="false">IFERROR(VLOOKUP(C769,Ingredients!$B$6:$I$206,7,FALSE()),"?")</f>
        <v>unit</v>
      </c>
      <c r="G769" s="31" t="n">
        <f aca="false">IFERROR(VLOOKUP(C769,Ingredients!$B$6:$I$206,6,FALSE()),0)</f>
        <v>0.14</v>
      </c>
      <c r="H769" s="32" t="n">
        <f aca="false">IFERROR(D769*G769,0)</f>
        <v>0.14</v>
      </c>
    </row>
    <row r="770" customFormat="false" ht="15" hidden="false" customHeight="true" outlineLevel="0" collapsed="false">
      <c r="B770" s="14" t="n">
        <v>105</v>
      </c>
      <c r="C770" s="11" t="s">
        <v>144</v>
      </c>
      <c r="D770" s="17" t="n">
        <v>1</v>
      </c>
      <c r="E770" s="11" t="s">
        <v>112</v>
      </c>
      <c r="F770" s="14" t="str">
        <f aca="false">IFERROR(VLOOKUP(C770,Ingredients!$B$6:$I$206,7,FALSE()),"?")</f>
        <v>unit</v>
      </c>
      <c r="G770" s="31" t="n">
        <f aca="false">IFERROR(VLOOKUP(C770,Ingredients!$B$6:$I$206,6,FALSE()),0)</f>
        <v>0.03</v>
      </c>
      <c r="H770" s="32" t="n">
        <f aca="false">IFERROR(D770*G770,0)</f>
        <v>0.03</v>
      </c>
    </row>
    <row r="771" customFormat="false" ht="15" hidden="false" customHeight="true" outlineLevel="0" collapsed="false">
      <c r="B771" s="14" t="n">
        <v>105</v>
      </c>
      <c r="C771" s="11" t="s">
        <v>95</v>
      </c>
      <c r="D771" s="17" t="n">
        <v>30</v>
      </c>
      <c r="E771" s="11" t="s">
        <v>84</v>
      </c>
      <c r="F771" s="14" t="str">
        <f aca="false">IFERROR(VLOOKUP(C771,Ingredients!$B$6:$I$206,7,FALSE()),"?")</f>
        <v>ml</v>
      </c>
      <c r="G771" s="31" t="n">
        <f aca="false">IFERROR(VLOOKUP(C771,Ingredients!$B$6:$I$206,6,FALSE()),0)</f>
        <v>0.005</v>
      </c>
      <c r="H771" s="32" t="n">
        <f aca="false">IFERROR(D771*G771,0)</f>
        <v>0.15</v>
      </c>
    </row>
    <row r="772" customFormat="false" ht="15" hidden="false" customHeight="true" outlineLevel="0" collapsed="false">
      <c r="B772" s="14" t="n">
        <v>106</v>
      </c>
      <c r="C772" s="11" t="s">
        <v>77</v>
      </c>
      <c r="D772" s="17" t="n">
        <v>0.036</v>
      </c>
      <c r="E772" s="11" t="s">
        <v>79</v>
      </c>
      <c r="F772" s="14" t="str">
        <f aca="false">IFERROR(VLOOKUP(C772,Ingredients!$B$6:$I$206,7,FALSE()),"?")</f>
        <v>kg</v>
      </c>
      <c r="G772" s="31" t="n">
        <f aca="false">IFERROR(VLOOKUP(C772,Ingredients!$B$6:$I$206,6,FALSE()),0)</f>
        <v>16.25</v>
      </c>
      <c r="H772" s="32" t="n">
        <f aca="false">IFERROR(D772*G772,0)</f>
        <v>0.585</v>
      </c>
    </row>
    <row r="773" customFormat="false" ht="15" hidden="false" customHeight="true" outlineLevel="0" collapsed="false">
      <c r="B773" s="14" t="n">
        <v>106</v>
      </c>
      <c r="C773" s="11" t="s">
        <v>63</v>
      </c>
      <c r="D773" s="17" t="n">
        <v>0.15</v>
      </c>
      <c r="E773" s="11" t="s">
        <v>65</v>
      </c>
      <c r="F773" s="14" t="str">
        <f aca="false">IFERROR(VLOOKUP(C773,Ingredients!$B$6:$I$206,7,FALSE()),"?")</f>
        <v>L</v>
      </c>
      <c r="G773" s="31" t="n">
        <f aca="false">IFERROR(VLOOKUP(C773,Ingredients!$B$6:$I$206,6,FALSE()),0)</f>
        <v>0.732745961820852</v>
      </c>
      <c r="H773" s="32" t="n">
        <f aca="false">IFERROR(D773*G773,0)</f>
        <v>0.109911894273128</v>
      </c>
    </row>
    <row r="774" customFormat="false" ht="15" hidden="false" customHeight="true" outlineLevel="0" collapsed="false">
      <c r="B774" s="14" t="n">
        <v>106</v>
      </c>
      <c r="C774" s="11" t="s">
        <v>138</v>
      </c>
      <c r="D774" s="17" t="n">
        <v>1</v>
      </c>
      <c r="E774" s="11" t="s">
        <v>112</v>
      </c>
      <c r="F774" s="14" t="str">
        <f aca="false">IFERROR(VLOOKUP(C774,Ingredients!$B$6:$I$206,7,FALSE()),"?")</f>
        <v>unit</v>
      </c>
      <c r="G774" s="31" t="n">
        <f aca="false">IFERROR(VLOOKUP(C774,Ingredients!$B$6:$I$206,6,FALSE()),0)</f>
        <v>0.11</v>
      </c>
      <c r="H774" s="32" t="n">
        <f aca="false">IFERROR(D774*G774,0)</f>
        <v>0.11</v>
      </c>
    </row>
    <row r="775" customFormat="false" ht="15" hidden="false" customHeight="true" outlineLevel="0" collapsed="false">
      <c r="B775" s="14" t="n">
        <v>106</v>
      </c>
      <c r="C775" s="11" t="s">
        <v>140</v>
      </c>
      <c r="D775" s="17" t="n">
        <v>1</v>
      </c>
      <c r="E775" s="11" t="s">
        <v>112</v>
      </c>
      <c r="F775" s="14" t="str">
        <f aca="false">IFERROR(VLOOKUP(C775,Ingredients!$B$6:$I$206,7,FALSE()),"?")</f>
        <v>unit</v>
      </c>
      <c r="G775" s="31" t="n">
        <f aca="false">IFERROR(VLOOKUP(C775,Ingredients!$B$6:$I$206,6,FALSE()),0)</f>
        <v>0.03</v>
      </c>
      <c r="H775" s="32" t="n">
        <f aca="false">IFERROR(D775*G775,0)</f>
        <v>0.03</v>
      </c>
    </row>
    <row r="776" customFormat="false" ht="15" hidden="false" customHeight="true" outlineLevel="0" collapsed="false">
      <c r="B776" s="14" t="n">
        <v>106</v>
      </c>
      <c r="C776" s="11" t="s">
        <v>95</v>
      </c>
      <c r="D776" s="17" t="n">
        <v>30</v>
      </c>
      <c r="E776" s="11" t="s">
        <v>84</v>
      </c>
      <c r="F776" s="14" t="str">
        <f aca="false">IFERROR(VLOOKUP(C776,Ingredients!$B$6:$I$206,7,FALSE()),"?")</f>
        <v>ml</v>
      </c>
      <c r="G776" s="31" t="n">
        <f aca="false">IFERROR(VLOOKUP(C776,Ingredients!$B$6:$I$206,6,FALSE()),0)</f>
        <v>0.005</v>
      </c>
      <c r="H776" s="32" t="n">
        <f aca="false">IFERROR(D776*G776,0)</f>
        <v>0.15</v>
      </c>
    </row>
    <row r="777" customFormat="false" ht="15" hidden="false" customHeight="true" outlineLevel="0" collapsed="false">
      <c r="B777" s="14" t="n">
        <v>107</v>
      </c>
      <c r="C777" s="11" t="s">
        <v>122</v>
      </c>
      <c r="D777" s="17" t="n">
        <v>0.003</v>
      </c>
      <c r="E777" s="11" t="s">
        <v>79</v>
      </c>
      <c r="F777" s="14" t="str">
        <f aca="false">IFERROR(VLOOKUP(C777,Ingredients!$B$6:$I$206,7,FALSE()),"?")</f>
        <v>kg</v>
      </c>
      <c r="G777" s="31" t="n">
        <f aca="false">IFERROR(VLOOKUP(C777,Ingredients!$B$6:$I$206,6,FALSE()),0)</f>
        <v>181.818181818182</v>
      </c>
      <c r="H777" s="32" t="n">
        <f aca="false">IFERROR(D777*G777,0)</f>
        <v>0.545454545454545</v>
      </c>
    </row>
    <row r="778" customFormat="false" ht="15" hidden="false" customHeight="true" outlineLevel="0" collapsed="false">
      <c r="B778" s="14" t="n">
        <v>107</v>
      </c>
      <c r="C778" s="11" t="s">
        <v>63</v>
      </c>
      <c r="D778" s="17" t="n">
        <v>0.2</v>
      </c>
      <c r="E778" s="11" t="s">
        <v>65</v>
      </c>
      <c r="F778" s="14" t="str">
        <f aca="false">IFERROR(VLOOKUP(C778,Ingredients!$B$6:$I$206,7,FALSE()),"?")</f>
        <v>L</v>
      </c>
      <c r="G778" s="31" t="n">
        <f aca="false">IFERROR(VLOOKUP(C778,Ingredients!$B$6:$I$206,6,FALSE()),0)</f>
        <v>0.732745961820852</v>
      </c>
      <c r="H778" s="32" t="n">
        <f aca="false">IFERROR(D778*G778,0)</f>
        <v>0.14654919236417</v>
      </c>
    </row>
    <row r="779" customFormat="false" ht="15" hidden="false" customHeight="true" outlineLevel="0" collapsed="false">
      <c r="B779" s="14" t="n">
        <v>107</v>
      </c>
      <c r="C779" s="11" t="s">
        <v>142</v>
      </c>
      <c r="D779" s="17" t="n">
        <v>1</v>
      </c>
      <c r="E779" s="11" t="s">
        <v>112</v>
      </c>
      <c r="F779" s="14" t="str">
        <f aca="false">IFERROR(VLOOKUP(C779,Ingredients!$B$6:$I$206,7,FALSE()),"?")</f>
        <v>unit</v>
      </c>
      <c r="G779" s="31" t="n">
        <f aca="false">IFERROR(VLOOKUP(C779,Ingredients!$B$6:$I$206,6,FALSE()),0)</f>
        <v>0.14</v>
      </c>
      <c r="H779" s="32" t="n">
        <f aca="false">IFERROR(D779*G779,0)</f>
        <v>0.14</v>
      </c>
    </row>
    <row r="780" customFormat="false" ht="15" hidden="false" customHeight="true" outlineLevel="0" collapsed="false">
      <c r="B780" s="14" t="n">
        <v>107</v>
      </c>
      <c r="C780" s="11" t="s">
        <v>144</v>
      </c>
      <c r="D780" s="17" t="n">
        <v>1</v>
      </c>
      <c r="E780" s="11" t="s">
        <v>112</v>
      </c>
      <c r="F780" s="14" t="str">
        <f aca="false">IFERROR(VLOOKUP(C780,Ingredients!$B$6:$I$206,7,FALSE()),"?")</f>
        <v>unit</v>
      </c>
      <c r="G780" s="31" t="n">
        <f aca="false">IFERROR(VLOOKUP(C780,Ingredients!$B$6:$I$206,6,FALSE()),0)</f>
        <v>0.03</v>
      </c>
      <c r="H780" s="32" t="n">
        <f aca="false">IFERROR(D780*G780,0)</f>
        <v>0.03</v>
      </c>
    </row>
    <row r="781" customFormat="false" ht="15" hidden="false" customHeight="true" outlineLevel="0" collapsed="false">
      <c r="B781" s="14" t="n">
        <v>107</v>
      </c>
      <c r="C781" s="11" t="s">
        <v>101</v>
      </c>
      <c r="D781" s="17" t="n">
        <v>30</v>
      </c>
      <c r="E781" s="11" t="s">
        <v>84</v>
      </c>
      <c r="F781" s="14" t="str">
        <f aca="false">IFERROR(VLOOKUP(C781,Ingredients!$B$6:$I$206,7,FALSE()),"?")</f>
        <v>ml</v>
      </c>
      <c r="G781" s="31" t="n">
        <f aca="false">IFERROR(VLOOKUP(C781,Ingredients!$B$6:$I$206,6,FALSE()),0)</f>
        <v>0.005</v>
      </c>
      <c r="H781" s="32" t="n">
        <f aca="false">IFERROR(D781*G781,0)</f>
        <v>0.15</v>
      </c>
    </row>
    <row r="782" customFormat="false" ht="15" hidden="false" customHeight="true" outlineLevel="0" collapsed="false">
      <c r="B782" s="14" t="n">
        <v>108</v>
      </c>
      <c r="C782" s="11" t="s">
        <v>122</v>
      </c>
      <c r="D782" s="17" t="n">
        <v>0.003</v>
      </c>
      <c r="E782" s="11" t="s">
        <v>79</v>
      </c>
      <c r="F782" s="14" t="str">
        <f aca="false">IFERROR(VLOOKUP(C782,Ingredients!$B$6:$I$206,7,FALSE()),"?")</f>
        <v>kg</v>
      </c>
      <c r="G782" s="31" t="n">
        <f aca="false">IFERROR(VLOOKUP(C782,Ingredients!$B$6:$I$206,6,FALSE()),0)</f>
        <v>181.818181818182</v>
      </c>
      <c r="H782" s="32" t="n">
        <f aca="false">IFERROR(D782*G782,0)</f>
        <v>0.545454545454545</v>
      </c>
    </row>
    <row r="783" customFormat="false" ht="15" hidden="false" customHeight="true" outlineLevel="0" collapsed="false">
      <c r="B783" s="14" t="n">
        <v>108</v>
      </c>
      <c r="C783" s="11" t="s">
        <v>63</v>
      </c>
      <c r="D783" s="17" t="n">
        <v>0.13</v>
      </c>
      <c r="E783" s="11" t="s">
        <v>65</v>
      </c>
      <c r="F783" s="14" t="str">
        <f aca="false">IFERROR(VLOOKUP(C783,Ingredients!$B$6:$I$206,7,FALSE()),"?")</f>
        <v>L</v>
      </c>
      <c r="G783" s="31" t="n">
        <f aca="false">IFERROR(VLOOKUP(C783,Ingredients!$B$6:$I$206,6,FALSE()),0)</f>
        <v>0.732745961820852</v>
      </c>
      <c r="H783" s="32" t="n">
        <f aca="false">IFERROR(D783*G783,0)</f>
        <v>0.0952569750367107</v>
      </c>
    </row>
    <row r="784" customFormat="false" ht="15" hidden="false" customHeight="true" outlineLevel="0" collapsed="false">
      <c r="B784" s="14" t="n">
        <v>108</v>
      </c>
      <c r="C784" s="11" t="s">
        <v>138</v>
      </c>
      <c r="D784" s="17" t="n">
        <v>1</v>
      </c>
      <c r="E784" s="11" t="s">
        <v>112</v>
      </c>
      <c r="F784" s="14" t="str">
        <f aca="false">IFERROR(VLOOKUP(C784,Ingredients!$B$6:$I$206,7,FALSE()),"?")</f>
        <v>unit</v>
      </c>
      <c r="G784" s="31" t="n">
        <f aca="false">IFERROR(VLOOKUP(C784,Ingredients!$B$6:$I$206,6,FALSE()),0)</f>
        <v>0.11</v>
      </c>
      <c r="H784" s="32" t="n">
        <f aca="false">IFERROR(D784*G784,0)</f>
        <v>0.11</v>
      </c>
    </row>
    <row r="785" customFormat="false" ht="15" hidden="false" customHeight="true" outlineLevel="0" collapsed="false">
      <c r="B785" s="14" t="n">
        <v>108</v>
      </c>
      <c r="C785" s="11" t="s">
        <v>140</v>
      </c>
      <c r="D785" s="17" t="n">
        <v>1</v>
      </c>
      <c r="E785" s="11" t="s">
        <v>112</v>
      </c>
      <c r="F785" s="14" t="str">
        <f aca="false">IFERROR(VLOOKUP(C785,Ingredients!$B$6:$I$206,7,FALSE()),"?")</f>
        <v>unit</v>
      </c>
      <c r="G785" s="31" t="n">
        <f aca="false">IFERROR(VLOOKUP(C785,Ingredients!$B$6:$I$206,6,FALSE()),0)</f>
        <v>0.03</v>
      </c>
      <c r="H785" s="32" t="n">
        <f aca="false">IFERROR(D785*G785,0)</f>
        <v>0.03</v>
      </c>
    </row>
    <row r="786" customFormat="false" ht="15" hidden="false" customHeight="true" outlineLevel="0" collapsed="false">
      <c r="B786" s="14" t="n">
        <v>108</v>
      </c>
      <c r="C786" s="11" t="s">
        <v>101</v>
      </c>
      <c r="D786" s="17" t="n">
        <v>30</v>
      </c>
      <c r="E786" s="11" t="s">
        <v>84</v>
      </c>
      <c r="F786" s="14" t="str">
        <f aca="false">IFERROR(VLOOKUP(C786,Ingredients!$B$6:$I$206,7,FALSE()),"?")</f>
        <v>ml</v>
      </c>
      <c r="G786" s="31" t="n">
        <f aca="false">IFERROR(VLOOKUP(C786,Ingredients!$B$6:$I$206,6,FALSE()),0)</f>
        <v>0.005</v>
      </c>
      <c r="H786" s="32" t="n">
        <f aca="false">IFERROR(D786*G786,0)</f>
        <v>0.15</v>
      </c>
    </row>
    <row r="787" customFormat="false" ht="15" hidden="false" customHeight="true" outlineLevel="0" collapsed="false">
      <c r="B787" s="14" t="n">
        <v>109</v>
      </c>
      <c r="C787" s="11" t="s">
        <v>77</v>
      </c>
      <c r="D787" s="17" t="n">
        <v>0.036</v>
      </c>
      <c r="E787" s="11" t="s">
        <v>79</v>
      </c>
      <c r="F787" s="14" t="str">
        <f aca="false">IFERROR(VLOOKUP(C787,Ingredients!$B$6:$I$206,7,FALSE()),"?")</f>
        <v>kg</v>
      </c>
      <c r="G787" s="31" t="n">
        <f aca="false">IFERROR(VLOOKUP(C787,Ingredients!$B$6:$I$206,6,FALSE()),0)</f>
        <v>16.25</v>
      </c>
      <c r="H787" s="32" t="n">
        <f aca="false">IFERROR(D787*G787,0)</f>
        <v>0.585</v>
      </c>
    </row>
    <row r="788" customFormat="false" ht="15" hidden="false" customHeight="true" outlineLevel="0" collapsed="false">
      <c r="B788" s="14" t="n">
        <v>109</v>
      </c>
      <c r="C788" s="11" t="s">
        <v>63</v>
      </c>
      <c r="D788" s="17" t="n">
        <v>0.2</v>
      </c>
      <c r="E788" s="11" t="s">
        <v>65</v>
      </c>
      <c r="F788" s="14" t="str">
        <f aca="false">IFERROR(VLOOKUP(C788,Ingredients!$B$6:$I$206,7,FALSE()),"?")</f>
        <v>L</v>
      </c>
      <c r="G788" s="31" t="n">
        <f aca="false">IFERROR(VLOOKUP(C788,Ingredients!$B$6:$I$206,6,FALSE()),0)</f>
        <v>0.732745961820852</v>
      </c>
      <c r="H788" s="32" t="n">
        <f aca="false">IFERROR(D788*G788,0)</f>
        <v>0.14654919236417</v>
      </c>
    </row>
    <row r="789" customFormat="false" ht="15" hidden="false" customHeight="true" outlineLevel="0" collapsed="false">
      <c r="B789" s="14" t="n">
        <v>109</v>
      </c>
      <c r="C789" s="11" t="s">
        <v>142</v>
      </c>
      <c r="D789" s="17" t="n">
        <v>1</v>
      </c>
      <c r="E789" s="11" t="s">
        <v>112</v>
      </c>
      <c r="F789" s="14" t="str">
        <f aca="false">IFERROR(VLOOKUP(C789,Ingredients!$B$6:$I$206,7,FALSE()),"?")</f>
        <v>unit</v>
      </c>
      <c r="G789" s="31" t="n">
        <f aca="false">IFERROR(VLOOKUP(C789,Ingredients!$B$6:$I$206,6,FALSE()),0)</f>
        <v>0.14</v>
      </c>
      <c r="H789" s="32" t="n">
        <f aca="false">IFERROR(D789*G789,0)</f>
        <v>0.14</v>
      </c>
    </row>
    <row r="790" customFormat="false" ht="15" hidden="false" customHeight="true" outlineLevel="0" collapsed="false">
      <c r="B790" s="14" t="n">
        <v>109</v>
      </c>
      <c r="C790" s="11" t="s">
        <v>144</v>
      </c>
      <c r="D790" s="17" t="n">
        <v>1</v>
      </c>
      <c r="E790" s="11" t="s">
        <v>112</v>
      </c>
      <c r="F790" s="14" t="str">
        <f aca="false">IFERROR(VLOOKUP(C790,Ingredients!$B$6:$I$206,7,FALSE()),"?")</f>
        <v>unit</v>
      </c>
      <c r="G790" s="31" t="n">
        <f aca="false">IFERROR(VLOOKUP(C790,Ingredients!$B$6:$I$206,6,FALSE()),0)</f>
        <v>0.03</v>
      </c>
      <c r="H790" s="32" t="n">
        <f aca="false">IFERROR(D790*G790,0)</f>
        <v>0.03</v>
      </c>
    </row>
    <row r="791" customFormat="false" ht="15" hidden="false" customHeight="true" outlineLevel="0" collapsed="false">
      <c r="B791" s="14" t="n">
        <v>110</v>
      </c>
      <c r="C791" s="11" t="s">
        <v>77</v>
      </c>
      <c r="D791" s="17" t="n">
        <v>0.036</v>
      </c>
      <c r="E791" s="11" t="s">
        <v>79</v>
      </c>
      <c r="F791" s="14" t="str">
        <f aca="false">IFERROR(VLOOKUP(C791,Ingredients!$B$6:$I$206,7,FALSE()),"?")</f>
        <v>kg</v>
      </c>
      <c r="G791" s="31" t="n">
        <f aca="false">IFERROR(VLOOKUP(C791,Ingredients!$B$6:$I$206,6,FALSE()),0)</f>
        <v>16.25</v>
      </c>
      <c r="H791" s="32" t="n">
        <f aca="false">IFERROR(D791*G791,0)</f>
        <v>0.585</v>
      </c>
    </row>
    <row r="792" customFormat="false" ht="15" hidden="false" customHeight="true" outlineLevel="0" collapsed="false">
      <c r="B792" s="14" t="n">
        <v>110</v>
      </c>
      <c r="C792" s="11" t="s">
        <v>63</v>
      </c>
      <c r="D792" s="17" t="n">
        <v>0.15</v>
      </c>
      <c r="E792" s="11" t="s">
        <v>65</v>
      </c>
      <c r="F792" s="14" t="str">
        <f aca="false">IFERROR(VLOOKUP(C792,Ingredients!$B$6:$I$206,7,FALSE()),"?")</f>
        <v>L</v>
      </c>
      <c r="G792" s="31" t="n">
        <f aca="false">IFERROR(VLOOKUP(C792,Ingredients!$B$6:$I$206,6,FALSE()),0)</f>
        <v>0.732745961820852</v>
      </c>
      <c r="H792" s="32" t="n">
        <f aca="false">IFERROR(D792*G792,0)</f>
        <v>0.109911894273128</v>
      </c>
    </row>
    <row r="793" customFormat="false" ht="15" hidden="false" customHeight="true" outlineLevel="0" collapsed="false">
      <c r="B793" s="14" t="n">
        <v>110</v>
      </c>
      <c r="C793" s="11" t="s">
        <v>138</v>
      </c>
      <c r="D793" s="17" t="n">
        <v>1</v>
      </c>
      <c r="E793" s="11" t="s">
        <v>112</v>
      </c>
      <c r="F793" s="14" t="str">
        <f aca="false">IFERROR(VLOOKUP(C793,Ingredients!$B$6:$I$206,7,FALSE()),"?")</f>
        <v>unit</v>
      </c>
      <c r="G793" s="31" t="n">
        <f aca="false">IFERROR(VLOOKUP(C793,Ingredients!$B$6:$I$206,6,FALSE()),0)</f>
        <v>0.11</v>
      </c>
      <c r="H793" s="32" t="n">
        <f aca="false">IFERROR(D793*G793,0)</f>
        <v>0.11</v>
      </c>
    </row>
    <row r="794" customFormat="false" ht="15" hidden="false" customHeight="true" outlineLevel="0" collapsed="false">
      <c r="B794" s="14" t="n">
        <v>110</v>
      </c>
      <c r="C794" s="11" t="s">
        <v>140</v>
      </c>
      <c r="D794" s="17" t="n">
        <v>1</v>
      </c>
      <c r="E794" s="11" t="s">
        <v>112</v>
      </c>
      <c r="F794" s="14" t="str">
        <f aca="false">IFERROR(VLOOKUP(C794,Ingredients!$B$6:$I$206,7,FALSE()),"?")</f>
        <v>unit</v>
      </c>
      <c r="G794" s="31" t="n">
        <f aca="false">IFERROR(VLOOKUP(C794,Ingredients!$B$6:$I$206,6,FALSE()),0)</f>
        <v>0.03</v>
      </c>
      <c r="H794" s="32" t="n">
        <f aca="false">IFERROR(D794*G794,0)</f>
        <v>0.03</v>
      </c>
    </row>
    <row r="795" customFormat="false" ht="15" hidden="false" customHeight="true" outlineLevel="0" collapsed="false">
      <c r="B795" s="14" t="n">
        <v>111</v>
      </c>
      <c r="C795" s="11" t="s">
        <v>77</v>
      </c>
      <c r="D795" s="17" t="n">
        <v>0.036</v>
      </c>
      <c r="E795" s="11" t="s">
        <v>79</v>
      </c>
      <c r="F795" s="14" t="str">
        <f aca="false">IFERROR(VLOOKUP(C795,Ingredients!$B$6:$I$206,7,FALSE()),"?")</f>
        <v>kg</v>
      </c>
      <c r="G795" s="31" t="n">
        <f aca="false">IFERROR(VLOOKUP(C795,Ingredients!$B$6:$I$206,6,FALSE()),0)</f>
        <v>16.25</v>
      </c>
      <c r="H795" s="32" t="n">
        <f aca="false">IFERROR(D795*G795,0)</f>
        <v>0.585</v>
      </c>
    </row>
    <row r="796" customFormat="false" ht="15" hidden="false" customHeight="true" outlineLevel="0" collapsed="false">
      <c r="B796" s="14" t="n">
        <v>111</v>
      </c>
      <c r="C796" s="11" t="s">
        <v>63</v>
      </c>
      <c r="D796" s="17" t="n">
        <v>0.2</v>
      </c>
      <c r="E796" s="11" t="s">
        <v>65</v>
      </c>
      <c r="F796" s="14" t="str">
        <f aca="false">IFERROR(VLOOKUP(C796,Ingredients!$B$6:$I$206,7,FALSE()),"?")</f>
        <v>L</v>
      </c>
      <c r="G796" s="31" t="n">
        <f aca="false">IFERROR(VLOOKUP(C796,Ingredients!$B$6:$I$206,6,FALSE()),0)</f>
        <v>0.732745961820852</v>
      </c>
      <c r="H796" s="32" t="n">
        <f aca="false">IFERROR(D796*G796,0)</f>
        <v>0.14654919236417</v>
      </c>
    </row>
    <row r="797" customFormat="false" ht="15" hidden="false" customHeight="true" outlineLevel="0" collapsed="false">
      <c r="B797" s="14" t="n">
        <v>111</v>
      </c>
      <c r="C797" s="11" t="s">
        <v>142</v>
      </c>
      <c r="D797" s="17" t="n">
        <v>1</v>
      </c>
      <c r="E797" s="11" t="s">
        <v>112</v>
      </c>
      <c r="F797" s="14" t="str">
        <f aca="false">IFERROR(VLOOKUP(C797,Ingredients!$B$6:$I$206,7,FALSE()),"?")</f>
        <v>unit</v>
      </c>
      <c r="G797" s="31" t="n">
        <f aca="false">IFERROR(VLOOKUP(C797,Ingredients!$B$6:$I$206,6,FALSE()),0)</f>
        <v>0.14</v>
      </c>
      <c r="H797" s="32" t="n">
        <f aca="false">IFERROR(D797*G797,0)</f>
        <v>0.14</v>
      </c>
    </row>
    <row r="798" customFormat="false" ht="15" hidden="false" customHeight="true" outlineLevel="0" collapsed="false">
      <c r="B798" s="14" t="n">
        <v>111</v>
      </c>
      <c r="C798" s="11" t="s">
        <v>144</v>
      </c>
      <c r="D798" s="17" t="n">
        <v>1</v>
      </c>
      <c r="E798" s="11" t="s">
        <v>112</v>
      </c>
      <c r="F798" s="14" t="str">
        <f aca="false">IFERROR(VLOOKUP(C798,Ingredients!$B$6:$I$206,7,FALSE()),"?")</f>
        <v>unit</v>
      </c>
      <c r="G798" s="31" t="n">
        <f aca="false">IFERROR(VLOOKUP(C798,Ingredients!$B$6:$I$206,6,FALSE()),0)</f>
        <v>0.03</v>
      </c>
      <c r="H798" s="32" t="n">
        <f aca="false">IFERROR(D798*G798,0)</f>
        <v>0.03</v>
      </c>
    </row>
    <row r="799" customFormat="false" ht="15" hidden="false" customHeight="true" outlineLevel="0" collapsed="false">
      <c r="B799" s="14" t="n">
        <v>112</v>
      </c>
      <c r="C799" s="11" t="s">
        <v>77</v>
      </c>
      <c r="D799" s="17" t="n">
        <v>0.036</v>
      </c>
      <c r="E799" s="11" t="s">
        <v>79</v>
      </c>
      <c r="F799" s="14" t="str">
        <f aca="false">IFERROR(VLOOKUP(C799,Ingredients!$B$6:$I$206,7,FALSE()),"?")</f>
        <v>kg</v>
      </c>
      <c r="G799" s="31" t="n">
        <f aca="false">IFERROR(VLOOKUP(C799,Ingredients!$B$6:$I$206,6,FALSE()),0)</f>
        <v>16.25</v>
      </c>
      <c r="H799" s="32" t="n">
        <f aca="false">IFERROR(D799*G799,0)</f>
        <v>0.585</v>
      </c>
    </row>
    <row r="800" customFormat="false" ht="15" hidden="false" customHeight="true" outlineLevel="0" collapsed="false">
      <c r="B800" s="14" t="n">
        <v>112</v>
      </c>
      <c r="C800" s="11" t="s">
        <v>63</v>
      </c>
      <c r="D800" s="17" t="n">
        <v>0.15</v>
      </c>
      <c r="E800" s="11" t="s">
        <v>65</v>
      </c>
      <c r="F800" s="14" t="str">
        <f aca="false">IFERROR(VLOOKUP(C800,Ingredients!$B$6:$I$206,7,FALSE()),"?")</f>
        <v>L</v>
      </c>
      <c r="G800" s="31" t="n">
        <f aca="false">IFERROR(VLOOKUP(C800,Ingredients!$B$6:$I$206,6,FALSE()),0)</f>
        <v>0.732745961820852</v>
      </c>
      <c r="H800" s="32" t="n">
        <f aca="false">IFERROR(D800*G800,0)</f>
        <v>0.109911894273128</v>
      </c>
    </row>
    <row r="801" customFormat="false" ht="15" hidden="false" customHeight="true" outlineLevel="0" collapsed="false">
      <c r="B801" s="14" t="n">
        <v>112</v>
      </c>
      <c r="C801" s="11" t="s">
        <v>138</v>
      </c>
      <c r="D801" s="17" t="n">
        <v>1</v>
      </c>
      <c r="E801" s="11" t="s">
        <v>112</v>
      </c>
      <c r="F801" s="14" t="str">
        <f aca="false">IFERROR(VLOOKUP(C801,Ingredients!$B$6:$I$206,7,FALSE()),"?")</f>
        <v>unit</v>
      </c>
      <c r="G801" s="31" t="n">
        <f aca="false">IFERROR(VLOOKUP(C801,Ingredients!$B$6:$I$206,6,FALSE()),0)</f>
        <v>0.11</v>
      </c>
      <c r="H801" s="32" t="n">
        <f aca="false">IFERROR(D801*G801,0)</f>
        <v>0.11</v>
      </c>
    </row>
    <row r="802" customFormat="false" ht="15" hidden="false" customHeight="true" outlineLevel="0" collapsed="false">
      <c r="B802" s="14" t="n">
        <v>112</v>
      </c>
      <c r="C802" s="11" t="s">
        <v>140</v>
      </c>
      <c r="D802" s="17" t="n">
        <v>1</v>
      </c>
      <c r="E802" s="11" t="s">
        <v>112</v>
      </c>
      <c r="F802" s="14" t="str">
        <f aca="false">IFERROR(VLOOKUP(C802,Ingredients!$B$6:$I$206,7,FALSE()),"?")</f>
        <v>unit</v>
      </c>
      <c r="G802" s="31" t="n">
        <f aca="false">IFERROR(VLOOKUP(C802,Ingredients!$B$6:$I$206,6,FALSE()),0)</f>
        <v>0.03</v>
      </c>
      <c r="H802" s="32" t="n">
        <f aca="false">IFERROR(D802*G802,0)</f>
        <v>0.03</v>
      </c>
    </row>
    <row r="803" customFormat="false" ht="15" hidden="false" customHeight="true" outlineLevel="0" collapsed="false">
      <c r="B803" s="14" t="n">
        <v>113</v>
      </c>
      <c r="C803" s="11" t="s">
        <v>77</v>
      </c>
      <c r="D803" s="17" t="n">
        <v>0.036</v>
      </c>
      <c r="E803" s="11" t="s">
        <v>79</v>
      </c>
      <c r="F803" s="14" t="str">
        <f aca="false">IFERROR(VLOOKUP(C803,Ingredients!$B$6:$I$206,7,FALSE()),"?")</f>
        <v>kg</v>
      </c>
      <c r="G803" s="31" t="n">
        <f aca="false">IFERROR(VLOOKUP(C803,Ingredients!$B$6:$I$206,6,FALSE()),0)</f>
        <v>16.25</v>
      </c>
      <c r="H803" s="32" t="n">
        <f aca="false">IFERROR(D803*G803,0)</f>
        <v>0.585</v>
      </c>
    </row>
    <row r="804" customFormat="false" ht="15" hidden="false" customHeight="true" outlineLevel="0" collapsed="false">
      <c r="B804" s="14" t="n">
        <v>113</v>
      </c>
      <c r="C804" s="11" t="s">
        <v>63</v>
      </c>
      <c r="D804" s="17" t="n">
        <v>0.2</v>
      </c>
      <c r="E804" s="11" t="s">
        <v>65</v>
      </c>
      <c r="F804" s="14" t="str">
        <f aca="false">IFERROR(VLOOKUP(C804,Ingredients!$B$6:$I$206,7,FALSE()),"?")</f>
        <v>L</v>
      </c>
      <c r="G804" s="31" t="n">
        <f aca="false">IFERROR(VLOOKUP(C804,Ingredients!$B$6:$I$206,6,FALSE()),0)</f>
        <v>0.732745961820852</v>
      </c>
      <c r="H804" s="32" t="n">
        <f aca="false">IFERROR(D804*G804,0)</f>
        <v>0.14654919236417</v>
      </c>
    </row>
    <row r="805" customFormat="false" ht="15" hidden="false" customHeight="true" outlineLevel="0" collapsed="false">
      <c r="B805" s="14" t="n">
        <v>113</v>
      </c>
      <c r="C805" s="11" t="s">
        <v>142</v>
      </c>
      <c r="D805" s="17" t="n">
        <v>1</v>
      </c>
      <c r="E805" s="11" t="s">
        <v>112</v>
      </c>
      <c r="F805" s="14" t="str">
        <f aca="false">IFERROR(VLOOKUP(C805,Ingredients!$B$6:$I$206,7,FALSE()),"?")</f>
        <v>unit</v>
      </c>
      <c r="G805" s="31" t="n">
        <f aca="false">IFERROR(VLOOKUP(C805,Ingredients!$B$6:$I$206,6,FALSE()),0)</f>
        <v>0.14</v>
      </c>
      <c r="H805" s="32" t="n">
        <f aca="false">IFERROR(D805*G805,0)</f>
        <v>0.14</v>
      </c>
    </row>
    <row r="806" customFormat="false" ht="15" hidden="false" customHeight="true" outlineLevel="0" collapsed="false">
      <c r="B806" s="14" t="n">
        <v>113</v>
      </c>
      <c r="C806" s="11" t="s">
        <v>144</v>
      </c>
      <c r="D806" s="17" t="n">
        <v>1</v>
      </c>
      <c r="E806" s="11" t="s">
        <v>112</v>
      </c>
      <c r="F806" s="14" t="str">
        <f aca="false">IFERROR(VLOOKUP(C806,Ingredients!$B$6:$I$206,7,FALSE()),"?")</f>
        <v>unit</v>
      </c>
      <c r="G806" s="31" t="n">
        <f aca="false">IFERROR(VLOOKUP(C806,Ingredients!$B$6:$I$206,6,FALSE()),0)</f>
        <v>0.03</v>
      </c>
      <c r="H806" s="32" t="n">
        <f aca="false">IFERROR(D806*G806,0)</f>
        <v>0.03</v>
      </c>
    </row>
    <row r="807" customFormat="false" ht="15" hidden="false" customHeight="true" outlineLevel="0" collapsed="false">
      <c r="B807" s="14" t="n">
        <v>113</v>
      </c>
      <c r="C807" s="11" t="s">
        <v>96</v>
      </c>
      <c r="D807" s="17" t="n">
        <v>30</v>
      </c>
      <c r="E807" s="11" t="s">
        <v>84</v>
      </c>
      <c r="F807" s="14" t="str">
        <f aca="false">IFERROR(VLOOKUP(C807,Ingredients!$B$6:$I$206,7,FALSE()),"?")</f>
        <v>ml</v>
      </c>
      <c r="G807" s="31" t="n">
        <f aca="false">IFERROR(VLOOKUP(C807,Ingredients!$B$6:$I$206,6,FALSE()),0)</f>
        <v>0.005</v>
      </c>
      <c r="H807" s="32" t="n">
        <f aca="false">IFERROR(D807*G807,0)</f>
        <v>0.15</v>
      </c>
    </row>
    <row r="808" customFormat="false" ht="15" hidden="false" customHeight="true" outlineLevel="0" collapsed="false">
      <c r="B808" s="14" t="n">
        <v>114</v>
      </c>
      <c r="C808" s="11" t="s">
        <v>77</v>
      </c>
      <c r="D808" s="17" t="n">
        <v>0.036</v>
      </c>
      <c r="E808" s="11" t="s">
        <v>79</v>
      </c>
      <c r="F808" s="14" t="str">
        <f aca="false">IFERROR(VLOOKUP(C808,Ingredients!$B$6:$I$206,7,FALSE()),"?")</f>
        <v>kg</v>
      </c>
      <c r="G808" s="31" t="n">
        <f aca="false">IFERROR(VLOOKUP(C808,Ingredients!$B$6:$I$206,6,FALSE()),0)</f>
        <v>16.25</v>
      </c>
      <c r="H808" s="32" t="n">
        <f aca="false">IFERROR(D808*G808,0)</f>
        <v>0.585</v>
      </c>
    </row>
    <row r="809" customFormat="false" ht="15" hidden="false" customHeight="true" outlineLevel="0" collapsed="false">
      <c r="B809" s="14" t="n">
        <v>114</v>
      </c>
      <c r="C809" s="11" t="s">
        <v>63</v>
      </c>
      <c r="D809" s="17" t="n">
        <v>0.15</v>
      </c>
      <c r="E809" s="11" t="s">
        <v>65</v>
      </c>
      <c r="F809" s="14" t="str">
        <f aca="false">IFERROR(VLOOKUP(C809,Ingredients!$B$6:$I$206,7,FALSE()),"?")</f>
        <v>L</v>
      </c>
      <c r="G809" s="31" t="n">
        <f aca="false">IFERROR(VLOOKUP(C809,Ingredients!$B$6:$I$206,6,FALSE()),0)</f>
        <v>0.732745961820852</v>
      </c>
      <c r="H809" s="32" t="n">
        <f aca="false">IFERROR(D809*G809,0)</f>
        <v>0.109911894273128</v>
      </c>
    </row>
    <row r="810" customFormat="false" ht="15" hidden="false" customHeight="true" outlineLevel="0" collapsed="false">
      <c r="B810" s="14" t="n">
        <v>114</v>
      </c>
      <c r="C810" s="11" t="s">
        <v>138</v>
      </c>
      <c r="D810" s="17" t="n">
        <v>1</v>
      </c>
      <c r="E810" s="11" t="s">
        <v>112</v>
      </c>
      <c r="F810" s="14" t="str">
        <f aca="false">IFERROR(VLOOKUP(C810,Ingredients!$B$6:$I$206,7,FALSE()),"?")</f>
        <v>unit</v>
      </c>
      <c r="G810" s="31" t="n">
        <f aca="false">IFERROR(VLOOKUP(C810,Ingredients!$B$6:$I$206,6,FALSE()),0)</f>
        <v>0.11</v>
      </c>
      <c r="H810" s="32" t="n">
        <f aca="false">IFERROR(D810*G810,0)</f>
        <v>0.11</v>
      </c>
    </row>
    <row r="811" customFormat="false" ht="15" hidden="false" customHeight="true" outlineLevel="0" collapsed="false">
      <c r="B811" s="14" t="n">
        <v>114</v>
      </c>
      <c r="C811" s="11" t="s">
        <v>140</v>
      </c>
      <c r="D811" s="17" t="n">
        <v>1</v>
      </c>
      <c r="E811" s="11" t="s">
        <v>112</v>
      </c>
      <c r="F811" s="14" t="str">
        <f aca="false">IFERROR(VLOOKUP(C811,Ingredients!$B$6:$I$206,7,FALSE()),"?")</f>
        <v>unit</v>
      </c>
      <c r="G811" s="31" t="n">
        <f aca="false">IFERROR(VLOOKUP(C811,Ingredients!$B$6:$I$206,6,FALSE()),0)</f>
        <v>0.03</v>
      </c>
      <c r="H811" s="32" t="n">
        <f aca="false">IFERROR(D811*G811,0)</f>
        <v>0.03</v>
      </c>
    </row>
    <row r="812" customFormat="false" ht="15" hidden="false" customHeight="true" outlineLevel="0" collapsed="false">
      <c r="B812" s="14" t="n">
        <v>114</v>
      </c>
      <c r="C812" s="11" t="s">
        <v>96</v>
      </c>
      <c r="D812" s="17" t="n">
        <v>30</v>
      </c>
      <c r="E812" s="11" t="s">
        <v>84</v>
      </c>
      <c r="F812" s="14" t="str">
        <f aca="false">IFERROR(VLOOKUP(C812,Ingredients!$B$6:$I$206,7,FALSE()),"?")</f>
        <v>ml</v>
      </c>
      <c r="G812" s="31" t="n">
        <f aca="false">IFERROR(VLOOKUP(C812,Ingredients!$B$6:$I$206,6,FALSE()),0)</f>
        <v>0.005</v>
      </c>
      <c r="H812" s="32" t="n">
        <f aca="false">IFERROR(D812*G812,0)</f>
        <v>0.15</v>
      </c>
    </row>
    <row r="813" customFormat="false" ht="15" hidden="false" customHeight="true" outlineLevel="0" collapsed="false">
      <c r="B813" s="14" t="n">
        <v>115</v>
      </c>
      <c r="C813" s="11" t="s">
        <v>77</v>
      </c>
      <c r="D813" s="17" t="n">
        <v>0.036</v>
      </c>
      <c r="E813" s="11" t="s">
        <v>79</v>
      </c>
      <c r="F813" s="14" t="str">
        <f aca="false">IFERROR(VLOOKUP(C813,Ingredients!$B$6:$I$206,7,FALSE()),"?")</f>
        <v>kg</v>
      </c>
      <c r="G813" s="31" t="n">
        <f aca="false">IFERROR(VLOOKUP(C813,Ingredients!$B$6:$I$206,6,FALSE()),0)</f>
        <v>16.25</v>
      </c>
      <c r="H813" s="32" t="n">
        <f aca="false">IFERROR(D813*G813,0)</f>
        <v>0.585</v>
      </c>
    </row>
    <row r="814" customFormat="false" ht="15" hidden="false" customHeight="true" outlineLevel="0" collapsed="false">
      <c r="B814" s="14" t="n">
        <v>115</v>
      </c>
      <c r="C814" s="11" t="s">
        <v>63</v>
      </c>
      <c r="D814" s="17" t="n">
        <v>0.2</v>
      </c>
      <c r="E814" s="11" t="s">
        <v>65</v>
      </c>
      <c r="F814" s="14" t="str">
        <f aca="false">IFERROR(VLOOKUP(C814,Ingredients!$B$6:$I$206,7,FALSE()),"?")</f>
        <v>L</v>
      </c>
      <c r="G814" s="31" t="n">
        <f aca="false">IFERROR(VLOOKUP(C814,Ingredients!$B$6:$I$206,6,FALSE()),0)</f>
        <v>0.732745961820852</v>
      </c>
      <c r="H814" s="32" t="n">
        <f aca="false">IFERROR(D814*G814,0)</f>
        <v>0.14654919236417</v>
      </c>
    </row>
    <row r="815" customFormat="false" ht="15" hidden="false" customHeight="true" outlineLevel="0" collapsed="false">
      <c r="B815" s="14" t="n">
        <v>115</v>
      </c>
      <c r="C815" s="11" t="s">
        <v>142</v>
      </c>
      <c r="D815" s="17" t="n">
        <v>1</v>
      </c>
      <c r="E815" s="11" t="s">
        <v>112</v>
      </c>
      <c r="F815" s="14" t="str">
        <f aca="false">IFERROR(VLOOKUP(C815,Ingredients!$B$6:$I$206,7,FALSE()),"?")</f>
        <v>unit</v>
      </c>
      <c r="G815" s="31" t="n">
        <f aca="false">IFERROR(VLOOKUP(C815,Ingredients!$B$6:$I$206,6,FALSE()),0)</f>
        <v>0.14</v>
      </c>
      <c r="H815" s="32" t="n">
        <f aca="false">IFERROR(D815*G815,0)</f>
        <v>0.14</v>
      </c>
    </row>
    <row r="816" customFormat="false" ht="15" hidden="false" customHeight="true" outlineLevel="0" collapsed="false">
      <c r="B816" s="14" t="n">
        <v>115</v>
      </c>
      <c r="C816" s="11" t="s">
        <v>144</v>
      </c>
      <c r="D816" s="17" t="n">
        <v>1</v>
      </c>
      <c r="E816" s="11" t="s">
        <v>112</v>
      </c>
      <c r="F816" s="14" t="str">
        <f aca="false">IFERROR(VLOOKUP(C816,Ingredients!$B$6:$I$206,7,FALSE()),"?")</f>
        <v>unit</v>
      </c>
      <c r="G816" s="31" t="n">
        <f aca="false">IFERROR(VLOOKUP(C816,Ingredients!$B$6:$I$206,6,FALSE()),0)</f>
        <v>0.03</v>
      </c>
      <c r="H816" s="32" t="n">
        <f aca="false">IFERROR(D816*G816,0)</f>
        <v>0.03</v>
      </c>
    </row>
    <row r="817" customFormat="false" ht="15" hidden="false" customHeight="true" outlineLevel="0" collapsed="false">
      <c r="B817" s="14" t="n">
        <v>116</v>
      </c>
      <c r="C817" s="11" t="s">
        <v>77</v>
      </c>
      <c r="D817" s="17" t="n">
        <v>0.036</v>
      </c>
      <c r="E817" s="11" t="s">
        <v>79</v>
      </c>
      <c r="F817" s="14" t="str">
        <f aca="false">IFERROR(VLOOKUP(C817,Ingredients!$B$6:$I$206,7,FALSE()),"?")</f>
        <v>kg</v>
      </c>
      <c r="G817" s="31" t="n">
        <f aca="false">IFERROR(VLOOKUP(C817,Ingredients!$B$6:$I$206,6,FALSE()),0)</f>
        <v>16.25</v>
      </c>
      <c r="H817" s="32" t="n">
        <f aca="false">IFERROR(D817*G817,0)</f>
        <v>0.585</v>
      </c>
    </row>
    <row r="818" customFormat="false" ht="15" hidden="false" customHeight="true" outlineLevel="0" collapsed="false">
      <c r="B818" s="14" t="n">
        <v>116</v>
      </c>
      <c r="C818" s="11" t="s">
        <v>63</v>
      </c>
      <c r="D818" s="17" t="n">
        <v>0.15</v>
      </c>
      <c r="E818" s="11" t="s">
        <v>65</v>
      </c>
      <c r="F818" s="14" t="str">
        <f aca="false">IFERROR(VLOOKUP(C818,Ingredients!$B$6:$I$206,7,FALSE()),"?")</f>
        <v>L</v>
      </c>
      <c r="G818" s="31" t="n">
        <f aca="false">IFERROR(VLOOKUP(C818,Ingredients!$B$6:$I$206,6,FALSE()),0)</f>
        <v>0.732745961820852</v>
      </c>
      <c r="H818" s="32" t="n">
        <f aca="false">IFERROR(D818*G818,0)</f>
        <v>0.109911894273128</v>
      </c>
    </row>
    <row r="819" customFormat="false" ht="15" hidden="false" customHeight="true" outlineLevel="0" collapsed="false">
      <c r="B819" s="14" t="n">
        <v>116</v>
      </c>
      <c r="C819" s="11" t="s">
        <v>138</v>
      </c>
      <c r="D819" s="17" t="n">
        <v>1</v>
      </c>
      <c r="E819" s="11" t="s">
        <v>112</v>
      </c>
      <c r="F819" s="14" t="str">
        <f aca="false">IFERROR(VLOOKUP(C819,Ingredients!$B$6:$I$206,7,FALSE()),"?")</f>
        <v>unit</v>
      </c>
      <c r="G819" s="31" t="n">
        <f aca="false">IFERROR(VLOOKUP(C819,Ingredients!$B$6:$I$206,6,FALSE()),0)</f>
        <v>0.11</v>
      </c>
      <c r="H819" s="32" t="n">
        <f aca="false">IFERROR(D819*G819,0)</f>
        <v>0.11</v>
      </c>
    </row>
    <row r="820" customFormat="false" ht="15" hidden="false" customHeight="true" outlineLevel="0" collapsed="false">
      <c r="B820" s="14" t="n">
        <v>116</v>
      </c>
      <c r="C820" s="11" t="s">
        <v>140</v>
      </c>
      <c r="D820" s="17" t="n">
        <v>1</v>
      </c>
      <c r="E820" s="11" t="s">
        <v>112</v>
      </c>
      <c r="F820" s="14" t="str">
        <f aca="false">IFERROR(VLOOKUP(C820,Ingredients!$B$6:$I$206,7,FALSE()),"?")</f>
        <v>unit</v>
      </c>
      <c r="G820" s="31" t="n">
        <f aca="false">IFERROR(VLOOKUP(C820,Ingredients!$B$6:$I$206,6,FALSE()),0)</f>
        <v>0.03</v>
      </c>
      <c r="H820" s="32" t="n">
        <f aca="false">IFERROR(D820*G820,0)</f>
        <v>0.03</v>
      </c>
    </row>
    <row r="821" customFormat="false" ht="15" hidden="false" customHeight="true" outlineLevel="0" collapsed="false">
      <c r="B821" s="14" t="n">
        <v>117</v>
      </c>
      <c r="C821" s="11" t="s">
        <v>77</v>
      </c>
      <c r="D821" s="17" t="n">
        <v>0.036</v>
      </c>
      <c r="E821" s="11" t="s">
        <v>79</v>
      </c>
      <c r="F821" s="14" t="str">
        <f aca="false">IFERROR(VLOOKUP(C821,Ingredients!$B$6:$I$206,7,FALSE()),"?")</f>
        <v>kg</v>
      </c>
      <c r="G821" s="31" t="n">
        <f aca="false">IFERROR(VLOOKUP(C821,Ingredients!$B$6:$I$206,6,FALSE()),0)</f>
        <v>16.25</v>
      </c>
      <c r="H821" s="32" t="n">
        <f aca="false">IFERROR(D821*G821,0)</f>
        <v>0.585</v>
      </c>
    </row>
    <row r="822" customFormat="false" ht="15" hidden="false" customHeight="true" outlineLevel="0" collapsed="false">
      <c r="B822" s="14" t="n">
        <v>117</v>
      </c>
      <c r="C822" s="11" t="s">
        <v>63</v>
      </c>
      <c r="D822" s="17" t="n">
        <v>0.2</v>
      </c>
      <c r="E822" s="11" t="s">
        <v>65</v>
      </c>
      <c r="F822" s="14" t="str">
        <f aca="false">IFERROR(VLOOKUP(C822,Ingredients!$B$6:$I$206,7,FALSE()),"?")</f>
        <v>L</v>
      </c>
      <c r="G822" s="31" t="n">
        <f aca="false">IFERROR(VLOOKUP(C822,Ingredients!$B$6:$I$206,6,FALSE()),0)</f>
        <v>0.732745961820852</v>
      </c>
      <c r="H822" s="32" t="n">
        <f aca="false">IFERROR(D822*G822,0)</f>
        <v>0.14654919236417</v>
      </c>
    </row>
    <row r="823" customFormat="false" ht="15" hidden="false" customHeight="true" outlineLevel="0" collapsed="false">
      <c r="B823" s="14" t="n">
        <v>117</v>
      </c>
      <c r="C823" s="11" t="s">
        <v>116</v>
      </c>
      <c r="D823" s="17" t="n">
        <v>0.03</v>
      </c>
      <c r="E823" s="11" t="s">
        <v>79</v>
      </c>
      <c r="F823" s="14" t="str">
        <f aca="false">IFERROR(VLOOKUP(C823,Ingredients!$B$6:$I$206,7,FALSE()),"?")</f>
        <v>kg</v>
      </c>
      <c r="G823" s="31" t="n">
        <f aca="false">IFERROR(VLOOKUP(C823,Ingredients!$B$6:$I$206,6,FALSE()),0)</f>
        <v>7</v>
      </c>
      <c r="H823" s="32" t="n">
        <f aca="false">IFERROR(D823*G823,0)</f>
        <v>0.21</v>
      </c>
    </row>
    <row r="824" customFormat="false" ht="15" hidden="false" customHeight="true" outlineLevel="0" collapsed="false">
      <c r="B824" s="14" t="n">
        <v>117</v>
      </c>
      <c r="C824" s="11" t="s">
        <v>142</v>
      </c>
      <c r="D824" s="17" t="n">
        <v>1</v>
      </c>
      <c r="E824" s="11" t="s">
        <v>112</v>
      </c>
      <c r="F824" s="14" t="str">
        <f aca="false">IFERROR(VLOOKUP(C824,Ingredients!$B$6:$I$206,7,FALSE()),"?")</f>
        <v>unit</v>
      </c>
      <c r="G824" s="31" t="n">
        <f aca="false">IFERROR(VLOOKUP(C824,Ingredients!$B$6:$I$206,6,FALSE()),0)</f>
        <v>0.14</v>
      </c>
      <c r="H824" s="32" t="n">
        <f aca="false">IFERROR(D824*G824,0)</f>
        <v>0.14</v>
      </c>
    </row>
    <row r="825" customFormat="false" ht="15" hidden="false" customHeight="true" outlineLevel="0" collapsed="false">
      <c r="B825" s="14" t="n">
        <v>117</v>
      </c>
      <c r="C825" s="11" t="s">
        <v>144</v>
      </c>
      <c r="D825" s="17" t="n">
        <v>1</v>
      </c>
      <c r="E825" s="11" t="s">
        <v>112</v>
      </c>
      <c r="F825" s="14" t="str">
        <f aca="false">IFERROR(VLOOKUP(C825,Ingredients!$B$6:$I$206,7,FALSE()),"?")</f>
        <v>unit</v>
      </c>
      <c r="G825" s="31" t="n">
        <f aca="false">IFERROR(VLOOKUP(C825,Ingredients!$B$6:$I$206,6,FALSE()),0)</f>
        <v>0.03</v>
      </c>
      <c r="H825" s="32" t="n">
        <f aca="false">IFERROR(D825*G825,0)</f>
        <v>0.03</v>
      </c>
    </row>
    <row r="826" customFormat="false" ht="15" hidden="false" customHeight="true" outlineLevel="0" collapsed="false">
      <c r="B826" s="14" t="n">
        <v>117</v>
      </c>
      <c r="C826" s="11" t="s">
        <v>89</v>
      </c>
      <c r="D826" s="17" t="n">
        <v>30</v>
      </c>
      <c r="E826" s="11" t="s">
        <v>84</v>
      </c>
      <c r="F826" s="14" t="str">
        <f aca="false">IFERROR(VLOOKUP(C826,Ingredients!$B$6:$I$206,7,FALSE()),"?")</f>
        <v>ml</v>
      </c>
      <c r="G826" s="31" t="n">
        <f aca="false">IFERROR(VLOOKUP(C826,Ingredients!$B$6:$I$206,6,FALSE()),0)</f>
        <v>0.005</v>
      </c>
      <c r="H826" s="32" t="n">
        <f aca="false">IFERROR(D826*G826,0)</f>
        <v>0.15</v>
      </c>
    </row>
    <row r="827" customFormat="false" ht="15" hidden="false" customHeight="true" outlineLevel="0" collapsed="false">
      <c r="B827" s="14" t="n">
        <v>118</v>
      </c>
      <c r="C827" s="11" t="s">
        <v>77</v>
      </c>
      <c r="D827" s="17" t="n">
        <v>0.036</v>
      </c>
      <c r="E827" s="11" t="s">
        <v>79</v>
      </c>
      <c r="F827" s="14" t="str">
        <f aca="false">IFERROR(VLOOKUP(C827,Ingredients!$B$6:$I$206,7,FALSE()),"?")</f>
        <v>kg</v>
      </c>
      <c r="G827" s="31" t="n">
        <f aca="false">IFERROR(VLOOKUP(C827,Ingredients!$B$6:$I$206,6,FALSE()),0)</f>
        <v>16.25</v>
      </c>
      <c r="H827" s="32" t="n">
        <f aca="false">IFERROR(D827*G827,0)</f>
        <v>0.585</v>
      </c>
    </row>
    <row r="828" customFormat="false" ht="15" hidden="false" customHeight="true" outlineLevel="0" collapsed="false">
      <c r="B828" s="14" t="n">
        <v>118</v>
      </c>
      <c r="C828" s="11" t="s">
        <v>63</v>
      </c>
      <c r="D828" s="17" t="n">
        <v>0.15</v>
      </c>
      <c r="E828" s="11" t="s">
        <v>65</v>
      </c>
      <c r="F828" s="14" t="str">
        <f aca="false">IFERROR(VLOOKUP(C828,Ingredients!$B$6:$I$206,7,FALSE()),"?")</f>
        <v>L</v>
      </c>
      <c r="G828" s="31" t="n">
        <f aca="false">IFERROR(VLOOKUP(C828,Ingredients!$B$6:$I$206,6,FALSE()),0)</f>
        <v>0.732745961820852</v>
      </c>
      <c r="H828" s="32" t="n">
        <f aca="false">IFERROR(D828*G828,0)</f>
        <v>0.109911894273128</v>
      </c>
    </row>
    <row r="829" customFormat="false" ht="15" hidden="false" customHeight="true" outlineLevel="0" collapsed="false">
      <c r="B829" s="14" t="n">
        <v>118</v>
      </c>
      <c r="C829" s="11" t="s">
        <v>116</v>
      </c>
      <c r="D829" s="17" t="n">
        <v>0.02</v>
      </c>
      <c r="E829" s="11" t="s">
        <v>79</v>
      </c>
      <c r="F829" s="14" t="str">
        <f aca="false">IFERROR(VLOOKUP(C829,Ingredients!$B$6:$I$206,7,FALSE()),"?")</f>
        <v>kg</v>
      </c>
      <c r="G829" s="31" t="n">
        <f aca="false">IFERROR(VLOOKUP(C829,Ingredients!$B$6:$I$206,6,FALSE()),0)</f>
        <v>7</v>
      </c>
      <c r="H829" s="32" t="n">
        <f aca="false">IFERROR(D829*G829,0)</f>
        <v>0.14</v>
      </c>
    </row>
    <row r="830" customFormat="false" ht="15" hidden="false" customHeight="true" outlineLevel="0" collapsed="false">
      <c r="B830" s="14" t="n">
        <v>118</v>
      </c>
      <c r="C830" s="11" t="s">
        <v>138</v>
      </c>
      <c r="D830" s="17" t="n">
        <v>1</v>
      </c>
      <c r="E830" s="11" t="s">
        <v>112</v>
      </c>
      <c r="F830" s="14" t="str">
        <f aca="false">IFERROR(VLOOKUP(C830,Ingredients!$B$6:$I$206,7,FALSE()),"?")</f>
        <v>unit</v>
      </c>
      <c r="G830" s="31" t="n">
        <f aca="false">IFERROR(VLOOKUP(C830,Ingredients!$B$6:$I$206,6,FALSE()),0)</f>
        <v>0.11</v>
      </c>
      <c r="H830" s="32" t="n">
        <f aca="false">IFERROR(D830*G830,0)</f>
        <v>0.11</v>
      </c>
    </row>
    <row r="831" customFormat="false" ht="15" hidden="false" customHeight="true" outlineLevel="0" collapsed="false">
      <c r="B831" s="14" t="n">
        <v>118</v>
      </c>
      <c r="C831" s="11" t="s">
        <v>140</v>
      </c>
      <c r="D831" s="17" t="n">
        <v>1</v>
      </c>
      <c r="E831" s="11" t="s">
        <v>112</v>
      </c>
      <c r="F831" s="14" t="str">
        <f aca="false">IFERROR(VLOOKUP(C831,Ingredients!$B$6:$I$206,7,FALSE()),"?")</f>
        <v>unit</v>
      </c>
      <c r="G831" s="31" t="n">
        <f aca="false">IFERROR(VLOOKUP(C831,Ingredients!$B$6:$I$206,6,FALSE()),0)</f>
        <v>0.03</v>
      </c>
      <c r="H831" s="32" t="n">
        <f aca="false">IFERROR(D831*G831,0)</f>
        <v>0.03</v>
      </c>
    </row>
    <row r="832" customFormat="false" ht="15" hidden="false" customHeight="true" outlineLevel="0" collapsed="false">
      <c r="B832" s="14" t="n">
        <v>118</v>
      </c>
      <c r="C832" s="11" t="s">
        <v>89</v>
      </c>
      <c r="D832" s="17" t="n">
        <v>30</v>
      </c>
      <c r="E832" s="11" t="s">
        <v>84</v>
      </c>
      <c r="F832" s="14" t="str">
        <f aca="false">IFERROR(VLOOKUP(C832,Ingredients!$B$6:$I$206,7,FALSE()),"?")</f>
        <v>ml</v>
      </c>
      <c r="G832" s="31" t="n">
        <f aca="false">IFERROR(VLOOKUP(C832,Ingredients!$B$6:$I$206,6,FALSE()),0)</f>
        <v>0.005</v>
      </c>
      <c r="H832" s="32" t="n">
        <f aca="false">IFERROR(D832*G832,0)</f>
        <v>0.15</v>
      </c>
    </row>
    <row r="833" customFormat="false" ht="15" hidden="false" customHeight="true" outlineLevel="0" collapsed="false">
      <c r="B833" s="14" t="n">
        <v>119</v>
      </c>
      <c r="C833" s="11" t="s">
        <v>77</v>
      </c>
      <c r="D833" s="17" t="n">
        <v>0.036</v>
      </c>
      <c r="E833" s="11" t="s">
        <v>79</v>
      </c>
      <c r="F833" s="14" t="str">
        <f aca="false">IFERROR(VLOOKUP(C833,Ingredients!$B$6:$I$206,7,FALSE()),"?")</f>
        <v>kg</v>
      </c>
      <c r="G833" s="31" t="n">
        <f aca="false">IFERROR(VLOOKUP(C833,Ingredients!$B$6:$I$206,6,FALSE()),0)</f>
        <v>16.25</v>
      </c>
      <c r="H833" s="32" t="n">
        <f aca="false">IFERROR(D833*G833,0)</f>
        <v>0.585</v>
      </c>
    </row>
    <row r="834" customFormat="false" ht="15" hidden="false" customHeight="true" outlineLevel="0" collapsed="false">
      <c r="B834" s="14" t="n">
        <v>119</v>
      </c>
      <c r="C834" s="11" t="s">
        <v>63</v>
      </c>
      <c r="D834" s="17" t="n">
        <v>0.2</v>
      </c>
      <c r="E834" s="11" t="s">
        <v>65</v>
      </c>
      <c r="F834" s="14" t="str">
        <f aca="false">IFERROR(VLOOKUP(C834,Ingredients!$B$6:$I$206,7,FALSE()),"?")</f>
        <v>L</v>
      </c>
      <c r="G834" s="31" t="n">
        <f aca="false">IFERROR(VLOOKUP(C834,Ingredients!$B$6:$I$206,6,FALSE()),0)</f>
        <v>0.732745961820852</v>
      </c>
      <c r="H834" s="32" t="n">
        <f aca="false">IFERROR(D834*G834,0)</f>
        <v>0.14654919236417</v>
      </c>
    </row>
    <row r="835" customFormat="false" ht="15" hidden="false" customHeight="true" outlineLevel="0" collapsed="false">
      <c r="B835" s="14" t="n">
        <v>119</v>
      </c>
      <c r="C835" s="11" t="s">
        <v>142</v>
      </c>
      <c r="D835" s="17" t="n">
        <v>1</v>
      </c>
      <c r="E835" s="11" t="s">
        <v>112</v>
      </c>
      <c r="F835" s="14" t="str">
        <f aca="false">IFERROR(VLOOKUP(C835,Ingredients!$B$6:$I$206,7,FALSE()),"?")</f>
        <v>unit</v>
      </c>
      <c r="G835" s="31" t="n">
        <f aca="false">IFERROR(VLOOKUP(C835,Ingredients!$B$6:$I$206,6,FALSE()),0)</f>
        <v>0.14</v>
      </c>
      <c r="H835" s="32" t="n">
        <f aca="false">IFERROR(D835*G835,0)</f>
        <v>0.14</v>
      </c>
    </row>
    <row r="836" customFormat="false" ht="15" hidden="false" customHeight="true" outlineLevel="0" collapsed="false">
      <c r="B836" s="14" t="n">
        <v>119</v>
      </c>
      <c r="C836" s="11" t="s">
        <v>144</v>
      </c>
      <c r="D836" s="17" t="n">
        <v>1</v>
      </c>
      <c r="E836" s="11" t="s">
        <v>112</v>
      </c>
      <c r="F836" s="14" t="str">
        <f aca="false">IFERROR(VLOOKUP(C836,Ingredients!$B$6:$I$206,7,FALSE()),"?")</f>
        <v>unit</v>
      </c>
      <c r="G836" s="31" t="n">
        <f aca="false">IFERROR(VLOOKUP(C836,Ingredients!$B$6:$I$206,6,FALSE()),0)</f>
        <v>0.03</v>
      </c>
      <c r="H836" s="32" t="n">
        <f aca="false">IFERROR(D836*G836,0)</f>
        <v>0.03</v>
      </c>
    </row>
    <row r="837" customFormat="false" ht="15" hidden="false" customHeight="true" outlineLevel="0" collapsed="false">
      <c r="B837" s="14" t="n">
        <v>119</v>
      </c>
      <c r="C837" s="11" t="s">
        <v>88</v>
      </c>
      <c r="D837" s="17" t="n">
        <v>30</v>
      </c>
      <c r="E837" s="11" t="s">
        <v>84</v>
      </c>
      <c r="F837" s="14" t="str">
        <f aca="false">IFERROR(VLOOKUP(C837,Ingredients!$B$6:$I$206,7,FALSE()),"?")</f>
        <v>ml</v>
      </c>
      <c r="G837" s="31" t="n">
        <f aca="false">IFERROR(VLOOKUP(C837,Ingredients!$B$6:$I$206,6,FALSE()),0)</f>
        <v>0.005</v>
      </c>
      <c r="H837" s="32" t="n">
        <f aca="false">IFERROR(D837*G837,0)</f>
        <v>0.15</v>
      </c>
    </row>
    <row r="838" customFormat="false" ht="15" hidden="false" customHeight="true" outlineLevel="0" collapsed="false">
      <c r="B838" s="14" t="n">
        <v>120</v>
      </c>
      <c r="C838" s="11" t="s">
        <v>77</v>
      </c>
      <c r="D838" s="17" t="n">
        <v>0.036</v>
      </c>
      <c r="E838" s="11" t="s">
        <v>79</v>
      </c>
      <c r="F838" s="14" t="str">
        <f aca="false">IFERROR(VLOOKUP(C838,Ingredients!$B$6:$I$206,7,FALSE()),"?")</f>
        <v>kg</v>
      </c>
      <c r="G838" s="31" t="n">
        <f aca="false">IFERROR(VLOOKUP(C838,Ingredients!$B$6:$I$206,6,FALSE()),0)</f>
        <v>16.25</v>
      </c>
      <c r="H838" s="32" t="n">
        <f aca="false">IFERROR(D838*G838,0)</f>
        <v>0.585</v>
      </c>
    </row>
    <row r="839" customFormat="false" ht="15" hidden="false" customHeight="true" outlineLevel="0" collapsed="false">
      <c r="B839" s="14" t="n">
        <v>120</v>
      </c>
      <c r="C839" s="11" t="s">
        <v>63</v>
      </c>
      <c r="D839" s="17" t="n">
        <v>0.15</v>
      </c>
      <c r="E839" s="11" t="s">
        <v>65</v>
      </c>
      <c r="F839" s="14" t="str">
        <f aca="false">IFERROR(VLOOKUP(C839,Ingredients!$B$6:$I$206,7,FALSE()),"?")</f>
        <v>L</v>
      </c>
      <c r="G839" s="31" t="n">
        <f aca="false">IFERROR(VLOOKUP(C839,Ingredients!$B$6:$I$206,6,FALSE()),0)</f>
        <v>0.732745961820852</v>
      </c>
      <c r="H839" s="32" t="n">
        <f aca="false">IFERROR(D839*G839,0)</f>
        <v>0.109911894273128</v>
      </c>
    </row>
    <row r="840" customFormat="false" ht="15" hidden="false" customHeight="true" outlineLevel="0" collapsed="false">
      <c r="B840" s="14" t="n">
        <v>120</v>
      </c>
      <c r="C840" s="11" t="s">
        <v>138</v>
      </c>
      <c r="D840" s="17" t="n">
        <v>1</v>
      </c>
      <c r="E840" s="11" t="s">
        <v>112</v>
      </c>
      <c r="F840" s="14" t="str">
        <f aca="false">IFERROR(VLOOKUP(C840,Ingredients!$B$6:$I$206,7,FALSE()),"?")</f>
        <v>unit</v>
      </c>
      <c r="G840" s="31" t="n">
        <f aca="false">IFERROR(VLOOKUP(C840,Ingredients!$B$6:$I$206,6,FALSE()),0)</f>
        <v>0.11</v>
      </c>
      <c r="H840" s="32" t="n">
        <f aca="false">IFERROR(D840*G840,0)</f>
        <v>0.11</v>
      </c>
    </row>
    <row r="841" customFormat="false" ht="15" hidden="false" customHeight="true" outlineLevel="0" collapsed="false">
      <c r="B841" s="14" t="n">
        <v>120</v>
      </c>
      <c r="C841" s="11" t="s">
        <v>140</v>
      </c>
      <c r="D841" s="17" t="n">
        <v>1</v>
      </c>
      <c r="E841" s="11" t="s">
        <v>112</v>
      </c>
      <c r="F841" s="14" t="str">
        <f aca="false">IFERROR(VLOOKUP(C841,Ingredients!$B$6:$I$206,7,FALSE()),"?")</f>
        <v>unit</v>
      </c>
      <c r="G841" s="31" t="n">
        <f aca="false">IFERROR(VLOOKUP(C841,Ingredients!$B$6:$I$206,6,FALSE()),0)</f>
        <v>0.03</v>
      </c>
      <c r="H841" s="32" t="n">
        <f aca="false">IFERROR(D841*G841,0)</f>
        <v>0.03</v>
      </c>
    </row>
    <row r="842" customFormat="false" ht="15" hidden="false" customHeight="true" outlineLevel="0" collapsed="false">
      <c r="B842" s="14" t="n">
        <v>120</v>
      </c>
      <c r="C842" s="11" t="s">
        <v>88</v>
      </c>
      <c r="D842" s="17" t="n">
        <v>30</v>
      </c>
      <c r="E842" s="11" t="s">
        <v>84</v>
      </c>
      <c r="F842" s="14" t="str">
        <f aca="false">IFERROR(VLOOKUP(C842,Ingredients!$B$6:$I$206,7,FALSE()),"?")</f>
        <v>ml</v>
      </c>
      <c r="G842" s="31" t="n">
        <f aca="false">IFERROR(VLOOKUP(C842,Ingredients!$B$6:$I$206,6,FALSE()),0)</f>
        <v>0.005</v>
      </c>
      <c r="H842" s="32" t="n">
        <f aca="false">IFERROR(D842*G842,0)</f>
        <v>0.15</v>
      </c>
    </row>
    <row r="843" customFormat="false" ht="15" hidden="false" customHeight="true" outlineLevel="0" collapsed="false">
      <c r="B843" s="14" t="n">
        <v>121</v>
      </c>
      <c r="C843" s="11" t="s">
        <v>77</v>
      </c>
      <c r="D843" s="17" t="n">
        <v>0.036</v>
      </c>
      <c r="E843" s="11" t="s">
        <v>79</v>
      </c>
      <c r="F843" s="14" t="str">
        <f aca="false">IFERROR(VLOOKUP(C843,Ingredients!$B$6:$I$206,7,FALSE()),"?")</f>
        <v>kg</v>
      </c>
      <c r="G843" s="31" t="n">
        <f aca="false">IFERROR(VLOOKUP(C843,Ingredients!$B$6:$I$206,6,FALSE()),0)</f>
        <v>16.25</v>
      </c>
      <c r="H843" s="32" t="n">
        <f aca="false">IFERROR(D843*G843,0)</f>
        <v>0.585</v>
      </c>
    </row>
    <row r="844" customFormat="false" ht="15" hidden="false" customHeight="true" outlineLevel="0" collapsed="false">
      <c r="B844" s="14" t="n">
        <v>121</v>
      </c>
      <c r="C844" s="11" t="s">
        <v>63</v>
      </c>
      <c r="D844" s="17" t="n">
        <v>0.2</v>
      </c>
      <c r="E844" s="11" t="s">
        <v>65</v>
      </c>
      <c r="F844" s="14" t="str">
        <f aca="false">IFERROR(VLOOKUP(C844,Ingredients!$B$6:$I$206,7,FALSE()),"?")</f>
        <v>L</v>
      </c>
      <c r="G844" s="31" t="n">
        <f aca="false">IFERROR(VLOOKUP(C844,Ingredients!$B$6:$I$206,6,FALSE()),0)</f>
        <v>0.732745961820852</v>
      </c>
      <c r="H844" s="32" t="n">
        <f aca="false">IFERROR(D844*G844,0)</f>
        <v>0.14654919236417</v>
      </c>
    </row>
    <row r="845" customFormat="false" ht="15" hidden="false" customHeight="true" outlineLevel="0" collapsed="false">
      <c r="B845" s="14" t="n">
        <v>121</v>
      </c>
      <c r="C845" s="11" t="s">
        <v>116</v>
      </c>
      <c r="D845" s="17" t="n">
        <v>0.03</v>
      </c>
      <c r="E845" s="11" t="s">
        <v>79</v>
      </c>
      <c r="F845" s="14" t="str">
        <f aca="false">IFERROR(VLOOKUP(C845,Ingredients!$B$6:$I$206,7,FALSE()),"?")</f>
        <v>kg</v>
      </c>
      <c r="G845" s="31" t="n">
        <f aca="false">IFERROR(VLOOKUP(C845,Ingredients!$B$6:$I$206,6,FALSE()),0)</f>
        <v>7</v>
      </c>
      <c r="H845" s="32" t="n">
        <f aca="false">IFERROR(D845*G845,0)</f>
        <v>0.21</v>
      </c>
    </row>
    <row r="846" customFormat="false" ht="15" hidden="false" customHeight="true" outlineLevel="0" collapsed="false">
      <c r="B846" s="14" t="n">
        <v>121</v>
      </c>
      <c r="C846" s="11" t="s">
        <v>142</v>
      </c>
      <c r="D846" s="17" t="n">
        <v>1</v>
      </c>
      <c r="E846" s="11" t="s">
        <v>112</v>
      </c>
      <c r="F846" s="14" t="str">
        <f aca="false">IFERROR(VLOOKUP(C846,Ingredients!$B$6:$I$206,7,FALSE()),"?")</f>
        <v>unit</v>
      </c>
      <c r="G846" s="31" t="n">
        <f aca="false">IFERROR(VLOOKUP(C846,Ingredients!$B$6:$I$206,6,FALSE()),0)</f>
        <v>0.14</v>
      </c>
      <c r="H846" s="32" t="n">
        <f aca="false">IFERROR(D846*G846,0)</f>
        <v>0.14</v>
      </c>
    </row>
    <row r="847" customFormat="false" ht="15" hidden="false" customHeight="true" outlineLevel="0" collapsed="false">
      <c r="B847" s="14" t="n">
        <v>121</v>
      </c>
      <c r="C847" s="11" t="s">
        <v>144</v>
      </c>
      <c r="D847" s="17" t="n">
        <v>1</v>
      </c>
      <c r="E847" s="11" t="s">
        <v>112</v>
      </c>
      <c r="F847" s="14" t="str">
        <f aca="false">IFERROR(VLOOKUP(C847,Ingredients!$B$6:$I$206,7,FALSE()),"?")</f>
        <v>unit</v>
      </c>
      <c r="G847" s="31" t="n">
        <f aca="false">IFERROR(VLOOKUP(C847,Ingredients!$B$6:$I$206,6,FALSE()),0)</f>
        <v>0.03</v>
      </c>
      <c r="H847" s="32" t="n">
        <f aca="false">IFERROR(D847*G847,0)</f>
        <v>0.03</v>
      </c>
    </row>
    <row r="848" customFormat="false" ht="15" hidden="false" customHeight="true" outlineLevel="0" collapsed="false">
      <c r="B848" s="14" t="n">
        <v>121</v>
      </c>
      <c r="C848" s="11" t="s">
        <v>88</v>
      </c>
      <c r="D848" s="17" t="n">
        <v>30</v>
      </c>
      <c r="E848" s="11" t="s">
        <v>84</v>
      </c>
      <c r="F848" s="14" t="str">
        <f aca="false">IFERROR(VLOOKUP(C848,Ingredients!$B$6:$I$206,7,FALSE()),"?")</f>
        <v>ml</v>
      </c>
      <c r="G848" s="31" t="n">
        <f aca="false">IFERROR(VLOOKUP(C848,Ingredients!$B$6:$I$206,6,FALSE()),0)</f>
        <v>0.005</v>
      </c>
      <c r="H848" s="32" t="n">
        <f aca="false">IFERROR(D848*G848,0)</f>
        <v>0.15</v>
      </c>
    </row>
    <row r="849" customFormat="false" ht="15" hidden="false" customHeight="true" outlineLevel="0" collapsed="false">
      <c r="B849" s="14" t="n">
        <v>122</v>
      </c>
      <c r="C849" s="11" t="s">
        <v>77</v>
      </c>
      <c r="D849" s="17" t="n">
        <v>0.036</v>
      </c>
      <c r="E849" s="11" t="s">
        <v>79</v>
      </c>
      <c r="F849" s="14" t="str">
        <f aca="false">IFERROR(VLOOKUP(C849,Ingredients!$B$6:$I$206,7,FALSE()),"?")</f>
        <v>kg</v>
      </c>
      <c r="G849" s="31" t="n">
        <f aca="false">IFERROR(VLOOKUP(C849,Ingredients!$B$6:$I$206,6,FALSE()),0)</f>
        <v>16.25</v>
      </c>
      <c r="H849" s="32" t="n">
        <f aca="false">IFERROR(D849*G849,0)</f>
        <v>0.585</v>
      </c>
    </row>
    <row r="850" customFormat="false" ht="15" hidden="false" customHeight="true" outlineLevel="0" collapsed="false">
      <c r="B850" s="14" t="n">
        <v>122</v>
      </c>
      <c r="C850" s="11" t="s">
        <v>63</v>
      </c>
      <c r="D850" s="17" t="n">
        <v>0.15</v>
      </c>
      <c r="E850" s="11" t="s">
        <v>65</v>
      </c>
      <c r="F850" s="14" t="str">
        <f aca="false">IFERROR(VLOOKUP(C850,Ingredients!$B$6:$I$206,7,FALSE()),"?")</f>
        <v>L</v>
      </c>
      <c r="G850" s="31" t="n">
        <f aca="false">IFERROR(VLOOKUP(C850,Ingredients!$B$6:$I$206,6,FALSE()),0)</f>
        <v>0.732745961820852</v>
      </c>
      <c r="H850" s="32" t="n">
        <f aca="false">IFERROR(D850*G850,0)</f>
        <v>0.109911894273128</v>
      </c>
    </row>
    <row r="851" customFormat="false" ht="15" hidden="false" customHeight="true" outlineLevel="0" collapsed="false">
      <c r="B851" s="14" t="n">
        <v>122</v>
      </c>
      <c r="C851" s="11" t="s">
        <v>116</v>
      </c>
      <c r="D851" s="17" t="n">
        <v>0.02</v>
      </c>
      <c r="E851" s="11" t="s">
        <v>79</v>
      </c>
      <c r="F851" s="14" t="str">
        <f aca="false">IFERROR(VLOOKUP(C851,Ingredients!$B$6:$I$206,7,FALSE()),"?")</f>
        <v>kg</v>
      </c>
      <c r="G851" s="31" t="n">
        <f aca="false">IFERROR(VLOOKUP(C851,Ingredients!$B$6:$I$206,6,FALSE()),0)</f>
        <v>7</v>
      </c>
      <c r="H851" s="32" t="n">
        <f aca="false">IFERROR(D851*G851,0)</f>
        <v>0.14</v>
      </c>
    </row>
    <row r="852" customFormat="false" ht="15" hidden="false" customHeight="true" outlineLevel="0" collapsed="false">
      <c r="B852" s="14" t="n">
        <v>122</v>
      </c>
      <c r="C852" s="11" t="s">
        <v>138</v>
      </c>
      <c r="D852" s="17" t="n">
        <v>1</v>
      </c>
      <c r="E852" s="11" t="s">
        <v>112</v>
      </c>
      <c r="F852" s="14" t="str">
        <f aca="false">IFERROR(VLOOKUP(C852,Ingredients!$B$6:$I$206,7,FALSE()),"?")</f>
        <v>unit</v>
      </c>
      <c r="G852" s="31" t="n">
        <f aca="false">IFERROR(VLOOKUP(C852,Ingredients!$B$6:$I$206,6,FALSE()),0)</f>
        <v>0.11</v>
      </c>
      <c r="H852" s="32" t="n">
        <f aca="false">IFERROR(D852*G852,0)</f>
        <v>0.11</v>
      </c>
    </row>
    <row r="853" customFormat="false" ht="15" hidden="false" customHeight="true" outlineLevel="0" collapsed="false">
      <c r="B853" s="14" t="n">
        <v>122</v>
      </c>
      <c r="C853" s="11" t="s">
        <v>140</v>
      </c>
      <c r="D853" s="17" t="n">
        <v>1</v>
      </c>
      <c r="E853" s="11" t="s">
        <v>112</v>
      </c>
      <c r="F853" s="14" t="str">
        <f aca="false">IFERROR(VLOOKUP(C853,Ingredients!$B$6:$I$206,7,FALSE()),"?")</f>
        <v>unit</v>
      </c>
      <c r="G853" s="31" t="n">
        <f aca="false">IFERROR(VLOOKUP(C853,Ingredients!$B$6:$I$206,6,FALSE()),0)</f>
        <v>0.03</v>
      </c>
      <c r="H853" s="32" t="n">
        <f aca="false">IFERROR(D853*G853,0)</f>
        <v>0.03</v>
      </c>
    </row>
    <row r="854" customFormat="false" ht="15" hidden="false" customHeight="true" outlineLevel="0" collapsed="false">
      <c r="B854" s="14" t="n">
        <v>122</v>
      </c>
      <c r="C854" s="11" t="s">
        <v>88</v>
      </c>
      <c r="D854" s="17" t="n">
        <v>30</v>
      </c>
      <c r="E854" s="11" t="s">
        <v>84</v>
      </c>
      <c r="F854" s="14" t="str">
        <f aca="false">IFERROR(VLOOKUP(C854,Ingredients!$B$6:$I$206,7,FALSE()),"?")</f>
        <v>ml</v>
      </c>
      <c r="G854" s="31" t="n">
        <f aca="false">IFERROR(VLOOKUP(C854,Ingredients!$B$6:$I$206,6,FALSE()),0)</f>
        <v>0.005</v>
      </c>
      <c r="H854" s="32" t="n">
        <f aca="false">IFERROR(D854*G854,0)</f>
        <v>0.15</v>
      </c>
    </row>
    <row r="855" customFormat="false" ht="15" hidden="false" customHeight="true" outlineLevel="0" collapsed="false">
      <c r="B855" s="14" t="n">
        <v>123</v>
      </c>
      <c r="C855" s="11" t="s">
        <v>110</v>
      </c>
      <c r="D855" s="17" t="n">
        <v>1</v>
      </c>
      <c r="E855" s="11" t="s">
        <v>112</v>
      </c>
      <c r="F855" s="14" t="str">
        <f aca="false">IFERROR(VLOOKUP(C855,Ingredients!$B$6:$I$206,7,FALSE()),"?")</f>
        <v>unit</v>
      </c>
      <c r="G855" s="31" t="n">
        <f aca="false">IFERROR(VLOOKUP(C855,Ingredients!$B$6:$I$206,6,FALSE()),0)</f>
        <v>0.059875</v>
      </c>
      <c r="H855" s="32" t="n">
        <f aca="false">IFERROR(D855*G855,0)</f>
        <v>0.059875</v>
      </c>
    </row>
    <row r="856" customFormat="false" ht="15" hidden="false" customHeight="true" outlineLevel="0" collapsed="false">
      <c r="B856" s="14" t="n">
        <v>123</v>
      </c>
      <c r="C856" s="11" t="s">
        <v>88</v>
      </c>
      <c r="D856" s="17" t="n">
        <v>30</v>
      </c>
      <c r="E856" s="11" t="s">
        <v>84</v>
      </c>
      <c r="F856" s="14" t="str">
        <f aca="false">IFERROR(VLOOKUP(C856,Ingredients!$B$6:$I$206,7,FALSE()),"?")</f>
        <v>ml</v>
      </c>
      <c r="G856" s="31" t="n">
        <f aca="false">IFERROR(VLOOKUP(C856,Ingredients!$B$6:$I$206,6,FALSE()),0)</f>
        <v>0.005</v>
      </c>
      <c r="H856" s="32" t="n">
        <f aca="false">IFERROR(D856*G856,0)</f>
        <v>0.15</v>
      </c>
    </row>
    <row r="857" customFormat="false" ht="15" hidden="false" customHeight="true" outlineLevel="0" collapsed="false">
      <c r="B857" s="14" t="n">
        <v>123</v>
      </c>
      <c r="C857" s="11" t="s">
        <v>142</v>
      </c>
      <c r="D857" s="17" t="n">
        <v>1</v>
      </c>
      <c r="E857" s="11" t="s">
        <v>112</v>
      </c>
      <c r="F857" s="14" t="str">
        <f aca="false">IFERROR(VLOOKUP(C857,Ingredients!$B$6:$I$206,7,FALSE()),"?")</f>
        <v>unit</v>
      </c>
      <c r="G857" s="31" t="n">
        <f aca="false">IFERROR(VLOOKUP(C857,Ingredients!$B$6:$I$206,6,FALSE()),0)</f>
        <v>0.14</v>
      </c>
      <c r="H857" s="32" t="n">
        <f aca="false">IFERROR(D857*G857,0)</f>
        <v>0.14</v>
      </c>
    </row>
    <row r="858" customFormat="false" ht="15" hidden="false" customHeight="true" outlineLevel="0" collapsed="false">
      <c r="B858" s="14" t="n">
        <v>123</v>
      </c>
      <c r="C858" s="11" t="s">
        <v>144</v>
      </c>
      <c r="D858" s="17" t="n">
        <v>1</v>
      </c>
      <c r="E858" s="11" t="s">
        <v>112</v>
      </c>
      <c r="F858" s="14" t="str">
        <f aca="false">IFERROR(VLOOKUP(C858,Ingredients!$B$6:$I$206,7,FALSE()),"?")</f>
        <v>unit</v>
      </c>
      <c r="G858" s="31" t="n">
        <f aca="false">IFERROR(VLOOKUP(C858,Ingredients!$B$6:$I$206,6,FALSE()),0)</f>
        <v>0.03</v>
      </c>
      <c r="H858" s="32" t="n">
        <f aca="false">IFERROR(D858*G858,0)</f>
        <v>0.03</v>
      </c>
    </row>
    <row r="859" customFormat="false" ht="15" hidden="false" customHeight="true" outlineLevel="0" collapsed="false">
      <c r="B859" s="14" t="n">
        <v>124</v>
      </c>
      <c r="C859" s="11" t="s">
        <v>110</v>
      </c>
      <c r="D859" s="17" t="n">
        <v>1</v>
      </c>
      <c r="E859" s="11" t="s">
        <v>112</v>
      </c>
      <c r="F859" s="14" t="str">
        <f aca="false">IFERROR(VLOOKUP(C859,Ingredients!$B$6:$I$206,7,FALSE()),"?")</f>
        <v>unit</v>
      </c>
      <c r="G859" s="31" t="n">
        <f aca="false">IFERROR(VLOOKUP(C859,Ingredients!$B$6:$I$206,6,FALSE()),0)</f>
        <v>0.059875</v>
      </c>
      <c r="H859" s="32" t="n">
        <f aca="false">IFERROR(D859*G859,0)</f>
        <v>0.059875</v>
      </c>
    </row>
    <row r="860" customFormat="false" ht="15" hidden="false" customHeight="true" outlineLevel="0" collapsed="false">
      <c r="B860" s="14" t="n">
        <v>124</v>
      </c>
      <c r="C860" s="11" t="s">
        <v>88</v>
      </c>
      <c r="D860" s="17" t="n">
        <v>30</v>
      </c>
      <c r="E860" s="11" t="s">
        <v>84</v>
      </c>
      <c r="F860" s="14" t="str">
        <f aca="false">IFERROR(VLOOKUP(C860,Ingredients!$B$6:$I$206,7,FALSE()),"?")</f>
        <v>ml</v>
      </c>
      <c r="G860" s="31" t="n">
        <f aca="false">IFERROR(VLOOKUP(C860,Ingredients!$B$6:$I$206,6,FALSE()),0)</f>
        <v>0.005</v>
      </c>
      <c r="H860" s="32" t="n">
        <f aca="false">IFERROR(D860*G860,0)</f>
        <v>0.15</v>
      </c>
    </row>
    <row r="861" customFormat="false" ht="15" hidden="false" customHeight="true" outlineLevel="0" collapsed="false">
      <c r="B861" s="14" t="n">
        <v>124</v>
      </c>
      <c r="C861" s="11" t="s">
        <v>138</v>
      </c>
      <c r="D861" s="17" t="n">
        <v>1</v>
      </c>
      <c r="E861" s="11" t="s">
        <v>112</v>
      </c>
      <c r="F861" s="14" t="str">
        <f aca="false">IFERROR(VLOOKUP(C861,Ingredients!$B$6:$I$206,7,FALSE()),"?")</f>
        <v>unit</v>
      </c>
      <c r="G861" s="31" t="n">
        <f aca="false">IFERROR(VLOOKUP(C861,Ingredients!$B$6:$I$206,6,FALSE()),0)</f>
        <v>0.11</v>
      </c>
      <c r="H861" s="32" t="n">
        <f aca="false">IFERROR(D861*G861,0)</f>
        <v>0.11</v>
      </c>
    </row>
    <row r="862" customFormat="false" ht="15" hidden="false" customHeight="true" outlineLevel="0" collapsed="false">
      <c r="B862" s="14" t="n">
        <v>124</v>
      </c>
      <c r="C862" s="11" t="s">
        <v>140</v>
      </c>
      <c r="D862" s="17" t="n">
        <v>1</v>
      </c>
      <c r="E862" s="11" t="s">
        <v>112</v>
      </c>
      <c r="F862" s="14" t="str">
        <f aca="false">IFERROR(VLOOKUP(C862,Ingredients!$B$6:$I$206,7,FALSE()),"?")</f>
        <v>unit</v>
      </c>
      <c r="G862" s="31" t="n">
        <f aca="false">IFERROR(VLOOKUP(C862,Ingredients!$B$6:$I$206,6,FALSE()),0)</f>
        <v>0.03</v>
      </c>
      <c r="H862" s="32" t="n">
        <f aca="false">IFERROR(D862*G862,0)</f>
        <v>0.03</v>
      </c>
    </row>
    <row r="863" customFormat="false" ht="15" hidden="false" customHeight="true" outlineLevel="0" collapsed="false">
      <c r="B863" s="14" t="n">
        <v>125</v>
      </c>
      <c r="C863" s="11" t="s">
        <v>77</v>
      </c>
      <c r="D863" s="17" t="n">
        <v>0.036</v>
      </c>
      <c r="E863" s="11" t="s">
        <v>79</v>
      </c>
      <c r="F863" s="14" t="str">
        <f aca="false">IFERROR(VLOOKUP(C863,Ingredients!$B$6:$I$206,7,FALSE()),"?")</f>
        <v>kg</v>
      </c>
      <c r="G863" s="31" t="n">
        <f aca="false">IFERROR(VLOOKUP(C863,Ingredients!$B$6:$I$206,6,FALSE()),0)</f>
        <v>16.25</v>
      </c>
      <c r="H863" s="32" t="n">
        <f aca="false">IFERROR(D863*G863,0)</f>
        <v>0.585</v>
      </c>
    </row>
    <row r="864" customFormat="false" ht="15" hidden="false" customHeight="true" outlineLevel="0" collapsed="false">
      <c r="B864" s="14" t="n">
        <v>125</v>
      </c>
      <c r="C864" s="11" t="s">
        <v>63</v>
      </c>
      <c r="D864" s="17" t="n">
        <v>0.2</v>
      </c>
      <c r="E864" s="11" t="s">
        <v>65</v>
      </c>
      <c r="F864" s="14" t="str">
        <f aca="false">IFERROR(VLOOKUP(C864,Ingredients!$B$6:$I$206,7,FALSE()),"?")</f>
        <v>L</v>
      </c>
      <c r="G864" s="31" t="n">
        <f aca="false">IFERROR(VLOOKUP(C864,Ingredients!$B$6:$I$206,6,FALSE()),0)</f>
        <v>0.732745961820852</v>
      </c>
      <c r="H864" s="32" t="n">
        <f aca="false">IFERROR(D864*G864,0)</f>
        <v>0.14654919236417</v>
      </c>
    </row>
    <row r="865" customFormat="false" ht="15" hidden="false" customHeight="true" outlineLevel="0" collapsed="false">
      <c r="B865" s="14" t="n">
        <v>125</v>
      </c>
      <c r="C865" s="11" t="s">
        <v>119</v>
      </c>
      <c r="D865" s="17" t="n">
        <v>0.03</v>
      </c>
      <c r="E865" s="11" t="s">
        <v>79</v>
      </c>
      <c r="F865" s="14" t="str">
        <f aca="false">IFERROR(VLOOKUP(C865,Ingredients!$B$6:$I$206,7,FALSE()),"?")</f>
        <v>ml</v>
      </c>
      <c r="G865" s="31" t="n">
        <f aca="false">IFERROR(VLOOKUP(C865,Ingredients!$B$6:$I$206,6,FALSE()),0)</f>
        <v>6</v>
      </c>
      <c r="H865" s="32" t="n">
        <f aca="false">IFERROR(D865*G865,0)</f>
        <v>0.18</v>
      </c>
    </row>
    <row r="866" customFormat="false" ht="15" hidden="false" customHeight="true" outlineLevel="0" collapsed="false">
      <c r="B866" s="14" t="n">
        <v>125</v>
      </c>
      <c r="C866" s="11" t="s">
        <v>142</v>
      </c>
      <c r="D866" s="17" t="n">
        <v>1</v>
      </c>
      <c r="E866" s="11" t="s">
        <v>112</v>
      </c>
      <c r="F866" s="14" t="str">
        <f aca="false">IFERROR(VLOOKUP(C866,Ingredients!$B$6:$I$206,7,FALSE()),"?")</f>
        <v>unit</v>
      </c>
      <c r="G866" s="31" t="n">
        <f aca="false">IFERROR(VLOOKUP(C866,Ingredients!$B$6:$I$206,6,FALSE()),0)</f>
        <v>0.14</v>
      </c>
      <c r="H866" s="32" t="n">
        <f aca="false">IFERROR(D866*G866,0)</f>
        <v>0.14</v>
      </c>
    </row>
    <row r="867" customFormat="false" ht="15" hidden="false" customHeight="true" outlineLevel="0" collapsed="false">
      <c r="B867" s="14" t="n">
        <v>125</v>
      </c>
      <c r="C867" s="11" t="s">
        <v>144</v>
      </c>
      <c r="D867" s="17" t="n">
        <v>1</v>
      </c>
      <c r="E867" s="11" t="s">
        <v>112</v>
      </c>
      <c r="F867" s="14" t="str">
        <f aca="false">IFERROR(VLOOKUP(C867,Ingredients!$B$6:$I$206,7,FALSE()),"?")</f>
        <v>unit</v>
      </c>
      <c r="G867" s="31" t="n">
        <f aca="false">IFERROR(VLOOKUP(C867,Ingredients!$B$6:$I$206,6,FALSE()),0)</f>
        <v>0.03</v>
      </c>
      <c r="H867" s="32" t="n">
        <f aca="false">IFERROR(D867*G867,0)</f>
        <v>0.03</v>
      </c>
    </row>
    <row r="868" customFormat="false" ht="15" hidden="false" customHeight="true" outlineLevel="0" collapsed="false">
      <c r="B868" s="14" t="n">
        <v>125</v>
      </c>
      <c r="C868" s="11" t="s">
        <v>88</v>
      </c>
      <c r="D868" s="17" t="n">
        <v>30</v>
      </c>
      <c r="E868" s="11" t="s">
        <v>84</v>
      </c>
      <c r="F868" s="14" t="str">
        <f aca="false">IFERROR(VLOOKUP(C868,Ingredients!$B$6:$I$206,7,FALSE()),"?")</f>
        <v>ml</v>
      </c>
      <c r="G868" s="31" t="n">
        <f aca="false">IFERROR(VLOOKUP(C868,Ingredients!$B$6:$I$206,6,FALSE()),0)</f>
        <v>0.005</v>
      </c>
      <c r="H868" s="32" t="n">
        <f aca="false">IFERROR(D868*G868,0)</f>
        <v>0.15</v>
      </c>
    </row>
    <row r="869" customFormat="false" ht="15" hidden="false" customHeight="true" outlineLevel="0" collapsed="false">
      <c r="B869" s="14" t="n">
        <v>126</v>
      </c>
      <c r="C869" s="11" t="s">
        <v>77</v>
      </c>
      <c r="D869" s="17" t="n">
        <v>0.036</v>
      </c>
      <c r="E869" s="11" t="s">
        <v>79</v>
      </c>
      <c r="F869" s="14" t="str">
        <f aca="false">IFERROR(VLOOKUP(C869,Ingredients!$B$6:$I$206,7,FALSE()),"?")</f>
        <v>kg</v>
      </c>
      <c r="G869" s="31" t="n">
        <f aca="false">IFERROR(VLOOKUP(C869,Ingredients!$B$6:$I$206,6,FALSE()),0)</f>
        <v>16.25</v>
      </c>
      <c r="H869" s="32" t="n">
        <f aca="false">IFERROR(D869*G869,0)</f>
        <v>0.585</v>
      </c>
    </row>
    <row r="870" customFormat="false" ht="15" hidden="false" customHeight="true" outlineLevel="0" collapsed="false">
      <c r="B870" s="14" t="n">
        <v>126</v>
      </c>
      <c r="C870" s="11" t="s">
        <v>63</v>
      </c>
      <c r="D870" s="17" t="n">
        <v>0.15</v>
      </c>
      <c r="E870" s="11" t="s">
        <v>65</v>
      </c>
      <c r="F870" s="14" t="str">
        <f aca="false">IFERROR(VLOOKUP(C870,Ingredients!$B$6:$I$206,7,FALSE()),"?")</f>
        <v>L</v>
      </c>
      <c r="G870" s="31" t="n">
        <f aca="false">IFERROR(VLOOKUP(C870,Ingredients!$B$6:$I$206,6,FALSE()),0)</f>
        <v>0.732745961820852</v>
      </c>
      <c r="H870" s="32" t="n">
        <f aca="false">IFERROR(D870*G870,0)</f>
        <v>0.109911894273128</v>
      </c>
    </row>
    <row r="871" customFormat="false" ht="15" hidden="false" customHeight="true" outlineLevel="0" collapsed="false">
      <c r="B871" s="14" t="n">
        <v>126</v>
      </c>
      <c r="C871" s="11" t="s">
        <v>119</v>
      </c>
      <c r="D871" s="17" t="n">
        <v>0.02</v>
      </c>
      <c r="E871" s="11" t="s">
        <v>79</v>
      </c>
      <c r="F871" s="14" t="str">
        <f aca="false">IFERROR(VLOOKUP(C871,Ingredients!$B$6:$I$206,7,FALSE()),"?")</f>
        <v>ml</v>
      </c>
      <c r="G871" s="31" t="n">
        <f aca="false">IFERROR(VLOOKUP(C871,Ingredients!$B$6:$I$206,6,FALSE()),0)</f>
        <v>6</v>
      </c>
      <c r="H871" s="32" t="n">
        <f aca="false">IFERROR(D871*G871,0)</f>
        <v>0.12</v>
      </c>
    </row>
    <row r="872" customFormat="false" ht="15" hidden="false" customHeight="true" outlineLevel="0" collapsed="false">
      <c r="B872" s="14" t="n">
        <v>126</v>
      </c>
      <c r="C872" s="11" t="s">
        <v>138</v>
      </c>
      <c r="D872" s="17" t="n">
        <v>1</v>
      </c>
      <c r="E872" s="11" t="s">
        <v>112</v>
      </c>
      <c r="F872" s="14" t="str">
        <f aca="false">IFERROR(VLOOKUP(C872,Ingredients!$B$6:$I$206,7,FALSE()),"?")</f>
        <v>unit</v>
      </c>
      <c r="G872" s="31" t="n">
        <f aca="false">IFERROR(VLOOKUP(C872,Ingredients!$B$6:$I$206,6,FALSE()),0)</f>
        <v>0.11</v>
      </c>
      <c r="H872" s="32" t="n">
        <f aca="false">IFERROR(D872*G872,0)</f>
        <v>0.11</v>
      </c>
    </row>
    <row r="873" customFormat="false" ht="15" hidden="false" customHeight="true" outlineLevel="0" collapsed="false">
      <c r="B873" s="14" t="n">
        <v>126</v>
      </c>
      <c r="C873" s="11" t="s">
        <v>140</v>
      </c>
      <c r="D873" s="17" t="n">
        <v>1</v>
      </c>
      <c r="E873" s="11" t="s">
        <v>112</v>
      </c>
      <c r="F873" s="14" t="str">
        <f aca="false">IFERROR(VLOOKUP(C873,Ingredients!$B$6:$I$206,7,FALSE()),"?")</f>
        <v>unit</v>
      </c>
      <c r="G873" s="31" t="n">
        <f aca="false">IFERROR(VLOOKUP(C873,Ingredients!$B$6:$I$206,6,FALSE()),0)</f>
        <v>0.03</v>
      </c>
      <c r="H873" s="32" t="n">
        <f aca="false">IFERROR(D873*G873,0)</f>
        <v>0.03</v>
      </c>
    </row>
    <row r="874" customFormat="false" ht="15" hidden="false" customHeight="true" outlineLevel="0" collapsed="false">
      <c r="B874" s="14" t="n">
        <v>126</v>
      </c>
      <c r="C874" s="11" t="s">
        <v>88</v>
      </c>
      <c r="D874" s="17" t="n">
        <v>30</v>
      </c>
      <c r="E874" s="11" t="s">
        <v>84</v>
      </c>
      <c r="F874" s="14" t="str">
        <f aca="false">IFERROR(VLOOKUP(C874,Ingredients!$B$6:$I$206,7,FALSE()),"?")</f>
        <v>ml</v>
      </c>
      <c r="G874" s="31" t="n">
        <f aca="false">IFERROR(VLOOKUP(C874,Ingredients!$B$6:$I$206,6,FALSE()),0)</f>
        <v>0.005</v>
      </c>
      <c r="H874" s="32" t="n">
        <f aca="false">IFERROR(D874*G874,0)</f>
        <v>0.15</v>
      </c>
    </row>
    <row r="875" customFormat="false" ht="15" hidden="false" customHeight="true" outlineLevel="0" collapsed="false">
      <c r="B875" s="14" t="n">
        <v>127</v>
      </c>
      <c r="C875" s="11" t="s">
        <v>77</v>
      </c>
      <c r="D875" s="17" t="n">
        <v>0.036</v>
      </c>
      <c r="E875" s="11" t="s">
        <v>79</v>
      </c>
      <c r="F875" s="14" t="str">
        <f aca="false">IFERROR(VLOOKUP(C875,Ingredients!$B$6:$I$206,7,FALSE()),"?")</f>
        <v>kg</v>
      </c>
      <c r="G875" s="31" t="n">
        <f aca="false">IFERROR(VLOOKUP(C875,Ingredients!$B$6:$I$206,6,FALSE()),0)</f>
        <v>16.25</v>
      </c>
      <c r="H875" s="32" t="n">
        <f aca="false">IFERROR(D875*G875,0)</f>
        <v>0.585</v>
      </c>
    </row>
    <row r="876" customFormat="false" ht="15" hidden="false" customHeight="true" outlineLevel="0" collapsed="false">
      <c r="B876" s="14" t="n">
        <v>127</v>
      </c>
      <c r="C876" s="11" t="s">
        <v>63</v>
      </c>
      <c r="D876" s="17" t="n">
        <v>0.2</v>
      </c>
      <c r="E876" s="11" t="s">
        <v>65</v>
      </c>
      <c r="F876" s="14" t="str">
        <f aca="false">IFERROR(VLOOKUP(C876,Ingredients!$B$6:$I$206,7,FALSE()),"?")</f>
        <v>L</v>
      </c>
      <c r="G876" s="31" t="n">
        <f aca="false">IFERROR(VLOOKUP(C876,Ingredients!$B$6:$I$206,6,FALSE()),0)</f>
        <v>0.732745961820852</v>
      </c>
      <c r="H876" s="32" t="n">
        <f aca="false">IFERROR(D876*G876,0)</f>
        <v>0.14654919236417</v>
      </c>
    </row>
    <row r="877" customFormat="false" ht="15" hidden="false" customHeight="true" outlineLevel="0" collapsed="false">
      <c r="B877" s="14" t="n">
        <v>127</v>
      </c>
      <c r="C877" s="11" t="s">
        <v>142</v>
      </c>
      <c r="D877" s="17" t="n">
        <v>1</v>
      </c>
      <c r="E877" s="11" t="s">
        <v>112</v>
      </c>
      <c r="F877" s="14" t="str">
        <f aca="false">IFERROR(VLOOKUP(C877,Ingredients!$B$6:$I$206,7,FALSE()),"?")</f>
        <v>unit</v>
      </c>
      <c r="G877" s="31" t="n">
        <f aca="false">IFERROR(VLOOKUP(C877,Ingredients!$B$6:$I$206,6,FALSE()),0)</f>
        <v>0.14</v>
      </c>
      <c r="H877" s="32" t="n">
        <f aca="false">IFERROR(D877*G877,0)</f>
        <v>0.14</v>
      </c>
    </row>
    <row r="878" customFormat="false" ht="15" hidden="false" customHeight="true" outlineLevel="0" collapsed="false">
      <c r="B878" s="14" t="n">
        <v>127</v>
      </c>
      <c r="C878" s="11" t="s">
        <v>144</v>
      </c>
      <c r="D878" s="17" t="n">
        <v>1</v>
      </c>
      <c r="E878" s="11" t="s">
        <v>112</v>
      </c>
      <c r="F878" s="14" t="str">
        <f aca="false">IFERROR(VLOOKUP(C878,Ingredients!$B$6:$I$206,7,FALSE()),"?")</f>
        <v>unit</v>
      </c>
      <c r="G878" s="31" t="n">
        <f aca="false">IFERROR(VLOOKUP(C878,Ingredients!$B$6:$I$206,6,FALSE()),0)</f>
        <v>0.03</v>
      </c>
      <c r="H878" s="32" t="n">
        <f aca="false">IFERROR(D878*G878,0)</f>
        <v>0.03</v>
      </c>
    </row>
    <row r="879" customFormat="false" ht="15" hidden="false" customHeight="true" outlineLevel="0" collapsed="false">
      <c r="B879" s="14" t="n">
        <v>127</v>
      </c>
      <c r="C879" s="11" t="s">
        <v>86</v>
      </c>
      <c r="D879" s="17" t="n">
        <v>30</v>
      </c>
      <c r="E879" s="11" t="s">
        <v>84</v>
      </c>
      <c r="F879" s="14" t="str">
        <f aca="false">IFERROR(VLOOKUP(C879,Ingredients!$B$6:$I$206,7,FALSE()),"?")</f>
        <v>ml</v>
      </c>
      <c r="G879" s="31" t="n">
        <f aca="false">IFERROR(VLOOKUP(C879,Ingredients!$B$6:$I$206,6,FALSE()),0)</f>
        <v>0.005</v>
      </c>
      <c r="H879" s="32" t="n">
        <f aca="false">IFERROR(D879*G879,0)</f>
        <v>0.15</v>
      </c>
    </row>
    <row r="880" customFormat="false" ht="15" hidden="false" customHeight="true" outlineLevel="0" collapsed="false">
      <c r="B880" s="14" t="n">
        <v>128</v>
      </c>
      <c r="C880" s="11" t="s">
        <v>77</v>
      </c>
      <c r="D880" s="17" t="n">
        <v>0.036</v>
      </c>
      <c r="E880" s="11" t="s">
        <v>79</v>
      </c>
      <c r="F880" s="14" t="str">
        <f aca="false">IFERROR(VLOOKUP(C880,Ingredients!$B$6:$I$206,7,FALSE()),"?")</f>
        <v>kg</v>
      </c>
      <c r="G880" s="31" t="n">
        <f aca="false">IFERROR(VLOOKUP(C880,Ingredients!$B$6:$I$206,6,FALSE()),0)</f>
        <v>16.25</v>
      </c>
      <c r="H880" s="32" t="n">
        <f aca="false">IFERROR(D880*G880,0)</f>
        <v>0.585</v>
      </c>
    </row>
    <row r="881" customFormat="false" ht="15" hidden="false" customHeight="true" outlineLevel="0" collapsed="false">
      <c r="B881" s="14" t="n">
        <v>128</v>
      </c>
      <c r="C881" s="11" t="s">
        <v>63</v>
      </c>
      <c r="D881" s="17" t="n">
        <v>0.15</v>
      </c>
      <c r="E881" s="11" t="s">
        <v>65</v>
      </c>
      <c r="F881" s="14" t="str">
        <f aca="false">IFERROR(VLOOKUP(C881,Ingredients!$B$6:$I$206,7,FALSE()),"?")</f>
        <v>L</v>
      </c>
      <c r="G881" s="31" t="n">
        <f aca="false">IFERROR(VLOOKUP(C881,Ingredients!$B$6:$I$206,6,FALSE()),0)</f>
        <v>0.732745961820852</v>
      </c>
      <c r="H881" s="32" t="n">
        <f aca="false">IFERROR(D881*G881,0)</f>
        <v>0.109911894273128</v>
      </c>
    </row>
    <row r="882" customFormat="false" ht="15" hidden="false" customHeight="true" outlineLevel="0" collapsed="false">
      <c r="B882" s="14" t="n">
        <v>128</v>
      </c>
      <c r="C882" s="11" t="s">
        <v>138</v>
      </c>
      <c r="D882" s="17" t="n">
        <v>1</v>
      </c>
      <c r="E882" s="11" t="s">
        <v>112</v>
      </c>
      <c r="F882" s="14" t="str">
        <f aca="false">IFERROR(VLOOKUP(C882,Ingredients!$B$6:$I$206,7,FALSE()),"?")</f>
        <v>unit</v>
      </c>
      <c r="G882" s="31" t="n">
        <f aca="false">IFERROR(VLOOKUP(C882,Ingredients!$B$6:$I$206,6,FALSE()),0)</f>
        <v>0.11</v>
      </c>
      <c r="H882" s="32" t="n">
        <f aca="false">IFERROR(D882*G882,0)</f>
        <v>0.11</v>
      </c>
    </row>
    <row r="883" customFormat="false" ht="15" hidden="false" customHeight="true" outlineLevel="0" collapsed="false">
      <c r="B883" s="14" t="n">
        <v>128</v>
      </c>
      <c r="C883" s="11" t="s">
        <v>140</v>
      </c>
      <c r="D883" s="17" t="n">
        <v>1</v>
      </c>
      <c r="E883" s="11" t="s">
        <v>112</v>
      </c>
      <c r="F883" s="14" t="str">
        <f aca="false">IFERROR(VLOOKUP(C883,Ingredients!$B$6:$I$206,7,FALSE()),"?")</f>
        <v>unit</v>
      </c>
      <c r="G883" s="31" t="n">
        <f aca="false">IFERROR(VLOOKUP(C883,Ingredients!$B$6:$I$206,6,FALSE()),0)</f>
        <v>0.03</v>
      </c>
      <c r="H883" s="32" t="n">
        <f aca="false">IFERROR(D883*G883,0)</f>
        <v>0.03</v>
      </c>
    </row>
    <row r="884" customFormat="false" ht="15" hidden="false" customHeight="true" outlineLevel="0" collapsed="false">
      <c r="B884" s="14" t="n">
        <v>128</v>
      </c>
      <c r="C884" s="11" t="s">
        <v>86</v>
      </c>
      <c r="D884" s="17" t="n">
        <v>30</v>
      </c>
      <c r="E884" s="11" t="s">
        <v>84</v>
      </c>
      <c r="F884" s="14" t="str">
        <f aca="false">IFERROR(VLOOKUP(C884,Ingredients!$B$6:$I$206,7,FALSE()),"?")</f>
        <v>ml</v>
      </c>
      <c r="G884" s="31" t="n">
        <f aca="false">IFERROR(VLOOKUP(C884,Ingredients!$B$6:$I$206,6,FALSE()),0)</f>
        <v>0.005</v>
      </c>
      <c r="H884" s="32" t="n">
        <f aca="false">IFERROR(D884*G884,0)</f>
        <v>0.15</v>
      </c>
    </row>
    <row r="885" customFormat="false" ht="15" hidden="false" customHeight="true" outlineLevel="0" collapsed="false">
      <c r="B885" s="14" t="n">
        <v>129</v>
      </c>
      <c r="C885" s="11" t="s">
        <v>122</v>
      </c>
      <c r="D885" s="17" t="n">
        <v>0.003</v>
      </c>
      <c r="E885" s="11" t="s">
        <v>79</v>
      </c>
      <c r="F885" s="14" t="str">
        <f aca="false">IFERROR(VLOOKUP(C885,Ingredients!$B$6:$I$206,7,FALSE()),"?")</f>
        <v>kg</v>
      </c>
      <c r="G885" s="31" t="n">
        <f aca="false">IFERROR(VLOOKUP(C885,Ingredients!$B$6:$I$206,6,FALSE()),0)</f>
        <v>181.818181818182</v>
      </c>
      <c r="H885" s="32" t="n">
        <f aca="false">IFERROR(D885*G885,0)</f>
        <v>0.545454545454545</v>
      </c>
    </row>
    <row r="886" customFormat="false" ht="15" hidden="false" customHeight="true" outlineLevel="0" collapsed="false">
      <c r="B886" s="14" t="n">
        <v>129</v>
      </c>
      <c r="C886" s="11" t="s">
        <v>63</v>
      </c>
      <c r="D886" s="17" t="n">
        <v>0.2</v>
      </c>
      <c r="E886" s="11" t="s">
        <v>65</v>
      </c>
      <c r="F886" s="14" t="str">
        <f aca="false">IFERROR(VLOOKUP(C886,Ingredients!$B$6:$I$206,7,FALSE()),"?")</f>
        <v>L</v>
      </c>
      <c r="G886" s="31" t="n">
        <f aca="false">IFERROR(VLOOKUP(C886,Ingredients!$B$6:$I$206,6,FALSE()),0)</f>
        <v>0.732745961820852</v>
      </c>
      <c r="H886" s="32" t="n">
        <f aca="false">IFERROR(D886*G886,0)</f>
        <v>0.14654919236417</v>
      </c>
    </row>
    <row r="887" customFormat="false" ht="15" hidden="false" customHeight="true" outlineLevel="0" collapsed="false">
      <c r="B887" s="14" t="n">
        <v>129</v>
      </c>
      <c r="C887" s="11" t="s">
        <v>142</v>
      </c>
      <c r="D887" s="17" t="n">
        <v>1</v>
      </c>
      <c r="E887" s="11" t="s">
        <v>112</v>
      </c>
      <c r="F887" s="14" t="str">
        <f aca="false">IFERROR(VLOOKUP(C887,Ingredients!$B$6:$I$206,7,FALSE()),"?")</f>
        <v>unit</v>
      </c>
      <c r="G887" s="31" t="n">
        <f aca="false">IFERROR(VLOOKUP(C887,Ingredients!$B$6:$I$206,6,FALSE()),0)</f>
        <v>0.14</v>
      </c>
      <c r="H887" s="32" t="n">
        <f aca="false">IFERROR(D887*G887,0)</f>
        <v>0.14</v>
      </c>
    </row>
    <row r="888" customFormat="false" ht="15" hidden="false" customHeight="true" outlineLevel="0" collapsed="false">
      <c r="B888" s="14" t="n">
        <v>129</v>
      </c>
      <c r="C888" s="11" t="s">
        <v>144</v>
      </c>
      <c r="D888" s="17" t="n">
        <v>1</v>
      </c>
      <c r="E888" s="11" t="s">
        <v>112</v>
      </c>
      <c r="F888" s="14" t="str">
        <f aca="false">IFERROR(VLOOKUP(C888,Ingredients!$B$6:$I$206,7,FALSE()),"?")</f>
        <v>unit</v>
      </c>
      <c r="G888" s="31" t="n">
        <f aca="false">IFERROR(VLOOKUP(C888,Ingredients!$B$6:$I$206,6,FALSE()),0)</f>
        <v>0.03</v>
      </c>
      <c r="H888" s="32" t="n">
        <f aca="false">IFERROR(D888*G888,0)</f>
        <v>0.03</v>
      </c>
    </row>
    <row r="889" customFormat="false" ht="15" hidden="false" customHeight="true" outlineLevel="0" collapsed="false">
      <c r="B889" s="14" t="n">
        <v>129</v>
      </c>
      <c r="C889" s="11" t="s">
        <v>92</v>
      </c>
      <c r="D889" s="17" t="n">
        <v>30</v>
      </c>
      <c r="E889" s="11" t="s">
        <v>84</v>
      </c>
      <c r="F889" s="14" t="str">
        <f aca="false">IFERROR(VLOOKUP(C889,Ingredients!$B$6:$I$206,7,FALSE()),"?")</f>
        <v>ml</v>
      </c>
      <c r="G889" s="31" t="n">
        <f aca="false">IFERROR(VLOOKUP(C889,Ingredients!$B$6:$I$206,6,FALSE()),0)</f>
        <v>0.005</v>
      </c>
      <c r="H889" s="32" t="n">
        <f aca="false">IFERROR(D889*G889,0)</f>
        <v>0.15</v>
      </c>
    </row>
    <row r="890" customFormat="false" ht="15" hidden="false" customHeight="true" outlineLevel="0" collapsed="false">
      <c r="B890" s="14" t="n">
        <v>130</v>
      </c>
      <c r="C890" s="11" t="s">
        <v>122</v>
      </c>
      <c r="D890" s="17" t="n">
        <v>0.003</v>
      </c>
      <c r="E890" s="11" t="s">
        <v>79</v>
      </c>
      <c r="F890" s="14" t="str">
        <f aca="false">IFERROR(VLOOKUP(C890,Ingredients!$B$6:$I$206,7,FALSE()),"?")</f>
        <v>kg</v>
      </c>
      <c r="G890" s="31" t="n">
        <f aca="false">IFERROR(VLOOKUP(C890,Ingredients!$B$6:$I$206,6,FALSE()),0)</f>
        <v>181.818181818182</v>
      </c>
      <c r="H890" s="32" t="n">
        <f aca="false">IFERROR(D890*G890,0)</f>
        <v>0.545454545454545</v>
      </c>
    </row>
    <row r="891" customFormat="false" ht="15" hidden="false" customHeight="true" outlineLevel="0" collapsed="false">
      <c r="B891" s="14" t="n">
        <v>130</v>
      </c>
      <c r="C891" s="11" t="s">
        <v>63</v>
      </c>
      <c r="D891" s="17" t="n">
        <v>0.13</v>
      </c>
      <c r="E891" s="11" t="s">
        <v>65</v>
      </c>
      <c r="F891" s="14" t="str">
        <f aca="false">IFERROR(VLOOKUP(C891,Ingredients!$B$6:$I$206,7,FALSE()),"?")</f>
        <v>L</v>
      </c>
      <c r="G891" s="31" t="n">
        <f aca="false">IFERROR(VLOOKUP(C891,Ingredients!$B$6:$I$206,6,FALSE()),0)</f>
        <v>0.732745961820852</v>
      </c>
      <c r="H891" s="32" t="n">
        <f aca="false">IFERROR(D891*G891,0)</f>
        <v>0.0952569750367107</v>
      </c>
    </row>
    <row r="892" customFormat="false" ht="15" hidden="false" customHeight="true" outlineLevel="0" collapsed="false">
      <c r="B892" s="14" t="n">
        <v>130</v>
      </c>
      <c r="C892" s="11" t="s">
        <v>138</v>
      </c>
      <c r="D892" s="17" t="n">
        <v>1</v>
      </c>
      <c r="E892" s="11" t="s">
        <v>112</v>
      </c>
      <c r="F892" s="14" t="str">
        <f aca="false">IFERROR(VLOOKUP(C892,Ingredients!$B$6:$I$206,7,FALSE()),"?")</f>
        <v>unit</v>
      </c>
      <c r="G892" s="31" t="n">
        <f aca="false">IFERROR(VLOOKUP(C892,Ingredients!$B$6:$I$206,6,FALSE()),0)</f>
        <v>0.11</v>
      </c>
      <c r="H892" s="32" t="n">
        <f aca="false">IFERROR(D892*G892,0)</f>
        <v>0.11</v>
      </c>
    </row>
    <row r="893" customFormat="false" ht="15" hidden="false" customHeight="true" outlineLevel="0" collapsed="false">
      <c r="B893" s="14" t="n">
        <v>130</v>
      </c>
      <c r="C893" s="11" t="s">
        <v>140</v>
      </c>
      <c r="D893" s="17" t="n">
        <v>1</v>
      </c>
      <c r="E893" s="11" t="s">
        <v>112</v>
      </c>
      <c r="F893" s="14" t="str">
        <f aca="false">IFERROR(VLOOKUP(C893,Ingredients!$B$6:$I$206,7,FALSE()),"?")</f>
        <v>unit</v>
      </c>
      <c r="G893" s="31" t="n">
        <f aca="false">IFERROR(VLOOKUP(C893,Ingredients!$B$6:$I$206,6,FALSE()),0)</f>
        <v>0.03</v>
      </c>
      <c r="H893" s="32" t="n">
        <f aca="false">IFERROR(D893*G893,0)</f>
        <v>0.03</v>
      </c>
    </row>
    <row r="894" customFormat="false" ht="15" hidden="false" customHeight="true" outlineLevel="0" collapsed="false">
      <c r="B894" s="14" t="n">
        <v>130</v>
      </c>
      <c r="C894" s="11" t="s">
        <v>92</v>
      </c>
      <c r="D894" s="17" t="n">
        <v>30</v>
      </c>
      <c r="E894" s="11" t="s">
        <v>84</v>
      </c>
      <c r="F894" s="14" t="str">
        <f aca="false">IFERROR(VLOOKUP(C894,Ingredients!$B$6:$I$206,7,FALSE()),"?")</f>
        <v>ml</v>
      </c>
      <c r="G894" s="31" t="n">
        <f aca="false">IFERROR(VLOOKUP(C894,Ingredients!$B$6:$I$206,6,FALSE()),0)</f>
        <v>0.005</v>
      </c>
      <c r="H894" s="32" t="n">
        <f aca="false">IFERROR(D894*G894,0)</f>
        <v>0.15</v>
      </c>
    </row>
    <row r="895" customFormat="false" ht="15" hidden="false" customHeight="true" outlineLevel="0" collapsed="false">
      <c r="B895" s="14" t="n">
        <v>131</v>
      </c>
      <c r="C895" s="11" t="s">
        <v>77</v>
      </c>
      <c r="D895" s="17" t="n">
        <v>0.036</v>
      </c>
      <c r="E895" s="11" t="s">
        <v>79</v>
      </c>
      <c r="F895" s="14" t="str">
        <f aca="false">IFERROR(VLOOKUP(C895,Ingredients!$B$6:$I$206,7,FALSE()),"?")</f>
        <v>kg</v>
      </c>
      <c r="G895" s="31" t="n">
        <f aca="false">IFERROR(VLOOKUP(C895,Ingredients!$B$6:$I$206,6,FALSE()),0)</f>
        <v>16.25</v>
      </c>
      <c r="H895" s="32" t="n">
        <f aca="false">IFERROR(D895*G895,0)</f>
        <v>0.585</v>
      </c>
    </row>
    <row r="896" customFormat="false" ht="15" hidden="false" customHeight="true" outlineLevel="0" collapsed="false">
      <c r="B896" s="14" t="n">
        <v>131</v>
      </c>
      <c r="C896" s="11" t="s">
        <v>63</v>
      </c>
      <c r="D896" s="17" t="n">
        <v>0.2</v>
      </c>
      <c r="E896" s="11" t="s">
        <v>65</v>
      </c>
      <c r="F896" s="14" t="str">
        <f aca="false">IFERROR(VLOOKUP(C896,Ingredients!$B$6:$I$206,7,FALSE()),"?")</f>
        <v>L</v>
      </c>
      <c r="G896" s="31" t="n">
        <f aca="false">IFERROR(VLOOKUP(C896,Ingredients!$B$6:$I$206,6,FALSE()),0)</f>
        <v>0.732745961820852</v>
      </c>
      <c r="H896" s="32" t="n">
        <f aca="false">IFERROR(D896*G896,0)</f>
        <v>0.14654919236417</v>
      </c>
    </row>
    <row r="897" customFormat="false" ht="15" hidden="false" customHeight="true" outlineLevel="0" collapsed="false">
      <c r="B897" s="14" t="n">
        <v>131</v>
      </c>
      <c r="C897" s="11" t="s">
        <v>142</v>
      </c>
      <c r="D897" s="17" t="n">
        <v>1</v>
      </c>
      <c r="E897" s="11" t="s">
        <v>112</v>
      </c>
      <c r="F897" s="14" t="str">
        <f aca="false">IFERROR(VLOOKUP(C897,Ingredients!$B$6:$I$206,7,FALSE()),"?")</f>
        <v>unit</v>
      </c>
      <c r="G897" s="31" t="n">
        <f aca="false">IFERROR(VLOOKUP(C897,Ingredients!$B$6:$I$206,6,FALSE()),0)</f>
        <v>0.14</v>
      </c>
      <c r="H897" s="32" t="n">
        <f aca="false">IFERROR(D897*G897,0)</f>
        <v>0.14</v>
      </c>
    </row>
    <row r="898" customFormat="false" ht="15" hidden="false" customHeight="true" outlineLevel="0" collapsed="false">
      <c r="B898" s="14" t="n">
        <v>131</v>
      </c>
      <c r="C898" s="11" t="s">
        <v>144</v>
      </c>
      <c r="D898" s="17" t="n">
        <v>1</v>
      </c>
      <c r="E898" s="11" t="s">
        <v>112</v>
      </c>
      <c r="F898" s="14" t="str">
        <f aca="false">IFERROR(VLOOKUP(C898,Ingredients!$B$6:$I$206,7,FALSE()),"?")</f>
        <v>unit</v>
      </c>
      <c r="G898" s="31" t="n">
        <f aca="false">IFERROR(VLOOKUP(C898,Ingredients!$B$6:$I$206,6,FALSE()),0)</f>
        <v>0.03</v>
      </c>
      <c r="H898" s="32" t="n">
        <f aca="false">IFERROR(D898*G898,0)</f>
        <v>0.03</v>
      </c>
    </row>
    <row r="899" customFormat="false" ht="15" hidden="false" customHeight="true" outlineLevel="0" collapsed="false">
      <c r="B899" s="14" t="n">
        <v>132</v>
      </c>
      <c r="C899" s="11" t="s">
        <v>77</v>
      </c>
      <c r="D899" s="17" t="n">
        <v>0.036</v>
      </c>
      <c r="E899" s="11" t="s">
        <v>79</v>
      </c>
      <c r="F899" s="14" t="str">
        <f aca="false">IFERROR(VLOOKUP(C899,Ingredients!$B$6:$I$206,7,FALSE()),"?")</f>
        <v>kg</v>
      </c>
      <c r="G899" s="31" t="n">
        <f aca="false">IFERROR(VLOOKUP(C899,Ingredients!$B$6:$I$206,6,FALSE()),0)</f>
        <v>16.25</v>
      </c>
      <c r="H899" s="32" t="n">
        <f aca="false">IFERROR(D899*G899,0)</f>
        <v>0.585</v>
      </c>
    </row>
    <row r="900" customFormat="false" ht="15" hidden="false" customHeight="true" outlineLevel="0" collapsed="false">
      <c r="B900" s="14" t="n">
        <v>132</v>
      </c>
      <c r="C900" s="11" t="s">
        <v>63</v>
      </c>
      <c r="D900" s="17" t="n">
        <v>0.15</v>
      </c>
      <c r="E900" s="11" t="s">
        <v>65</v>
      </c>
      <c r="F900" s="14" t="str">
        <f aca="false">IFERROR(VLOOKUP(C900,Ingredients!$B$6:$I$206,7,FALSE()),"?")</f>
        <v>L</v>
      </c>
      <c r="G900" s="31" t="n">
        <f aca="false">IFERROR(VLOOKUP(C900,Ingredients!$B$6:$I$206,6,FALSE()),0)</f>
        <v>0.732745961820852</v>
      </c>
      <c r="H900" s="32" t="n">
        <f aca="false">IFERROR(D900*G900,0)</f>
        <v>0.109911894273128</v>
      </c>
    </row>
    <row r="901" customFormat="false" ht="15" hidden="false" customHeight="true" outlineLevel="0" collapsed="false">
      <c r="B901" s="14" t="n">
        <v>132</v>
      </c>
      <c r="C901" s="11" t="s">
        <v>138</v>
      </c>
      <c r="D901" s="17" t="n">
        <v>1</v>
      </c>
      <c r="E901" s="11" t="s">
        <v>112</v>
      </c>
      <c r="F901" s="14" t="str">
        <f aca="false">IFERROR(VLOOKUP(C901,Ingredients!$B$6:$I$206,7,FALSE()),"?")</f>
        <v>unit</v>
      </c>
      <c r="G901" s="31" t="n">
        <f aca="false">IFERROR(VLOOKUP(C901,Ingredients!$B$6:$I$206,6,FALSE()),0)</f>
        <v>0.11</v>
      </c>
      <c r="H901" s="32" t="n">
        <f aca="false">IFERROR(D901*G901,0)</f>
        <v>0.11</v>
      </c>
    </row>
    <row r="902" customFormat="false" ht="15" hidden="false" customHeight="true" outlineLevel="0" collapsed="false">
      <c r="B902" s="14" t="n">
        <v>132</v>
      </c>
      <c r="C902" s="11" t="s">
        <v>140</v>
      </c>
      <c r="D902" s="17" t="n">
        <v>1</v>
      </c>
      <c r="E902" s="11" t="s">
        <v>112</v>
      </c>
      <c r="F902" s="14" t="str">
        <f aca="false">IFERROR(VLOOKUP(C902,Ingredients!$B$6:$I$206,7,FALSE()),"?")</f>
        <v>unit</v>
      </c>
      <c r="G902" s="31" t="n">
        <f aca="false">IFERROR(VLOOKUP(C902,Ingredients!$B$6:$I$206,6,FALSE()),0)</f>
        <v>0.03</v>
      </c>
      <c r="H902" s="32" t="n">
        <f aca="false">IFERROR(D902*G902,0)</f>
        <v>0.03</v>
      </c>
    </row>
    <row r="903" customFormat="false" ht="15" hidden="false" customHeight="true" outlineLevel="0" collapsed="false">
      <c r="B903" s="14" t="n">
        <v>133</v>
      </c>
      <c r="C903" s="11" t="s">
        <v>115</v>
      </c>
      <c r="D903" s="17" t="n">
        <v>0.00125</v>
      </c>
      <c r="E903" s="11" t="s">
        <v>79</v>
      </c>
      <c r="F903" s="14" t="str">
        <f aca="false">IFERROR(VLOOKUP(C903,Ingredients!$B$6:$I$206,7,FALSE()),"?")</f>
        <v>kg</v>
      </c>
      <c r="G903" s="31" t="n">
        <f aca="false">IFERROR(VLOOKUP(C903,Ingredients!$B$6:$I$206,6,FALSE()),0)</f>
        <v>180</v>
      </c>
      <c r="H903" s="32" t="n">
        <f aca="false">IFERROR(D903*G903,0)</f>
        <v>0.225</v>
      </c>
    </row>
    <row r="904" customFormat="false" ht="15" hidden="false" customHeight="true" outlineLevel="0" collapsed="false">
      <c r="B904" s="14" t="n">
        <v>133</v>
      </c>
      <c r="C904" s="11" t="s">
        <v>63</v>
      </c>
      <c r="D904" s="17" t="n">
        <v>0.24</v>
      </c>
      <c r="E904" s="11" t="s">
        <v>65</v>
      </c>
      <c r="F904" s="14" t="str">
        <f aca="false">IFERROR(VLOOKUP(C904,Ingredients!$B$6:$I$206,7,FALSE()),"?")</f>
        <v>L</v>
      </c>
      <c r="G904" s="31" t="n">
        <f aca="false">IFERROR(VLOOKUP(C904,Ingredients!$B$6:$I$206,6,FALSE()),0)</f>
        <v>0.732745961820852</v>
      </c>
      <c r="H904" s="32" t="n">
        <f aca="false">IFERROR(D904*G904,0)</f>
        <v>0.175859030837004</v>
      </c>
    </row>
    <row r="905" customFormat="false" ht="15" hidden="false" customHeight="true" outlineLevel="0" collapsed="false">
      <c r="B905" s="14" t="n">
        <v>133</v>
      </c>
      <c r="C905" s="11" t="s">
        <v>142</v>
      </c>
      <c r="D905" s="17" t="n">
        <v>1</v>
      </c>
      <c r="E905" s="11" t="s">
        <v>112</v>
      </c>
      <c r="F905" s="14" t="str">
        <f aca="false">IFERROR(VLOOKUP(C905,Ingredients!$B$6:$I$206,7,FALSE()),"?")</f>
        <v>unit</v>
      </c>
      <c r="G905" s="31" t="n">
        <f aca="false">IFERROR(VLOOKUP(C905,Ingredients!$B$6:$I$206,6,FALSE()),0)</f>
        <v>0.14</v>
      </c>
      <c r="H905" s="32" t="n">
        <f aca="false">IFERROR(D905*G905,0)</f>
        <v>0.14</v>
      </c>
    </row>
    <row r="906" customFormat="false" ht="15" hidden="false" customHeight="true" outlineLevel="0" collapsed="false">
      <c r="B906" s="14" t="n">
        <v>133</v>
      </c>
      <c r="C906" s="11" t="s">
        <v>144</v>
      </c>
      <c r="D906" s="17" t="n">
        <v>1</v>
      </c>
      <c r="E906" s="11" t="s">
        <v>112</v>
      </c>
      <c r="F906" s="14" t="str">
        <f aca="false">IFERROR(VLOOKUP(C906,Ingredients!$B$6:$I$206,7,FALSE()),"?")</f>
        <v>unit</v>
      </c>
      <c r="G906" s="31" t="n">
        <f aca="false">IFERROR(VLOOKUP(C906,Ingredients!$B$6:$I$206,6,FALSE()),0)</f>
        <v>0.03</v>
      </c>
      <c r="H906" s="32" t="n">
        <f aca="false">IFERROR(D906*G906,0)</f>
        <v>0.03</v>
      </c>
    </row>
    <row r="907" customFormat="false" ht="15" hidden="false" customHeight="true" outlineLevel="0" collapsed="false">
      <c r="B907" s="14" t="n">
        <v>133</v>
      </c>
      <c r="C907" s="11" t="s">
        <v>82</v>
      </c>
      <c r="D907" s="17" t="n">
        <v>30</v>
      </c>
      <c r="E907" s="11" t="s">
        <v>84</v>
      </c>
      <c r="F907" s="14" t="str">
        <f aca="false">IFERROR(VLOOKUP(C907,Ingredients!$B$6:$I$206,7,FALSE()),"?")</f>
        <v>ml</v>
      </c>
      <c r="G907" s="31" t="n">
        <f aca="false">IFERROR(VLOOKUP(C907,Ingredients!$B$6:$I$206,6,FALSE()),0)</f>
        <v>0.005</v>
      </c>
      <c r="H907" s="32" t="n">
        <f aca="false">IFERROR(D907*G907,0)</f>
        <v>0.15</v>
      </c>
    </row>
    <row r="908" customFormat="false" ht="15" hidden="false" customHeight="true" outlineLevel="0" collapsed="false">
      <c r="B908" s="14" t="n">
        <v>134</v>
      </c>
      <c r="C908" s="11" t="s">
        <v>115</v>
      </c>
      <c r="D908" s="17" t="n">
        <v>0.00125</v>
      </c>
      <c r="E908" s="11" t="s">
        <v>79</v>
      </c>
      <c r="F908" s="14" t="str">
        <f aca="false">IFERROR(VLOOKUP(C908,Ingredients!$B$6:$I$206,7,FALSE()),"?")</f>
        <v>kg</v>
      </c>
      <c r="G908" s="31" t="n">
        <f aca="false">IFERROR(VLOOKUP(C908,Ingredients!$B$6:$I$206,6,FALSE()),0)</f>
        <v>180</v>
      </c>
      <c r="H908" s="32" t="n">
        <f aca="false">IFERROR(D908*G908,0)</f>
        <v>0.225</v>
      </c>
    </row>
    <row r="909" customFormat="false" ht="15" hidden="false" customHeight="true" outlineLevel="0" collapsed="false">
      <c r="B909" s="14" t="n">
        <v>134</v>
      </c>
      <c r="C909" s="11" t="s">
        <v>63</v>
      </c>
      <c r="D909" s="17" t="n">
        <v>0.18</v>
      </c>
      <c r="E909" s="11" t="s">
        <v>65</v>
      </c>
      <c r="F909" s="14" t="str">
        <f aca="false">IFERROR(VLOOKUP(C909,Ingredients!$B$6:$I$206,7,FALSE()),"?")</f>
        <v>L</v>
      </c>
      <c r="G909" s="31" t="n">
        <f aca="false">IFERROR(VLOOKUP(C909,Ingredients!$B$6:$I$206,6,FALSE()),0)</f>
        <v>0.732745961820852</v>
      </c>
      <c r="H909" s="32" t="n">
        <f aca="false">IFERROR(D909*G909,0)</f>
        <v>0.131894273127753</v>
      </c>
    </row>
    <row r="910" customFormat="false" ht="15" hidden="false" customHeight="true" outlineLevel="0" collapsed="false">
      <c r="B910" s="14" t="n">
        <v>134</v>
      </c>
      <c r="C910" s="11" t="s">
        <v>138</v>
      </c>
      <c r="D910" s="17" t="n">
        <v>1</v>
      </c>
      <c r="E910" s="11" t="s">
        <v>112</v>
      </c>
      <c r="F910" s="14" t="str">
        <f aca="false">IFERROR(VLOOKUP(C910,Ingredients!$B$6:$I$206,7,FALSE()),"?")</f>
        <v>unit</v>
      </c>
      <c r="G910" s="31" t="n">
        <f aca="false">IFERROR(VLOOKUP(C910,Ingredients!$B$6:$I$206,6,FALSE()),0)</f>
        <v>0.11</v>
      </c>
      <c r="H910" s="32" t="n">
        <f aca="false">IFERROR(D910*G910,0)</f>
        <v>0.11</v>
      </c>
    </row>
    <row r="911" customFormat="false" ht="15" hidden="false" customHeight="true" outlineLevel="0" collapsed="false">
      <c r="B911" s="14" t="n">
        <v>134</v>
      </c>
      <c r="C911" s="11" t="s">
        <v>140</v>
      </c>
      <c r="D911" s="17" t="n">
        <v>1</v>
      </c>
      <c r="E911" s="11" t="s">
        <v>112</v>
      </c>
      <c r="F911" s="14" t="str">
        <f aca="false">IFERROR(VLOOKUP(C911,Ingredients!$B$6:$I$206,7,FALSE()),"?")</f>
        <v>unit</v>
      </c>
      <c r="G911" s="31" t="n">
        <f aca="false">IFERROR(VLOOKUP(C911,Ingredients!$B$6:$I$206,6,FALSE()),0)</f>
        <v>0.03</v>
      </c>
      <c r="H911" s="32" t="n">
        <f aca="false">IFERROR(D911*G911,0)</f>
        <v>0.03</v>
      </c>
    </row>
    <row r="912" customFormat="false" ht="15" hidden="false" customHeight="true" outlineLevel="0" collapsed="false">
      <c r="B912" s="14" t="n">
        <v>134</v>
      </c>
      <c r="C912" s="11" t="s">
        <v>82</v>
      </c>
      <c r="D912" s="17" t="n">
        <v>30</v>
      </c>
      <c r="E912" s="11" t="s">
        <v>84</v>
      </c>
      <c r="F912" s="14" t="str">
        <f aca="false">IFERROR(VLOOKUP(C912,Ingredients!$B$6:$I$206,7,FALSE()),"?")</f>
        <v>ml</v>
      </c>
      <c r="G912" s="31" t="n">
        <f aca="false">IFERROR(VLOOKUP(C912,Ingredients!$B$6:$I$206,6,FALSE()),0)</f>
        <v>0.005</v>
      </c>
      <c r="H912" s="32" t="n">
        <f aca="false">IFERROR(D912*G912,0)</f>
        <v>0.15</v>
      </c>
    </row>
    <row r="913" customFormat="false" ht="15" hidden="false" customHeight="true" outlineLevel="0" collapsed="false">
      <c r="B913" s="14" t="n">
        <v>135</v>
      </c>
      <c r="C913" s="11" t="s">
        <v>77</v>
      </c>
      <c r="D913" s="17" t="n">
        <v>0.036</v>
      </c>
      <c r="E913" s="11" t="s">
        <v>79</v>
      </c>
      <c r="F913" s="14" t="str">
        <f aca="false">IFERROR(VLOOKUP(C913,Ingredients!$B$6:$I$206,7,FALSE()),"?")</f>
        <v>kg</v>
      </c>
      <c r="G913" s="31" t="n">
        <f aca="false">IFERROR(VLOOKUP(C913,Ingredients!$B$6:$I$206,6,FALSE()),0)</f>
        <v>16.25</v>
      </c>
      <c r="H913" s="32" t="n">
        <f aca="false">IFERROR(D913*G913,0)</f>
        <v>0.585</v>
      </c>
    </row>
    <row r="914" customFormat="false" ht="15" hidden="false" customHeight="true" outlineLevel="0" collapsed="false">
      <c r="B914" s="14" t="n">
        <v>135</v>
      </c>
      <c r="C914" s="11" t="s">
        <v>63</v>
      </c>
      <c r="D914" s="17" t="n">
        <v>0.2</v>
      </c>
      <c r="E914" s="11" t="s">
        <v>65</v>
      </c>
      <c r="F914" s="14" t="str">
        <f aca="false">IFERROR(VLOOKUP(C914,Ingredients!$B$6:$I$206,7,FALSE()),"?")</f>
        <v>L</v>
      </c>
      <c r="G914" s="31" t="n">
        <f aca="false">IFERROR(VLOOKUP(C914,Ingredients!$B$6:$I$206,6,FALSE()),0)</f>
        <v>0.732745961820852</v>
      </c>
      <c r="H914" s="32" t="n">
        <f aca="false">IFERROR(D914*G914,0)</f>
        <v>0.14654919236417</v>
      </c>
    </row>
    <row r="915" customFormat="false" ht="15" hidden="false" customHeight="true" outlineLevel="0" collapsed="false">
      <c r="B915" s="14" t="n">
        <v>135</v>
      </c>
      <c r="C915" s="11" t="s">
        <v>119</v>
      </c>
      <c r="D915" s="17" t="n">
        <v>0.03</v>
      </c>
      <c r="E915" s="11" t="s">
        <v>79</v>
      </c>
      <c r="F915" s="14" t="str">
        <f aca="false">IFERROR(VLOOKUP(C915,Ingredients!$B$6:$I$206,7,FALSE()),"?")</f>
        <v>ml</v>
      </c>
      <c r="G915" s="31" t="n">
        <f aca="false">IFERROR(VLOOKUP(C915,Ingredients!$B$6:$I$206,6,FALSE()),0)</f>
        <v>6</v>
      </c>
      <c r="H915" s="32" t="n">
        <f aca="false">IFERROR(D915*G915,0)</f>
        <v>0.18</v>
      </c>
    </row>
    <row r="916" customFormat="false" ht="15" hidden="false" customHeight="true" outlineLevel="0" collapsed="false">
      <c r="B916" s="14" t="n">
        <v>135</v>
      </c>
      <c r="C916" s="11" t="s">
        <v>142</v>
      </c>
      <c r="D916" s="17" t="n">
        <v>1</v>
      </c>
      <c r="E916" s="11" t="s">
        <v>112</v>
      </c>
      <c r="F916" s="14" t="str">
        <f aca="false">IFERROR(VLOOKUP(C916,Ingredients!$B$6:$I$206,7,FALSE()),"?")</f>
        <v>unit</v>
      </c>
      <c r="G916" s="31" t="n">
        <f aca="false">IFERROR(VLOOKUP(C916,Ingredients!$B$6:$I$206,6,FALSE()),0)</f>
        <v>0.14</v>
      </c>
      <c r="H916" s="32" t="n">
        <f aca="false">IFERROR(D916*G916,0)</f>
        <v>0.14</v>
      </c>
    </row>
    <row r="917" customFormat="false" ht="15" hidden="false" customHeight="true" outlineLevel="0" collapsed="false">
      <c r="B917" s="14" t="n">
        <v>135</v>
      </c>
      <c r="C917" s="11" t="s">
        <v>144</v>
      </c>
      <c r="D917" s="17" t="n">
        <v>1</v>
      </c>
      <c r="E917" s="11" t="s">
        <v>112</v>
      </c>
      <c r="F917" s="14" t="str">
        <f aca="false">IFERROR(VLOOKUP(C917,Ingredients!$B$6:$I$206,7,FALSE()),"?")</f>
        <v>unit</v>
      </c>
      <c r="G917" s="31" t="n">
        <f aca="false">IFERROR(VLOOKUP(C917,Ingredients!$B$6:$I$206,6,FALSE()),0)</f>
        <v>0.03</v>
      </c>
      <c r="H917" s="32" t="n">
        <f aca="false">IFERROR(D917*G917,0)</f>
        <v>0.03</v>
      </c>
    </row>
    <row r="918" customFormat="false" ht="15" hidden="false" customHeight="true" outlineLevel="0" collapsed="false">
      <c r="B918" s="14" t="n">
        <v>135</v>
      </c>
      <c r="C918" s="11" t="s">
        <v>89</v>
      </c>
      <c r="D918" s="17" t="n">
        <v>30</v>
      </c>
      <c r="E918" s="11" t="s">
        <v>84</v>
      </c>
      <c r="F918" s="14" t="str">
        <f aca="false">IFERROR(VLOOKUP(C918,Ingredients!$B$6:$I$206,7,FALSE()),"?")</f>
        <v>ml</v>
      </c>
      <c r="G918" s="31" t="n">
        <f aca="false">IFERROR(VLOOKUP(C918,Ingredients!$B$6:$I$206,6,FALSE()),0)</f>
        <v>0.005</v>
      </c>
      <c r="H918" s="32" t="n">
        <f aca="false">IFERROR(D918*G918,0)</f>
        <v>0.15</v>
      </c>
    </row>
    <row r="919" customFormat="false" ht="15" hidden="false" customHeight="true" outlineLevel="0" collapsed="false">
      <c r="B919" s="14" t="n">
        <v>136</v>
      </c>
      <c r="C919" s="11" t="s">
        <v>77</v>
      </c>
      <c r="D919" s="17" t="n">
        <v>0.036</v>
      </c>
      <c r="E919" s="11" t="s">
        <v>79</v>
      </c>
      <c r="F919" s="14" t="str">
        <f aca="false">IFERROR(VLOOKUP(C919,Ingredients!$B$6:$I$206,7,FALSE()),"?")</f>
        <v>kg</v>
      </c>
      <c r="G919" s="31" t="n">
        <f aca="false">IFERROR(VLOOKUP(C919,Ingredients!$B$6:$I$206,6,FALSE()),0)</f>
        <v>16.25</v>
      </c>
      <c r="H919" s="32" t="n">
        <f aca="false">IFERROR(D919*G919,0)</f>
        <v>0.585</v>
      </c>
    </row>
    <row r="920" customFormat="false" ht="15" hidden="false" customHeight="true" outlineLevel="0" collapsed="false">
      <c r="B920" s="14" t="n">
        <v>136</v>
      </c>
      <c r="C920" s="11" t="s">
        <v>63</v>
      </c>
      <c r="D920" s="17" t="n">
        <v>0.15</v>
      </c>
      <c r="E920" s="11" t="s">
        <v>65</v>
      </c>
      <c r="F920" s="14" t="str">
        <f aca="false">IFERROR(VLOOKUP(C920,Ingredients!$B$6:$I$206,7,FALSE()),"?")</f>
        <v>L</v>
      </c>
      <c r="G920" s="31" t="n">
        <f aca="false">IFERROR(VLOOKUP(C920,Ingredients!$B$6:$I$206,6,FALSE()),0)</f>
        <v>0.732745961820852</v>
      </c>
      <c r="H920" s="32" t="n">
        <f aca="false">IFERROR(D920*G920,0)</f>
        <v>0.109911894273128</v>
      </c>
    </row>
    <row r="921" customFormat="false" ht="15" hidden="false" customHeight="true" outlineLevel="0" collapsed="false">
      <c r="B921" s="14" t="n">
        <v>136</v>
      </c>
      <c r="C921" s="11" t="s">
        <v>119</v>
      </c>
      <c r="D921" s="17" t="n">
        <v>0.02</v>
      </c>
      <c r="E921" s="11" t="s">
        <v>79</v>
      </c>
      <c r="F921" s="14" t="str">
        <f aca="false">IFERROR(VLOOKUP(C921,Ingredients!$B$6:$I$206,7,FALSE()),"?")</f>
        <v>ml</v>
      </c>
      <c r="G921" s="31" t="n">
        <f aca="false">IFERROR(VLOOKUP(C921,Ingredients!$B$6:$I$206,6,FALSE()),0)</f>
        <v>6</v>
      </c>
      <c r="H921" s="32" t="n">
        <f aca="false">IFERROR(D921*G921,0)</f>
        <v>0.12</v>
      </c>
    </row>
    <row r="922" customFormat="false" ht="15" hidden="false" customHeight="true" outlineLevel="0" collapsed="false">
      <c r="B922" s="14" t="n">
        <v>136</v>
      </c>
      <c r="C922" s="11" t="s">
        <v>138</v>
      </c>
      <c r="D922" s="17" t="n">
        <v>1</v>
      </c>
      <c r="E922" s="11" t="s">
        <v>112</v>
      </c>
      <c r="F922" s="14" t="str">
        <f aca="false">IFERROR(VLOOKUP(C922,Ingredients!$B$6:$I$206,7,FALSE()),"?")</f>
        <v>unit</v>
      </c>
      <c r="G922" s="31" t="n">
        <f aca="false">IFERROR(VLOOKUP(C922,Ingredients!$B$6:$I$206,6,FALSE()),0)</f>
        <v>0.11</v>
      </c>
      <c r="H922" s="32" t="n">
        <f aca="false">IFERROR(D922*G922,0)</f>
        <v>0.11</v>
      </c>
    </row>
    <row r="923" customFormat="false" ht="15" hidden="false" customHeight="true" outlineLevel="0" collapsed="false">
      <c r="B923" s="14" t="n">
        <v>136</v>
      </c>
      <c r="C923" s="11" t="s">
        <v>140</v>
      </c>
      <c r="D923" s="17" t="n">
        <v>1</v>
      </c>
      <c r="E923" s="11" t="s">
        <v>112</v>
      </c>
      <c r="F923" s="14" t="str">
        <f aca="false">IFERROR(VLOOKUP(C923,Ingredients!$B$6:$I$206,7,FALSE()),"?")</f>
        <v>unit</v>
      </c>
      <c r="G923" s="31" t="n">
        <f aca="false">IFERROR(VLOOKUP(C923,Ingredients!$B$6:$I$206,6,FALSE()),0)</f>
        <v>0.03</v>
      </c>
      <c r="H923" s="32" t="n">
        <f aca="false">IFERROR(D923*G923,0)</f>
        <v>0.03</v>
      </c>
    </row>
    <row r="924" customFormat="false" ht="15" hidden="false" customHeight="true" outlineLevel="0" collapsed="false">
      <c r="B924" s="14" t="n">
        <v>136</v>
      </c>
      <c r="C924" s="11" t="s">
        <v>89</v>
      </c>
      <c r="D924" s="17" t="n">
        <v>30</v>
      </c>
      <c r="E924" s="11" t="s">
        <v>84</v>
      </c>
      <c r="F924" s="14" t="str">
        <f aca="false">IFERROR(VLOOKUP(C924,Ingredients!$B$6:$I$206,7,FALSE()),"?")</f>
        <v>ml</v>
      </c>
      <c r="G924" s="31" t="n">
        <f aca="false">IFERROR(VLOOKUP(C924,Ingredients!$B$6:$I$206,6,FALSE()),0)</f>
        <v>0.005</v>
      </c>
      <c r="H924" s="32" t="n">
        <f aca="false">IFERROR(D924*G924,0)</f>
        <v>0.15</v>
      </c>
    </row>
    <row r="925" customFormat="false" ht="15" hidden="false" customHeight="true" outlineLevel="0" collapsed="false">
      <c r="B925" s="14" t="n">
        <v>137</v>
      </c>
      <c r="C925" s="11" t="s">
        <v>122</v>
      </c>
      <c r="D925" s="17" t="n">
        <v>0.003</v>
      </c>
      <c r="E925" s="11" t="s">
        <v>79</v>
      </c>
      <c r="F925" s="14" t="str">
        <f aca="false">IFERROR(VLOOKUP(C925,Ingredients!$B$6:$I$206,7,FALSE()),"?")</f>
        <v>kg</v>
      </c>
      <c r="G925" s="31" t="n">
        <f aca="false">IFERROR(VLOOKUP(C925,Ingredients!$B$6:$I$206,6,FALSE()),0)</f>
        <v>181.818181818182</v>
      </c>
      <c r="H925" s="32" t="n">
        <f aca="false">IFERROR(D925*G925,0)</f>
        <v>0.545454545454545</v>
      </c>
    </row>
    <row r="926" customFormat="false" ht="15" hidden="false" customHeight="true" outlineLevel="0" collapsed="false">
      <c r="B926" s="14" t="n">
        <v>137</v>
      </c>
      <c r="C926" s="11" t="s">
        <v>63</v>
      </c>
      <c r="D926" s="17" t="n">
        <v>0.2</v>
      </c>
      <c r="E926" s="11" t="s">
        <v>65</v>
      </c>
      <c r="F926" s="14" t="str">
        <f aca="false">IFERROR(VLOOKUP(C926,Ingredients!$B$6:$I$206,7,FALSE()),"?")</f>
        <v>L</v>
      </c>
      <c r="G926" s="31" t="n">
        <f aca="false">IFERROR(VLOOKUP(C926,Ingredients!$B$6:$I$206,6,FALSE()),0)</f>
        <v>0.732745961820852</v>
      </c>
      <c r="H926" s="32" t="n">
        <f aca="false">IFERROR(D926*G926,0)</f>
        <v>0.14654919236417</v>
      </c>
    </row>
    <row r="927" customFormat="false" ht="15" hidden="false" customHeight="true" outlineLevel="0" collapsed="false">
      <c r="B927" s="14" t="n">
        <v>137</v>
      </c>
      <c r="C927" s="11" t="s">
        <v>142</v>
      </c>
      <c r="D927" s="17" t="n">
        <v>1</v>
      </c>
      <c r="E927" s="11" t="s">
        <v>112</v>
      </c>
      <c r="F927" s="14" t="str">
        <f aca="false">IFERROR(VLOOKUP(C927,Ingredients!$B$6:$I$206,7,FALSE()),"?")</f>
        <v>unit</v>
      </c>
      <c r="G927" s="31" t="n">
        <f aca="false">IFERROR(VLOOKUP(C927,Ingredients!$B$6:$I$206,6,FALSE()),0)</f>
        <v>0.14</v>
      </c>
      <c r="H927" s="32" t="n">
        <f aca="false">IFERROR(D927*G927,0)</f>
        <v>0.14</v>
      </c>
    </row>
    <row r="928" customFormat="false" ht="15" hidden="false" customHeight="true" outlineLevel="0" collapsed="false">
      <c r="B928" s="14" t="n">
        <v>137</v>
      </c>
      <c r="C928" s="11" t="s">
        <v>144</v>
      </c>
      <c r="D928" s="17" t="n">
        <v>1</v>
      </c>
      <c r="E928" s="11" t="s">
        <v>112</v>
      </c>
      <c r="F928" s="14" t="str">
        <f aca="false">IFERROR(VLOOKUP(C928,Ingredients!$B$6:$I$206,7,FALSE()),"?")</f>
        <v>unit</v>
      </c>
      <c r="G928" s="31" t="n">
        <f aca="false">IFERROR(VLOOKUP(C928,Ingredients!$B$6:$I$206,6,FALSE()),0)</f>
        <v>0.03</v>
      </c>
      <c r="H928" s="32" t="n">
        <f aca="false">IFERROR(D928*G928,0)</f>
        <v>0.03</v>
      </c>
    </row>
    <row r="929" customFormat="false" ht="15" hidden="false" customHeight="true" outlineLevel="0" collapsed="false">
      <c r="B929" s="14" t="n">
        <v>137</v>
      </c>
      <c r="C929" s="11" t="s">
        <v>102</v>
      </c>
      <c r="D929" s="17" t="n">
        <v>30</v>
      </c>
      <c r="E929" s="11" t="s">
        <v>84</v>
      </c>
      <c r="F929" s="14" t="str">
        <f aca="false">IFERROR(VLOOKUP(C929,Ingredients!$B$6:$I$206,7,FALSE()),"?")</f>
        <v>ml</v>
      </c>
      <c r="G929" s="31" t="n">
        <f aca="false">IFERROR(VLOOKUP(C929,Ingredients!$B$6:$I$206,6,FALSE()),0)</f>
        <v>0.005</v>
      </c>
      <c r="H929" s="32" t="n">
        <f aca="false">IFERROR(D929*G929,0)</f>
        <v>0.15</v>
      </c>
    </row>
    <row r="930" customFormat="false" ht="15" hidden="false" customHeight="true" outlineLevel="0" collapsed="false">
      <c r="B930" s="14" t="n">
        <v>138</v>
      </c>
      <c r="C930" s="11" t="s">
        <v>122</v>
      </c>
      <c r="D930" s="17" t="n">
        <v>0.003</v>
      </c>
      <c r="E930" s="11" t="s">
        <v>79</v>
      </c>
      <c r="F930" s="14" t="str">
        <f aca="false">IFERROR(VLOOKUP(C930,Ingredients!$B$6:$I$206,7,FALSE()),"?")</f>
        <v>kg</v>
      </c>
      <c r="G930" s="31" t="n">
        <f aca="false">IFERROR(VLOOKUP(C930,Ingredients!$B$6:$I$206,6,FALSE()),0)</f>
        <v>181.818181818182</v>
      </c>
      <c r="H930" s="32" t="n">
        <f aca="false">IFERROR(D930*G930,0)</f>
        <v>0.545454545454545</v>
      </c>
    </row>
    <row r="931" customFormat="false" ht="15" hidden="false" customHeight="true" outlineLevel="0" collapsed="false">
      <c r="B931" s="14" t="n">
        <v>138</v>
      </c>
      <c r="C931" s="11" t="s">
        <v>63</v>
      </c>
      <c r="D931" s="17" t="n">
        <v>0.13</v>
      </c>
      <c r="E931" s="11" t="s">
        <v>65</v>
      </c>
      <c r="F931" s="14" t="str">
        <f aca="false">IFERROR(VLOOKUP(C931,Ingredients!$B$6:$I$206,7,FALSE()),"?")</f>
        <v>L</v>
      </c>
      <c r="G931" s="31" t="n">
        <f aca="false">IFERROR(VLOOKUP(C931,Ingredients!$B$6:$I$206,6,FALSE()),0)</f>
        <v>0.732745961820852</v>
      </c>
      <c r="H931" s="32" t="n">
        <f aca="false">IFERROR(D931*G931,0)</f>
        <v>0.0952569750367107</v>
      </c>
    </row>
    <row r="932" customFormat="false" ht="15" hidden="false" customHeight="true" outlineLevel="0" collapsed="false">
      <c r="B932" s="14" t="n">
        <v>138</v>
      </c>
      <c r="C932" s="11" t="s">
        <v>138</v>
      </c>
      <c r="D932" s="17" t="n">
        <v>1</v>
      </c>
      <c r="E932" s="11" t="s">
        <v>112</v>
      </c>
      <c r="F932" s="14" t="str">
        <f aca="false">IFERROR(VLOOKUP(C932,Ingredients!$B$6:$I$206,7,FALSE()),"?")</f>
        <v>unit</v>
      </c>
      <c r="G932" s="31" t="n">
        <f aca="false">IFERROR(VLOOKUP(C932,Ingredients!$B$6:$I$206,6,FALSE()),0)</f>
        <v>0.11</v>
      </c>
      <c r="H932" s="32" t="n">
        <f aca="false">IFERROR(D932*G932,0)</f>
        <v>0.11</v>
      </c>
    </row>
    <row r="933" customFormat="false" ht="15" hidden="false" customHeight="true" outlineLevel="0" collapsed="false">
      <c r="B933" s="14" t="n">
        <v>138</v>
      </c>
      <c r="C933" s="11" t="s">
        <v>140</v>
      </c>
      <c r="D933" s="17" t="n">
        <v>1</v>
      </c>
      <c r="E933" s="11" t="s">
        <v>112</v>
      </c>
      <c r="F933" s="14" t="str">
        <f aca="false">IFERROR(VLOOKUP(C933,Ingredients!$B$6:$I$206,7,FALSE()),"?")</f>
        <v>unit</v>
      </c>
      <c r="G933" s="31" t="n">
        <f aca="false">IFERROR(VLOOKUP(C933,Ingredients!$B$6:$I$206,6,FALSE()),0)</f>
        <v>0.03</v>
      </c>
      <c r="H933" s="32" t="n">
        <f aca="false">IFERROR(D933*G933,0)</f>
        <v>0.03</v>
      </c>
    </row>
    <row r="934" customFormat="false" ht="15" hidden="false" customHeight="true" outlineLevel="0" collapsed="false">
      <c r="B934" s="14" t="n">
        <v>138</v>
      </c>
      <c r="C934" s="11" t="s">
        <v>102</v>
      </c>
      <c r="D934" s="17" t="n">
        <v>30</v>
      </c>
      <c r="E934" s="11" t="s">
        <v>84</v>
      </c>
      <c r="F934" s="14" t="str">
        <f aca="false">IFERROR(VLOOKUP(C934,Ingredients!$B$6:$I$206,7,FALSE()),"?")</f>
        <v>ml</v>
      </c>
      <c r="G934" s="31" t="n">
        <f aca="false">IFERROR(VLOOKUP(C934,Ingredients!$B$6:$I$206,6,FALSE()),0)</f>
        <v>0.005</v>
      </c>
      <c r="H934" s="32" t="n">
        <f aca="false">IFERROR(D934*G934,0)</f>
        <v>0.15</v>
      </c>
    </row>
    <row r="935" customFormat="false" ht="15" hidden="false" customHeight="true" outlineLevel="0" collapsed="false">
      <c r="B935" s="14" t="n">
        <v>139</v>
      </c>
      <c r="C935" s="11" t="s">
        <v>77</v>
      </c>
      <c r="D935" s="17" t="n">
        <v>0.036</v>
      </c>
      <c r="E935" s="11" t="s">
        <v>79</v>
      </c>
      <c r="F935" s="14" t="str">
        <f aca="false">IFERROR(VLOOKUP(C935,Ingredients!$B$6:$I$206,7,FALSE()),"?")</f>
        <v>kg</v>
      </c>
      <c r="G935" s="31" t="n">
        <f aca="false">IFERROR(VLOOKUP(C935,Ingredients!$B$6:$I$206,6,FALSE()),0)</f>
        <v>16.25</v>
      </c>
      <c r="H935" s="32" t="n">
        <f aca="false">IFERROR(D935*G935,0)</f>
        <v>0.585</v>
      </c>
    </row>
    <row r="936" customFormat="false" ht="15" hidden="false" customHeight="true" outlineLevel="0" collapsed="false">
      <c r="B936" s="14" t="n">
        <v>139</v>
      </c>
      <c r="C936" s="11" t="s">
        <v>142</v>
      </c>
      <c r="D936" s="17" t="n">
        <v>1</v>
      </c>
      <c r="E936" s="11" t="s">
        <v>112</v>
      </c>
      <c r="F936" s="14" t="str">
        <f aca="false">IFERROR(VLOOKUP(C936,Ingredients!$B$6:$I$206,7,FALSE()),"?")</f>
        <v>unit</v>
      </c>
      <c r="G936" s="31" t="n">
        <f aca="false">IFERROR(VLOOKUP(C936,Ingredients!$B$6:$I$206,6,FALSE()),0)</f>
        <v>0.14</v>
      </c>
      <c r="H936" s="32" t="n">
        <f aca="false">IFERROR(D936*G936,0)</f>
        <v>0.14</v>
      </c>
    </row>
    <row r="937" customFormat="false" ht="15" hidden="false" customHeight="true" outlineLevel="0" collapsed="false">
      <c r="B937" s="14" t="n">
        <v>139</v>
      </c>
      <c r="C937" s="11" t="s">
        <v>144</v>
      </c>
      <c r="D937" s="17" t="n">
        <v>1</v>
      </c>
      <c r="E937" s="11" t="s">
        <v>112</v>
      </c>
      <c r="F937" s="14" t="str">
        <f aca="false">IFERROR(VLOOKUP(C937,Ingredients!$B$6:$I$206,7,FALSE()),"?")</f>
        <v>unit</v>
      </c>
      <c r="G937" s="31" t="n">
        <f aca="false">IFERROR(VLOOKUP(C937,Ingredients!$B$6:$I$206,6,FALSE()),0)</f>
        <v>0.03</v>
      </c>
      <c r="H937" s="32" t="n">
        <f aca="false">IFERROR(D937*G937,0)</f>
        <v>0.03</v>
      </c>
    </row>
    <row r="938" customFormat="false" ht="15" hidden="false" customHeight="true" outlineLevel="0" collapsed="false">
      <c r="B938" s="14" t="n">
        <v>140</v>
      </c>
      <c r="C938" s="11" t="s">
        <v>77</v>
      </c>
      <c r="D938" s="17" t="n">
        <v>0.036</v>
      </c>
      <c r="E938" s="11" t="s">
        <v>79</v>
      </c>
      <c r="F938" s="14" t="str">
        <f aca="false">IFERROR(VLOOKUP(C938,Ingredients!$B$6:$I$206,7,FALSE()),"?")</f>
        <v>kg</v>
      </c>
      <c r="G938" s="31" t="n">
        <f aca="false">IFERROR(VLOOKUP(C938,Ingredients!$B$6:$I$206,6,FALSE()),0)</f>
        <v>16.25</v>
      </c>
      <c r="H938" s="32" t="n">
        <f aca="false">IFERROR(D938*G938,0)</f>
        <v>0.585</v>
      </c>
    </row>
    <row r="939" customFormat="false" ht="15" hidden="false" customHeight="true" outlineLevel="0" collapsed="false">
      <c r="B939" s="14" t="n">
        <v>140</v>
      </c>
      <c r="C939" s="11" t="s">
        <v>138</v>
      </c>
      <c r="D939" s="17" t="n">
        <v>1</v>
      </c>
      <c r="E939" s="11" t="s">
        <v>112</v>
      </c>
      <c r="F939" s="14" t="str">
        <f aca="false">IFERROR(VLOOKUP(C939,Ingredients!$B$6:$I$206,7,FALSE()),"?")</f>
        <v>unit</v>
      </c>
      <c r="G939" s="31" t="n">
        <f aca="false">IFERROR(VLOOKUP(C939,Ingredients!$B$6:$I$206,6,FALSE()),0)</f>
        <v>0.11</v>
      </c>
      <c r="H939" s="32" t="n">
        <f aca="false">IFERROR(D939*G939,0)</f>
        <v>0.11</v>
      </c>
    </row>
    <row r="940" customFormat="false" ht="15" hidden="false" customHeight="true" outlineLevel="0" collapsed="false">
      <c r="B940" s="14" t="n">
        <v>140</v>
      </c>
      <c r="C940" s="11" t="s">
        <v>140</v>
      </c>
      <c r="D940" s="17" t="n">
        <v>1</v>
      </c>
      <c r="E940" s="11" t="s">
        <v>112</v>
      </c>
      <c r="F940" s="14" t="str">
        <f aca="false">IFERROR(VLOOKUP(C940,Ingredients!$B$6:$I$206,7,FALSE()),"?")</f>
        <v>unit</v>
      </c>
      <c r="G940" s="31" t="n">
        <f aca="false">IFERROR(VLOOKUP(C940,Ingredients!$B$6:$I$206,6,FALSE()),0)</f>
        <v>0.03</v>
      </c>
      <c r="H940" s="32" t="n">
        <f aca="false">IFERROR(D940*G940,0)</f>
        <v>0.03</v>
      </c>
    </row>
    <row r="941" customFormat="false" ht="15" hidden="false" customHeight="true" outlineLevel="0" collapsed="false">
      <c r="B941" s="14" t="n">
        <v>141</v>
      </c>
      <c r="C941" s="11" t="s">
        <v>77</v>
      </c>
      <c r="D941" s="17" t="n">
        <v>0.036</v>
      </c>
      <c r="E941" s="11" t="s">
        <v>79</v>
      </c>
      <c r="F941" s="14" t="str">
        <f aca="false">IFERROR(VLOOKUP(C941,Ingredients!$B$6:$I$206,7,FALSE()),"?")</f>
        <v>kg</v>
      </c>
      <c r="G941" s="31" t="n">
        <f aca="false">IFERROR(VLOOKUP(C941,Ingredients!$B$6:$I$206,6,FALSE()),0)</f>
        <v>16.25</v>
      </c>
      <c r="H941" s="32" t="n">
        <f aca="false">IFERROR(D941*G941,0)</f>
        <v>0.585</v>
      </c>
    </row>
    <row r="942" customFormat="false" ht="15" hidden="false" customHeight="true" outlineLevel="0" collapsed="false">
      <c r="B942" s="14" t="n">
        <v>141</v>
      </c>
      <c r="C942" s="11" t="s">
        <v>63</v>
      </c>
      <c r="D942" s="17" t="n">
        <v>0.2</v>
      </c>
      <c r="E942" s="11" t="s">
        <v>65</v>
      </c>
      <c r="F942" s="14" t="str">
        <f aca="false">IFERROR(VLOOKUP(C942,Ingredients!$B$6:$I$206,7,FALSE()),"?")</f>
        <v>L</v>
      </c>
      <c r="G942" s="31" t="n">
        <f aca="false">IFERROR(VLOOKUP(C942,Ingredients!$B$6:$I$206,6,FALSE()),0)</f>
        <v>0.732745961820852</v>
      </c>
      <c r="H942" s="32" t="n">
        <f aca="false">IFERROR(D942*G942,0)</f>
        <v>0.14654919236417</v>
      </c>
    </row>
    <row r="943" customFormat="false" ht="15" hidden="false" customHeight="true" outlineLevel="0" collapsed="false">
      <c r="B943" s="14" t="n">
        <v>141</v>
      </c>
      <c r="C943" s="11" t="s">
        <v>142</v>
      </c>
      <c r="D943" s="17" t="n">
        <v>1</v>
      </c>
      <c r="E943" s="11" t="s">
        <v>112</v>
      </c>
      <c r="F943" s="14" t="str">
        <f aca="false">IFERROR(VLOOKUP(C943,Ingredients!$B$6:$I$206,7,FALSE()),"?")</f>
        <v>unit</v>
      </c>
      <c r="G943" s="31" t="n">
        <f aca="false">IFERROR(VLOOKUP(C943,Ingredients!$B$6:$I$206,6,FALSE()),0)</f>
        <v>0.14</v>
      </c>
      <c r="H943" s="32" t="n">
        <f aca="false">IFERROR(D943*G943,0)</f>
        <v>0.14</v>
      </c>
    </row>
    <row r="944" customFormat="false" ht="15" hidden="false" customHeight="true" outlineLevel="0" collapsed="false">
      <c r="B944" s="14" t="n">
        <v>141</v>
      </c>
      <c r="C944" s="11" t="s">
        <v>144</v>
      </c>
      <c r="D944" s="17" t="n">
        <v>1</v>
      </c>
      <c r="E944" s="11" t="s">
        <v>112</v>
      </c>
      <c r="F944" s="14" t="str">
        <f aca="false">IFERROR(VLOOKUP(C944,Ingredients!$B$6:$I$206,7,FALSE()),"?")</f>
        <v>unit</v>
      </c>
      <c r="G944" s="31" t="n">
        <f aca="false">IFERROR(VLOOKUP(C944,Ingredients!$B$6:$I$206,6,FALSE()),0)</f>
        <v>0.03</v>
      </c>
      <c r="H944" s="32" t="n">
        <f aca="false">IFERROR(D944*G944,0)</f>
        <v>0.03</v>
      </c>
    </row>
    <row r="945" customFormat="false" ht="15" hidden="false" customHeight="true" outlineLevel="0" collapsed="false">
      <c r="B945" s="14" t="n">
        <v>142</v>
      </c>
      <c r="C945" s="11" t="s">
        <v>77</v>
      </c>
      <c r="D945" s="17" t="n">
        <v>0.036</v>
      </c>
      <c r="E945" s="11" t="s">
        <v>79</v>
      </c>
      <c r="F945" s="14" t="str">
        <f aca="false">IFERROR(VLOOKUP(C945,Ingredients!$B$6:$I$206,7,FALSE()),"?")</f>
        <v>kg</v>
      </c>
      <c r="G945" s="31" t="n">
        <f aca="false">IFERROR(VLOOKUP(C945,Ingredients!$B$6:$I$206,6,FALSE()),0)</f>
        <v>16.25</v>
      </c>
      <c r="H945" s="32" t="n">
        <f aca="false">IFERROR(D945*G945,0)</f>
        <v>0.585</v>
      </c>
    </row>
    <row r="946" customFormat="false" ht="15" hidden="false" customHeight="true" outlineLevel="0" collapsed="false">
      <c r="B946" s="14" t="n">
        <v>142</v>
      </c>
      <c r="C946" s="11" t="s">
        <v>63</v>
      </c>
      <c r="D946" s="17" t="n">
        <v>0.15</v>
      </c>
      <c r="E946" s="11" t="s">
        <v>65</v>
      </c>
      <c r="F946" s="14" t="str">
        <f aca="false">IFERROR(VLOOKUP(C946,Ingredients!$B$6:$I$206,7,FALSE()),"?")</f>
        <v>L</v>
      </c>
      <c r="G946" s="31" t="n">
        <f aca="false">IFERROR(VLOOKUP(C946,Ingredients!$B$6:$I$206,6,FALSE()),0)</f>
        <v>0.732745961820852</v>
      </c>
      <c r="H946" s="32" t="n">
        <f aca="false">IFERROR(D946*G946,0)</f>
        <v>0.109911894273128</v>
      </c>
    </row>
    <row r="947" customFormat="false" ht="15" hidden="false" customHeight="true" outlineLevel="0" collapsed="false">
      <c r="B947" s="14" t="n">
        <v>142</v>
      </c>
      <c r="C947" s="11" t="s">
        <v>138</v>
      </c>
      <c r="D947" s="17" t="n">
        <v>1</v>
      </c>
      <c r="E947" s="11" t="s">
        <v>112</v>
      </c>
      <c r="F947" s="14" t="str">
        <f aca="false">IFERROR(VLOOKUP(C947,Ingredients!$B$6:$I$206,7,FALSE()),"?")</f>
        <v>unit</v>
      </c>
      <c r="G947" s="31" t="n">
        <f aca="false">IFERROR(VLOOKUP(C947,Ingredients!$B$6:$I$206,6,FALSE()),0)</f>
        <v>0.11</v>
      </c>
      <c r="H947" s="32" t="n">
        <f aca="false">IFERROR(D947*G947,0)</f>
        <v>0.11</v>
      </c>
    </row>
    <row r="948" customFormat="false" ht="15" hidden="false" customHeight="true" outlineLevel="0" collapsed="false">
      <c r="B948" s="14" t="n">
        <v>142</v>
      </c>
      <c r="C948" s="11" t="s">
        <v>140</v>
      </c>
      <c r="D948" s="17" t="n">
        <v>1</v>
      </c>
      <c r="E948" s="11" t="s">
        <v>112</v>
      </c>
      <c r="F948" s="14" t="str">
        <f aca="false">IFERROR(VLOOKUP(C948,Ingredients!$B$6:$I$206,7,FALSE()),"?")</f>
        <v>unit</v>
      </c>
      <c r="G948" s="31" t="n">
        <f aca="false">IFERROR(VLOOKUP(C948,Ingredients!$B$6:$I$206,6,FALSE()),0)</f>
        <v>0.03</v>
      </c>
      <c r="H948" s="32" t="n">
        <f aca="false">IFERROR(D948*G948,0)</f>
        <v>0.03</v>
      </c>
    </row>
    <row r="949" customFormat="false" ht="15" hidden="false" customHeight="true" outlineLevel="0" collapsed="false">
      <c r="B949" s="14" t="n">
        <v>143</v>
      </c>
      <c r="C949" s="11" t="s">
        <v>77</v>
      </c>
      <c r="D949" s="17" t="n">
        <v>0.036</v>
      </c>
      <c r="E949" s="11" t="s">
        <v>79</v>
      </c>
      <c r="F949" s="14" t="str">
        <f aca="false">IFERROR(VLOOKUP(C949,Ingredients!$B$6:$I$206,7,FALSE()),"?")</f>
        <v>kg</v>
      </c>
      <c r="G949" s="31" t="n">
        <f aca="false">IFERROR(VLOOKUP(C949,Ingredients!$B$6:$I$206,6,FALSE()),0)</f>
        <v>16.25</v>
      </c>
      <c r="H949" s="32" t="n">
        <f aca="false">IFERROR(D949*G949,0)</f>
        <v>0.585</v>
      </c>
    </row>
    <row r="950" customFormat="false" ht="15" hidden="false" customHeight="true" outlineLevel="0" collapsed="false">
      <c r="B950" s="14" t="n">
        <v>143</v>
      </c>
      <c r="C950" s="11" t="s">
        <v>63</v>
      </c>
      <c r="D950" s="17" t="n">
        <v>0.2</v>
      </c>
      <c r="E950" s="11" t="s">
        <v>65</v>
      </c>
      <c r="F950" s="14" t="str">
        <f aca="false">IFERROR(VLOOKUP(C950,Ingredients!$B$6:$I$206,7,FALSE()),"?")</f>
        <v>L</v>
      </c>
      <c r="G950" s="31" t="n">
        <f aca="false">IFERROR(VLOOKUP(C950,Ingredients!$B$6:$I$206,6,FALSE()),0)</f>
        <v>0.732745961820852</v>
      </c>
      <c r="H950" s="32" t="n">
        <f aca="false">IFERROR(D950*G950,0)</f>
        <v>0.14654919236417</v>
      </c>
    </row>
    <row r="951" customFormat="false" ht="15" hidden="false" customHeight="true" outlineLevel="0" collapsed="false">
      <c r="B951" s="14" t="n">
        <v>143</v>
      </c>
      <c r="C951" s="11" t="s">
        <v>142</v>
      </c>
      <c r="D951" s="17" t="n">
        <v>1</v>
      </c>
      <c r="E951" s="11" t="s">
        <v>112</v>
      </c>
      <c r="F951" s="14" t="str">
        <f aca="false">IFERROR(VLOOKUP(C951,Ingredients!$B$6:$I$206,7,FALSE()),"?")</f>
        <v>unit</v>
      </c>
      <c r="G951" s="31" t="n">
        <f aca="false">IFERROR(VLOOKUP(C951,Ingredients!$B$6:$I$206,6,FALSE()),0)</f>
        <v>0.14</v>
      </c>
      <c r="H951" s="32" t="n">
        <f aca="false">IFERROR(D951*G951,0)</f>
        <v>0.14</v>
      </c>
    </row>
    <row r="952" customFormat="false" ht="15" hidden="false" customHeight="true" outlineLevel="0" collapsed="false">
      <c r="B952" s="14" t="n">
        <v>143</v>
      </c>
      <c r="C952" s="11" t="s">
        <v>144</v>
      </c>
      <c r="D952" s="17" t="n">
        <v>1</v>
      </c>
      <c r="E952" s="11" t="s">
        <v>112</v>
      </c>
      <c r="F952" s="14" t="str">
        <f aca="false">IFERROR(VLOOKUP(C952,Ingredients!$B$6:$I$206,7,FALSE()),"?")</f>
        <v>unit</v>
      </c>
      <c r="G952" s="31" t="n">
        <f aca="false">IFERROR(VLOOKUP(C952,Ingredients!$B$6:$I$206,6,FALSE()),0)</f>
        <v>0.03</v>
      </c>
      <c r="H952" s="32" t="n">
        <f aca="false">IFERROR(D952*G952,0)</f>
        <v>0.03</v>
      </c>
    </row>
    <row r="953" customFormat="false" ht="15" hidden="false" customHeight="true" outlineLevel="0" collapsed="false">
      <c r="B953" s="14" t="n">
        <v>144</v>
      </c>
      <c r="C953" s="11" t="s">
        <v>77</v>
      </c>
      <c r="D953" s="17" t="n">
        <v>0.036</v>
      </c>
      <c r="E953" s="11" t="s">
        <v>79</v>
      </c>
      <c r="F953" s="14" t="str">
        <f aca="false">IFERROR(VLOOKUP(C953,Ingredients!$B$6:$I$206,7,FALSE()),"?")</f>
        <v>kg</v>
      </c>
      <c r="G953" s="31" t="n">
        <f aca="false">IFERROR(VLOOKUP(C953,Ingredients!$B$6:$I$206,6,FALSE()),0)</f>
        <v>16.25</v>
      </c>
      <c r="H953" s="32" t="n">
        <f aca="false">IFERROR(D953*G953,0)</f>
        <v>0.585</v>
      </c>
    </row>
    <row r="954" customFormat="false" ht="15" hidden="false" customHeight="true" outlineLevel="0" collapsed="false">
      <c r="B954" s="14" t="n">
        <v>144</v>
      </c>
      <c r="C954" s="11" t="s">
        <v>63</v>
      </c>
      <c r="D954" s="17" t="n">
        <v>0.15</v>
      </c>
      <c r="E954" s="11" t="s">
        <v>65</v>
      </c>
      <c r="F954" s="14" t="str">
        <f aca="false">IFERROR(VLOOKUP(C954,Ingredients!$B$6:$I$206,7,FALSE()),"?")</f>
        <v>L</v>
      </c>
      <c r="G954" s="31" t="n">
        <f aca="false">IFERROR(VLOOKUP(C954,Ingredients!$B$6:$I$206,6,FALSE()),0)</f>
        <v>0.732745961820852</v>
      </c>
      <c r="H954" s="32" t="n">
        <f aca="false">IFERROR(D954*G954,0)</f>
        <v>0.109911894273128</v>
      </c>
    </row>
    <row r="955" customFormat="false" ht="15" hidden="false" customHeight="true" outlineLevel="0" collapsed="false">
      <c r="B955" s="14" t="n">
        <v>144</v>
      </c>
      <c r="C955" s="11" t="s">
        <v>138</v>
      </c>
      <c r="D955" s="17" t="n">
        <v>1</v>
      </c>
      <c r="E955" s="11" t="s">
        <v>112</v>
      </c>
      <c r="F955" s="14" t="str">
        <f aca="false">IFERROR(VLOOKUP(C955,Ingredients!$B$6:$I$206,7,FALSE()),"?")</f>
        <v>unit</v>
      </c>
      <c r="G955" s="31" t="n">
        <f aca="false">IFERROR(VLOOKUP(C955,Ingredients!$B$6:$I$206,6,FALSE()),0)</f>
        <v>0.11</v>
      </c>
      <c r="H955" s="32" t="n">
        <f aca="false">IFERROR(D955*G955,0)</f>
        <v>0.11</v>
      </c>
    </row>
    <row r="956" customFormat="false" ht="15" hidden="false" customHeight="true" outlineLevel="0" collapsed="false">
      <c r="B956" s="14" t="n">
        <v>144</v>
      </c>
      <c r="C956" s="11" t="s">
        <v>140</v>
      </c>
      <c r="D956" s="17" t="n">
        <v>1</v>
      </c>
      <c r="E956" s="11" t="s">
        <v>112</v>
      </c>
      <c r="F956" s="14" t="str">
        <f aca="false">IFERROR(VLOOKUP(C956,Ingredients!$B$6:$I$206,7,FALSE()),"?")</f>
        <v>unit</v>
      </c>
      <c r="G956" s="31" t="n">
        <f aca="false">IFERROR(VLOOKUP(C956,Ingredients!$B$6:$I$206,6,FALSE()),0)</f>
        <v>0.03</v>
      </c>
      <c r="H956" s="32" t="n">
        <f aca="false">IFERROR(D956*G956,0)</f>
        <v>0.03</v>
      </c>
    </row>
    <row r="957" customFormat="false" ht="15" hidden="false" customHeight="true" outlineLevel="0" collapsed="false">
      <c r="B957" s="14" t="n">
        <v>145</v>
      </c>
      <c r="C957" s="11" t="s">
        <v>122</v>
      </c>
      <c r="D957" s="17" t="n">
        <v>0.003</v>
      </c>
      <c r="E957" s="11" t="s">
        <v>79</v>
      </c>
      <c r="F957" s="14" t="str">
        <f aca="false">IFERROR(VLOOKUP(C957,Ingredients!$B$6:$I$206,7,FALSE()),"?")</f>
        <v>kg</v>
      </c>
      <c r="G957" s="31" t="n">
        <f aca="false">IFERROR(VLOOKUP(C957,Ingredients!$B$6:$I$206,6,FALSE()),0)</f>
        <v>181.818181818182</v>
      </c>
      <c r="H957" s="32" t="n">
        <f aca="false">IFERROR(D957*G957,0)</f>
        <v>0.545454545454545</v>
      </c>
    </row>
    <row r="958" customFormat="false" ht="15" hidden="false" customHeight="true" outlineLevel="0" collapsed="false">
      <c r="B958" s="14" t="n">
        <v>145</v>
      </c>
      <c r="C958" s="11" t="s">
        <v>63</v>
      </c>
      <c r="D958" s="17" t="n">
        <v>0.2</v>
      </c>
      <c r="E958" s="11" t="s">
        <v>65</v>
      </c>
      <c r="F958" s="14" t="str">
        <f aca="false">IFERROR(VLOOKUP(C958,Ingredients!$B$6:$I$206,7,FALSE()),"?")</f>
        <v>L</v>
      </c>
      <c r="G958" s="31" t="n">
        <f aca="false">IFERROR(VLOOKUP(C958,Ingredients!$B$6:$I$206,6,FALSE()),0)</f>
        <v>0.732745961820852</v>
      </c>
      <c r="H958" s="32" t="n">
        <f aca="false">IFERROR(D958*G958,0)</f>
        <v>0.14654919236417</v>
      </c>
    </row>
    <row r="959" customFormat="false" ht="15" hidden="false" customHeight="true" outlineLevel="0" collapsed="false">
      <c r="B959" s="14" t="n">
        <v>145</v>
      </c>
      <c r="C959" s="11" t="s">
        <v>142</v>
      </c>
      <c r="D959" s="17" t="n">
        <v>1</v>
      </c>
      <c r="E959" s="11" t="s">
        <v>112</v>
      </c>
      <c r="F959" s="14" t="str">
        <f aca="false">IFERROR(VLOOKUP(C959,Ingredients!$B$6:$I$206,7,FALSE()),"?")</f>
        <v>unit</v>
      </c>
      <c r="G959" s="31" t="n">
        <f aca="false">IFERROR(VLOOKUP(C959,Ingredients!$B$6:$I$206,6,FALSE()),0)</f>
        <v>0.14</v>
      </c>
      <c r="H959" s="32" t="n">
        <f aca="false">IFERROR(D959*G959,0)</f>
        <v>0.14</v>
      </c>
    </row>
    <row r="960" customFormat="false" ht="15" hidden="false" customHeight="true" outlineLevel="0" collapsed="false">
      <c r="B960" s="14" t="n">
        <v>145</v>
      </c>
      <c r="C960" s="11" t="s">
        <v>144</v>
      </c>
      <c r="D960" s="17" t="n">
        <v>1</v>
      </c>
      <c r="E960" s="11" t="s">
        <v>112</v>
      </c>
      <c r="F960" s="14" t="str">
        <f aca="false">IFERROR(VLOOKUP(C960,Ingredients!$B$6:$I$206,7,FALSE()),"?")</f>
        <v>unit</v>
      </c>
      <c r="G960" s="31" t="n">
        <f aca="false">IFERROR(VLOOKUP(C960,Ingredients!$B$6:$I$206,6,FALSE()),0)</f>
        <v>0.03</v>
      </c>
      <c r="H960" s="32" t="n">
        <f aca="false">IFERROR(D960*G960,0)</f>
        <v>0.03</v>
      </c>
    </row>
    <row r="961" customFormat="false" ht="15" hidden="false" customHeight="true" outlineLevel="0" collapsed="false">
      <c r="B961" s="14" t="n">
        <v>145</v>
      </c>
      <c r="C961" s="11" t="s">
        <v>103</v>
      </c>
      <c r="D961" s="17" t="n">
        <v>30</v>
      </c>
      <c r="E961" s="11" t="s">
        <v>84</v>
      </c>
      <c r="F961" s="14" t="str">
        <f aca="false">IFERROR(VLOOKUP(C961,Ingredients!$B$6:$I$206,7,FALSE()),"?")</f>
        <v>ml</v>
      </c>
      <c r="G961" s="31" t="n">
        <f aca="false">IFERROR(VLOOKUP(C961,Ingredients!$B$6:$I$206,6,FALSE()),0)</f>
        <v>0.005</v>
      </c>
      <c r="H961" s="32" t="n">
        <f aca="false">IFERROR(D961*G961,0)</f>
        <v>0.15</v>
      </c>
    </row>
    <row r="962" customFormat="false" ht="15" hidden="false" customHeight="true" outlineLevel="0" collapsed="false">
      <c r="B962" s="14" t="n">
        <v>146</v>
      </c>
      <c r="C962" s="11" t="s">
        <v>122</v>
      </c>
      <c r="D962" s="17" t="n">
        <v>0.003</v>
      </c>
      <c r="E962" s="11" t="s">
        <v>79</v>
      </c>
      <c r="F962" s="14" t="str">
        <f aca="false">IFERROR(VLOOKUP(C962,Ingredients!$B$6:$I$206,7,FALSE()),"?")</f>
        <v>kg</v>
      </c>
      <c r="G962" s="31" t="n">
        <f aca="false">IFERROR(VLOOKUP(C962,Ingredients!$B$6:$I$206,6,FALSE()),0)</f>
        <v>181.818181818182</v>
      </c>
      <c r="H962" s="32" t="n">
        <f aca="false">IFERROR(D962*G962,0)</f>
        <v>0.545454545454545</v>
      </c>
    </row>
    <row r="963" customFormat="false" ht="15" hidden="false" customHeight="true" outlineLevel="0" collapsed="false">
      <c r="B963" s="14" t="n">
        <v>146</v>
      </c>
      <c r="C963" s="11" t="s">
        <v>63</v>
      </c>
      <c r="D963" s="17" t="n">
        <v>0.13</v>
      </c>
      <c r="E963" s="11" t="s">
        <v>65</v>
      </c>
      <c r="F963" s="14" t="str">
        <f aca="false">IFERROR(VLOOKUP(C963,Ingredients!$B$6:$I$206,7,FALSE()),"?")</f>
        <v>L</v>
      </c>
      <c r="G963" s="31" t="n">
        <f aca="false">IFERROR(VLOOKUP(C963,Ingredients!$B$6:$I$206,6,FALSE()),0)</f>
        <v>0.732745961820852</v>
      </c>
      <c r="H963" s="32" t="n">
        <f aca="false">IFERROR(D963*G963,0)</f>
        <v>0.0952569750367107</v>
      </c>
    </row>
    <row r="964" customFormat="false" ht="15" hidden="false" customHeight="true" outlineLevel="0" collapsed="false">
      <c r="B964" s="14" t="n">
        <v>146</v>
      </c>
      <c r="C964" s="11" t="s">
        <v>138</v>
      </c>
      <c r="D964" s="17" t="n">
        <v>1</v>
      </c>
      <c r="E964" s="11" t="s">
        <v>112</v>
      </c>
      <c r="F964" s="14" t="str">
        <f aca="false">IFERROR(VLOOKUP(C964,Ingredients!$B$6:$I$206,7,FALSE()),"?")</f>
        <v>unit</v>
      </c>
      <c r="G964" s="31" t="n">
        <f aca="false">IFERROR(VLOOKUP(C964,Ingredients!$B$6:$I$206,6,FALSE()),0)</f>
        <v>0.11</v>
      </c>
      <c r="H964" s="32" t="n">
        <f aca="false">IFERROR(D964*G964,0)</f>
        <v>0.11</v>
      </c>
    </row>
    <row r="965" customFormat="false" ht="15" hidden="false" customHeight="true" outlineLevel="0" collapsed="false">
      <c r="B965" s="14" t="n">
        <v>146</v>
      </c>
      <c r="C965" s="11" t="s">
        <v>140</v>
      </c>
      <c r="D965" s="17" t="n">
        <v>1</v>
      </c>
      <c r="E965" s="11" t="s">
        <v>112</v>
      </c>
      <c r="F965" s="14" t="str">
        <f aca="false">IFERROR(VLOOKUP(C965,Ingredients!$B$6:$I$206,7,FALSE()),"?")</f>
        <v>unit</v>
      </c>
      <c r="G965" s="31" t="n">
        <f aca="false">IFERROR(VLOOKUP(C965,Ingredients!$B$6:$I$206,6,FALSE()),0)</f>
        <v>0.03</v>
      </c>
      <c r="H965" s="32" t="n">
        <f aca="false">IFERROR(D965*G965,0)</f>
        <v>0.03</v>
      </c>
    </row>
    <row r="966" customFormat="false" ht="15" hidden="false" customHeight="true" outlineLevel="0" collapsed="false">
      <c r="B966" s="14" t="n">
        <v>146</v>
      </c>
      <c r="C966" s="11" t="s">
        <v>103</v>
      </c>
      <c r="D966" s="17" t="n">
        <v>30</v>
      </c>
      <c r="E966" s="11" t="s">
        <v>84</v>
      </c>
      <c r="F966" s="14" t="str">
        <f aca="false">IFERROR(VLOOKUP(C966,Ingredients!$B$6:$I$206,7,FALSE()),"?")</f>
        <v>ml</v>
      </c>
      <c r="G966" s="31" t="n">
        <f aca="false">IFERROR(VLOOKUP(C966,Ingredients!$B$6:$I$206,6,FALSE()),0)</f>
        <v>0.005</v>
      </c>
      <c r="H966" s="32" t="n">
        <f aca="false">IFERROR(D966*G966,0)</f>
        <v>0.15</v>
      </c>
    </row>
    <row r="967" customFormat="false" ht="15" hidden="false" customHeight="true" outlineLevel="0" collapsed="false">
      <c r="B967" s="14" t="n">
        <v>147</v>
      </c>
      <c r="C967" s="11" t="s">
        <v>77</v>
      </c>
      <c r="D967" s="17" t="n">
        <v>0.036</v>
      </c>
      <c r="E967" s="11" t="s">
        <v>79</v>
      </c>
      <c r="F967" s="14" t="str">
        <f aca="false">IFERROR(VLOOKUP(C967,Ingredients!$B$6:$I$206,7,FALSE()),"?")</f>
        <v>kg</v>
      </c>
      <c r="G967" s="31" t="n">
        <f aca="false">IFERROR(VLOOKUP(C967,Ingredients!$B$6:$I$206,6,FALSE()),0)</f>
        <v>16.25</v>
      </c>
      <c r="H967" s="32" t="n">
        <f aca="false">IFERROR(D967*G967,0)</f>
        <v>0.585</v>
      </c>
    </row>
    <row r="968" customFormat="false" ht="15" hidden="false" customHeight="true" outlineLevel="0" collapsed="false">
      <c r="B968" s="14" t="n">
        <v>147</v>
      </c>
      <c r="C968" s="11" t="s">
        <v>63</v>
      </c>
      <c r="D968" s="17" t="n">
        <v>0.2</v>
      </c>
      <c r="E968" s="11" t="s">
        <v>65</v>
      </c>
      <c r="F968" s="14" t="str">
        <f aca="false">IFERROR(VLOOKUP(C968,Ingredients!$B$6:$I$206,7,FALSE()),"?")</f>
        <v>L</v>
      </c>
      <c r="G968" s="31" t="n">
        <f aca="false">IFERROR(VLOOKUP(C968,Ingredients!$B$6:$I$206,6,FALSE()),0)</f>
        <v>0.732745961820852</v>
      </c>
      <c r="H968" s="32" t="n">
        <f aca="false">IFERROR(D968*G968,0)</f>
        <v>0.14654919236417</v>
      </c>
    </row>
    <row r="969" customFormat="false" ht="15" hidden="false" customHeight="true" outlineLevel="0" collapsed="false">
      <c r="B969" s="14" t="n">
        <v>147</v>
      </c>
      <c r="C969" s="11" t="s">
        <v>142</v>
      </c>
      <c r="D969" s="17" t="n">
        <v>1</v>
      </c>
      <c r="E969" s="11" t="s">
        <v>112</v>
      </c>
      <c r="F969" s="14" t="str">
        <f aca="false">IFERROR(VLOOKUP(C969,Ingredients!$B$6:$I$206,7,FALSE()),"?")</f>
        <v>unit</v>
      </c>
      <c r="G969" s="31" t="n">
        <f aca="false">IFERROR(VLOOKUP(C969,Ingredients!$B$6:$I$206,6,FALSE()),0)</f>
        <v>0.14</v>
      </c>
      <c r="H969" s="32" t="n">
        <f aca="false">IFERROR(D969*G969,0)</f>
        <v>0.14</v>
      </c>
    </row>
    <row r="970" customFormat="false" ht="15" hidden="false" customHeight="true" outlineLevel="0" collapsed="false">
      <c r="B970" s="14" t="n">
        <v>147</v>
      </c>
      <c r="C970" s="11" t="s">
        <v>144</v>
      </c>
      <c r="D970" s="17" t="n">
        <v>1</v>
      </c>
      <c r="E970" s="11" t="s">
        <v>112</v>
      </c>
      <c r="F970" s="14" t="str">
        <f aca="false">IFERROR(VLOOKUP(C970,Ingredients!$B$6:$I$206,7,FALSE()),"?")</f>
        <v>unit</v>
      </c>
      <c r="G970" s="31" t="n">
        <f aca="false">IFERROR(VLOOKUP(C970,Ingredients!$B$6:$I$206,6,FALSE()),0)</f>
        <v>0.03</v>
      </c>
      <c r="H970" s="32" t="n">
        <f aca="false">IFERROR(D970*G970,0)</f>
        <v>0.03</v>
      </c>
    </row>
    <row r="971" customFormat="false" ht="15" hidden="false" customHeight="true" outlineLevel="0" collapsed="false">
      <c r="B971" s="14" t="n">
        <v>148</v>
      </c>
      <c r="C971" s="11" t="s">
        <v>77</v>
      </c>
      <c r="D971" s="17" t="n">
        <v>0.036</v>
      </c>
      <c r="E971" s="11" t="s">
        <v>79</v>
      </c>
      <c r="F971" s="14" t="str">
        <f aca="false">IFERROR(VLOOKUP(C971,Ingredients!$B$6:$I$206,7,FALSE()),"?")</f>
        <v>kg</v>
      </c>
      <c r="G971" s="31" t="n">
        <f aca="false">IFERROR(VLOOKUP(C971,Ingredients!$B$6:$I$206,6,FALSE()),0)</f>
        <v>16.25</v>
      </c>
      <c r="H971" s="32" t="n">
        <f aca="false">IFERROR(D971*G971,0)</f>
        <v>0.585</v>
      </c>
    </row>
    <row r="972" customFormat="false" ht="15" hidden="false" customHeight="true" outlineLevel="0" collapsed="false">
      <c r="B972" s="14" t="n">
        <v>148</v>
      </c>
      <c r="C972" s="11" t="s">
        <v>63</v>
      </c>
      <c r="D972" s="17" t="n">
        <v>0.15</v>
      </c>
      <c r="E972" s="11" t="s">
        <v>65</v>
      </c>
      <c r="F972" s="14" t="str">
        <f aca="false">IFERROR(VLOOKUP(C972,Ingredients!$B$6:$I$206,7,FALSE()),"?")</f>
        <v>L</v>
      </c>
      <c r="G972" s="31" t="n">
        <f aca="false">IFERROR(VLOOKUP(C972,Ingredients!$B$6:$I$206,6,FALSE()),0)</f>
        <v>0.732745961820852</v>
      </c>
      <c r="H972" s="32" t="n">
        <f aca="false">IFERROR(D972*G972,0)</f>
        <v>0.109911894273128</v>
      </c>
    </row>
    <row r="973" customFormat="false" ht="15" hidden="false" customHeight="true" outlineLevel="0" collapsed="false">
      <c r="B973" s="14" t="n">
        <v>148</v>
      </c>
      <c r="C973" s="11" t="s">
        <v>138</v>
      </c>
      <c r="D973" s="17" t="n">
        <v>1</v>
      </c>
      <c r="E973" s="11" t="s">
        <v>112</v>
      </c>
      <c r="F973" s="14" t="str">
        <f aca="false">IFERROR(VLOOKUP(C973,Ingredients!$B$6:$I$206,7,FALSE()),"?")</f>
        <v>unit</v>
      </c>
      <c r="G973" s="31" t="n">
        <f aca="false">IFERROR(VLOOKUP(C973,Ingredients!$B$6:$I$206,6,FALSE()),0)</f>
        <v>0.11</v>
      </c>
      <c r="H973" s="32" t="n">
        <f aca="false">IFERROR(D973*G973,0)</f>
        <v>0.11</v>
      </c>
    </row>
    <row r="974" customFormat="false" ht="15" hidden="false" customHeight="true" outlineLevel="0" collapsed="false">
      <c r="B974" s="14" t="n">
        <v>148</v>
      </c>
      <c r="C974" s="11" t="s">
        <v>140</v>
      </c>
      <c r="D974" s="17" t="n">
        <v>1</v>
      </c>
      <c r="E974" s="11" t="s">
        <v>112</v>
      </c>
      <c r="F974" s="14" t="str">
        <f aca="false">IFERROR(VLOOKUP(C974,Ingredients!$B$6:$I$206,7,FALSE()),"?")</f>
        <v>unit</v>
      </c>
      <c r="G974" s="31" t="n">
        <f aca="false">IFERROR(VLOOKUP(C974,Ingredients!$B$6:$I$206,6,FALSE()),0)</f>
        <v>0.03</v>
      </c>
      <c r="H974" s="32" t="n">
        <f aca="false">IFERROR(D974*G974,0)</f>
        <v>0.03</v>
      </c>
    </row>
    <row r="975" customFormat="false" ht="15" hidden="false" customHeight="true" outlineLevel="0" collapsed="false">
      <c r="B975" s="14" t="n">
        <v>149</v>
      </c>
      <c r="C975" s="11" t="s">
        <v>77</v>
      </c>
      <c r="D975" s="17" t="n">
        <v>0.036</v>
      </c>
      <c r="E975" s="11" t="s">
        <v>79</v>
      </c>
      <c r="F975" s="14" t="str">
        <f aca="false">IFERROR(VLOOKUP(C975,Ingredients!$B$6:$I$206,7,FALSE()),"?")</f>
        <v>kg</v>
      </c>
      <c r="G975" s="31" t="n">
        <f aca="false">IFERROR(VLOOKUP(C975,Ingredients!$B$6:$I$206,6,FALSE()),0)</f>
        <v>16.25</v>
      </c>
      <c r="H975" s="32" t="n">
        <f aca="false">IFERROR(D975*G975,0)</f>
        <v>0.585</v>
      </c>
    </row>
    <row r="976" customFormat="false" ht="15" hidden="false" customHeight="true" outlineLevel="0" collapsed="false">
      <c r="B976" s="14" t="n">
        <v>149</v>
      </c>
      <c r="C976" s="11" t="s">
        <v>63</v>
      </c>
      <c r="D976" s="17" t="n">
        <v>0.2</v>
      </c>
      <c r="E976" s="11" t="s">
        <v>65</v>
      </c>
      <c r="F976" s="14" t="str">
        <f aca="false">IFERROR(VLOOKUP(C976,Ingredients!$B$6:$I$206,7,FALSE()),"?")</f>
        <v>L</v>
      </c>
      <c r="G976" s="31" t="n">
        <f aca="false">IFERROR(VLOOKUP(C976,Ingredients!$B$6:$I$206,6,FALSE()),0)</f>
        <v>0.732745961820852</v>
      </c>
      <c r="H976" s="32" t="n">
        <f aca="false">IFERROR(D976*G976,0)</f>
        <v>0.14654919236417</v>
      </c>
    </row>
    <row r="977" customFormat="false" ht="15" hidden="false" customHeight="true" outlineLevel="0" collapsed="false">
      <c r="B977" s="14" t="n">
        <v>149</v>
      </c>
      <c r="C977" s="11" t="s">
        <v>142</v>
      </c>
      <c r="D977" s="17" t="n">
        <v>1</v>
      </c>
      <c r="E977" s="11" t="s">
        <v>112</v>
      </c>
      <c r="F977" s="14" t="str">
        <f aca="false">IFERROR(VLOOKUP(C977,Ingredients!$B$6:$I$206,7,FALSE()),"?")</f>
        <v>unit</v>
      </c>
      <c r="G977" s="31" t="n">
        <f aca="false">IFERROR(VLOOKUP(C977,Ingredients!$B$6:$I$206,6,FALSE()),0)</f>
        <v>0.14</v>
      </c>
      <c r="H977" s="32" t="n">
        <f aca="false">IFERROR(D977*G977,0)</f>
        <v>0.14</v>
      </c>
    </row>
    <row r="978" customFormat="false" ht="15" hidden="false" customHeight="true" outlineLevel="0" collapsed="false">
      <c r="B978" s="14" t="n">
        <v>149</v>
      </c>
      <c r="C978" s="11" t="s">
        <v>144</v>
      </c>
      <c r="D978" s="17" t="n">
        <v>1</v>
      </c>
      <c r="E978" s="11" t="s">
        <v>112</v>
      </c>
      <c r="F978" s="14" t="str">
        <f aca="false">IFERROR(VLOOKUP(C978,Ingredients!$B$6:$I$206,7,FALSE()),"?")</f>
        <v>unit</v>
      </c>
      <c r="G978" s="31" t="n">
        <f aca="false">IFERROR(VLOOKUP(C978,Ingredients!$B$6:$I$206,6,FALSE()),0)</f>
        <v>0.03</v>
      </c>
      <c r="H978" s="32" t="n">
        <f aca="false">IFERROR(D978*G978,0)</f>
        <v>0.03</v>
      </c>
    </row>
    <row r="979" customFormat="false" ht="15" hidden="false" customHeight="true" outlineLevel="0" collapsed="false">
      <c r="B979" s="14" t="n">
        <v>150</v>
      </c>
      <c r="C979" s="11" t="s">
        <v>77</v>
      </c>
      <c r="D979" s="17" t="n">
        <v>0.036</v>
      </c>
      <c r="E979" s="11" t="s">
        <v>79</v>
      </c>
      <c r="F979" s="14" t="str">
        <f aca="false">IFERROR(VLOOKUP(C979,Ingredients!$B$6:$I$206,7,FALSE()),"?")</f>
        <v>kg</v>
      </c>
      <c r="G979" s="31" t="n">
        <f aca="false">IFERROR(VLOOKUP(C979,Ingredients!$B$6:$I$206,6,FALSE()),0)</f>
        <v>16.25</v>
      </c>
      <c r="H979" s="32" t="n">
        <f aca="false">IFERROR(D979*G979,0)</f>
        <v>0.585</v>
      </c>
    </row>
    <row r="980" customFormat="false" ht="15" hidden="false" customHeight="true" outlineLevel="0" collapsed="false">
      <c r="B980" s="14" t="n">
        <v>150</v>
      </c>
      <c r="C980" s="11" t="s">
        <v>63</v>
      </c>
      <c r="D980" s="17" t="n">
        <v>0.15</v>
      </c>
      <c r="E980" s="11" t="s">
        <v>65</v>
      </c>
      <c r="F980" s="14" t="str">
        <f aca="false">IFERROR(VLOOKUP(C980,Ingredients!$B$6:$I$206,7,FALSE()),"?")</f>
        <v>L</v>
      </c>
      <c r="G980" s="31" t="n">
        <f aca="false">IFERROR(VLOOKUP(C980,Ingredients!$B$6:$I$206,6,FALSE()),0)</f>
        <v>0.732745961820852</v>
      </c>
      <c r="H980" s="32" t="n">
        <f aca="false">IFERROR(D980*G980,0)</f>
        <v>0.109911894273128</v>
      </c>
    </row>
    <row r="981" customFormat="false" ht="15" hidden="false" customHeight="true" outlineLevel="0" collapsed="false">
      <c r="B981" s="14" t="n">
        <v>150</v>
      </c>
      <c r="C981" s="11" t="s">
        <v>138</v>
      </c>
      <c r="D981" s="17" t="n">
        <v>1</v>
      </c>
      <c r="E981" s="11" t="s">
        <v>112</v>
      </c>
      <c r="F981" s="14" t="str">
        <f aca="false">IFERROR(VLOOKUP(C981,Ingredients!$B$6:$I$206,7,FALSE()),"?")</f>
        <v>unit</v>
      </c>
      <c r="G981" s="31" t="n">
        <f aca="false">IFERROR(VLOOKUP(C981,Ingredients!$B$6:$I$206,6,FALSE()),0)</f>
        <v>0.11</v>
      </c>
      <c r="H981" s="32" t="n">
        <f aca="false">IFERROR(D981*G981,0)</f>
        <v>0.11</v>
      </c>
    </row>
    <row r="982" customFormat="false" ht="15" hidden="false" customHeight="true" outlineLevel="0" collapsed="false">
      <c r="B982" s="14" t="n">
        <v>150</v>
      </c>
      <c r="C982" s="11" t="s">
        <v>140</v>
      </c>
      <c r="D982" s="17" t="n">
        <v>1</v>
      </c>
      <c r="E982" s="11" t="s">
        <v>112</v>
      </c>
      <c r="F982" s="14" t="str">
        <f aca="false">IFERROR(VLOOKUP(C982,Ingredients!$B$6:$I$206,7,FALSE()),"?")</f>
        <v>unit</v>
      </c>
      <c r="G982" s="31" t="n">
        <f aca="false">IFERROR(VLOOKUP(C982,Ingredients!$B$6:$I$206,6,FALSE()),0)</f>
        <v>0.03</v>
      </c>
      <c r="H982" s="32" t="n">
        <f aca="false">IFERROR(D982*G982,0)</f>
        <v>0.03</v>
      </c>
    </row>
    <row r="983" customFormat="false" ht="15" hidden="false" customHeight="true" outlineLevel="0" collapsed="false">
      <c r="B983" s="14" t="n">
        <v>151</v>
      </c>
      <c r="C983" s="11" t="s">
        <v>110</v>
      </c>
      <c r="D983" s="17" t="n">
        <v>1</v>
      </c>
      <c r="E983" s="11" t="s">
        <v>112</v>
      </c>
      <c r="F983" s="14" t="str">
        <f aca="false">IFERROR(VLOOKUP(C983,Ingredients!$B$6:$I$206,7,FALSE()),"?")</f>
        <v>unit</v>
      </c>
      <c r="G983" s="31" t="n">
        <f aca="false">IFERROR(VLOOKUP(C983,Ingredients!$B$6:$I$206,6,FALSE()),0)</f>
        <v>0.059875</v>
      </c>
      <c r="H983" s="32" t="n">
        <f aca="false">IFERROR(D983*G983,0)</f>
        <v>0.059875</v>
      </c>
    </row>
    <row r="984" customFormat="false" ht="15" hidden="false" customHeight="true" outlineLevel="0" collapsed="false">
      <c r="B984" s="14" t="n">
        <v>151</v>
      </c>
      <c r="C984" s="11" t="s">
        <v>107</v>
      </c>
      <c r="D984" s="17" t="n">
        <v>15</v>
      </c>
      <c r="E984" s="11" t="s">
        <v>84</v>
      </c>
      <c r="F984" s="14" t="str">
        <f aca="false">IFERROR(VLOOKUP(C984,Ingredients!$B$6:$I$206,7,FALSE()),"?")</f>
        <v>ml</v>
      </c>
      <c r="G984" s="31" t="n">
        <f aca="false">IFERROR(VLOOKUP(C984,Ingredients!$B$6:$I$206,6,FALSE()),0)</f>
        <v>0.0112</v>
      </c>
      <c r="H984" s="32" t="n">
        <f aca="false">IFERROR(D984*G984,0)</f>
        <v>0.168</v>
      </c>
    </row>
    <row r="985" customFormat="false" ht="15" hidden="false" customHeight="true" outlineLevel="0" collapsed="false">
      <c r="B985" s="14" t="n">
        <v>151</v>
      </c>
      <c r="C985" s="11" t="s">
        <v>142</v>
      </c>
      <c r="D985" s="17" t="n">
        <v>1</v>
      </c>
      <c r="E985" s="11" t="s">
        <v>112</v>
      </c>
      <c r="F985" s="14" t="str">
        <f aca="false">IFERROR(VLOOKUP(C985,Ingredients!$B$6:$I$206,7,FALSE()),"?")</f>
        <v>unit</v>
      </c>
      <c r="G985" s="31" t="n">
        <f aca="false">IFERROR(VLOOKUP(C985,Ingredients!$B$6:$I$206,6,FALSE()),0)</f>
        <v>0.14</v>
      </c>
      <c r="H985" s="32" t="n">
        <f aca="false">IFERROR(D985*G985,0)</f>
        <v>0.14</v>
      </c>
    </row>
    <row r="986" customFormat="false" ht="15" hidden="false" customHeight="true" outlineLevel="0" collapsed="false">
      <c r="B986" s="14" t="n">
        <v>151</v>
      </c>
      <c r="C986" s="11" t="s">
        <v>144</v>
      </c>
      <c r="D986" s="17" t="n">
        <v>1</v>
      </c>
      <c r="E986" s="11" t="s">
        <v>112</v>
      </c>
      <c r="F986" s="14" t="str">
        <f aca="false">IFERROR(VLOOKUP(C986,Ingredients!$B$6:$I$206,7,FALSE()),"?")</f>
        <v>unit</v>
      </c>
      <c r="G986" s="31" t="n">
        <f aca="false">IFERROR(VLOOKUP(C986,Ingredients!$B$6:$I$206,6,FALSE()),0)</f>
        <v>0.03</v>
      </c>
      <c r="H986" s="32" t="n">
        <f aca="false">IFERROR(D986*G986,0)</f>
        <v>0.03</v>
      </c>
    </row>
    <row r="987" customFormat="false" ht="15" hidden="false" customHeight="true" outlineLevel="0" collapsed="false">
      <c r="B987" s="14" t="n">
        <v>152</v>
      </c>
      <c r="C987" s="11" t="s">
        <v>110</v>
      </c>
      <c r="D987" s="17" t="n">
        <v>1</v>
      </c>
      <c r="E987" s="11" t="s">
        <v>112</v>
      </c>
      <c r="F987" s="14" t="str">
        <f aca="false">IFERROR(VLOOKUP(C987,Ingredients!$B$6:$I$206,7,FALSE()),"?")</f>
        <v>unit</v>
      </c>
      <c r="G987" s="31" t="n">
        <f aca="false">IFERROR(VLOOKUP(C987,Ingredients!$B$6:$I$206,6,FALSE()),0)</f>
        <v>0.059875</v>
      </c>
      <c r="H987" s="32" t="n">
        <f aca="false">IFERROR(D987*G987,0)</f>
        <v>0.059875</v>
      </c>
    </row>
    <row r="988" customFormat="false" ht="15" hidden="false" customHeight="true" outlineLevel="0" collapsed="false">
      <c r="B988" s="14" t="n">
        <v>152</v>
      </c>
      <c r="C988" s="11" t="s">
        <v>107</v>
      </c>
      <c r="D988" s="17" t="n">
        <v>15</v>
      </c>
      <c r="E988" s="11" t="s">
        <v>84</v>
      </c>
      <c r="F988" s="14" t="str">
        <f aca="false">IFERROR(VLOOKUP(C988,Ingredients!$B$6:$I$206,7,FALSE()),"?")</f>
        <v>ml</v>
      </c>
      <c r="G988" s="31" t="n">
        <f aca="false">IFERROR(VLOOKUP(C988,Ingredients!$B$6:$I$206,6,FALSE()),0)</f>
        <v>0.0112</v>
      </c>
      <c r="H988" s="32" t="n">
        <f aca="false">IFERROR(D988*G988,0)</f>
        <v>0.168</v>
      </c>
    </row>
    <row r="989" customFormat="false" ht="15" hidden="false" customHeight="true" outlineLevel="0" collapsed="false">
      <c r="B989" s="14" t="n">
        <v>152</v>
      </c>
      <c r="C989" s="11" t="s">
        <v>138</v>
      </c>
      <c r="D989" s="17" t="n">
        <v>1</v>
      </c>
      <c r="E989" s="11" t="s">
        <v>112</v>
      </c>
      <c r="F989" s="14" t="str">
        <f aca="false">IFERROR(VLOOKUP(C989,Ingredients!$B$6:$I$206,7,FALSE()),"?")</f>
        <v>unit</v>
      </c>
      <c r="G989" s="31" t="n">
        <f aca="false">IFERROR(VLOOKUP(C989,Ingredients!$B$6:$I$206,6,FALSE()),0)</f>
        <v>0.11</v>
      </c>
      <c r="H989" s="32" t="n">
        <f aca="false">IFERROR(D989*G989,0)</f>
        <v>0.11</v>
      </c>
    </row>
    <row r="990" customFormat="false" ht="15" hidden="false" customHeight="true" outlineLevel="0" collapsed="false">
      <c r="B990" s="14" t="n">
        <v>152</v>
      </c>
      <c r="C990" s="11" t="s">
        <v>140</v>
      </c>
      <c r="D990" s="17" t="n">
        <v>1</v>
      </c>
      <c r="E990" s="11" t="s">
        <v>112</v>
      </c>
      <c r="F990" s="14" t="str">
        <f aca="false">IFERROR(VLOOKUP(C990,Ingredients!$B$6:$I$206,7,FALSE()),"?")</f>
        <v>unit</v>
      </c>
      <c r="G990" s="31" t="n">
        <f aca="false">IFERROR(VLOOKUP(C990,Ingredients!$B$6:$I$206,6,FALSE()),0)</f>
        <v>0.03</v>
      </c>
      <c r="H990" s="32" t="n">
        <f aca="false">IFERROR(D990*G990,0)</f>
        <v>0.03</v>
      </c>
    </row>
    <row r="991" customFormat="false" ht="15" hidden="false" customHeight="true" outlineLevel="0" collapsed="false">
      <c r="B991" s="14" t="n">
        <v>153</v>
      </c>
      <c r="C991" s="11" t="s">
        <v>77</v>
      </c>
      <c r="D991" s="17" t="n">
        <v>0.036</v>
      </c>
      <c r="E991" s="11" t="s">
        <v>79</v>
      </c>
      <c r="F991" s="14" t="str">
        <f aca="false">IFERROR(VLOOKUP(C991,Ingredients!$B$6:$I$206,7,FALSE()),"?")</f>
        <v>kg</v>
      </c>
      <c r="G991" s="31" t="n">
        <f aca="false">IFERROR(VLOOKUP(C991,Ingredients!$B$6:$I$206,6,FALSE()),0)</f>
        <v>16.25</v>
      </c>
      <c r="H991" s="32" t="n">
        <f aca="false">IFERROR(D991*G991,0)</f>
        <v>0.585</v>
      </c>
    </row>
    <row r="992" customFormat="false" ht="15" hidden="false" customHeight="true" outlineLevel="0" collapsed="false">
      <c r="B992" s="14" t="n">
        <v>153</v>
      </c>
      <c r="C992" s="11" t="s">
        <v>63</v>
      </c>
      <c r="D992" s="17" t="n">
        <v>0.2</v>
      </c>
      <c r="E992" s="11" t="s">
        <v>65</v>
      </c>
      <c r="F992" s="14" t="str">
        <f aca="false">IFERROR(VLOOKUP(C992,Ingredients!$B$6:$I$206,7,FALSE()),"?")</f>
        <v>L</v>
      </c>
      <c r="G992" s="31" t="n">
        <f aca="false">IFERROR(VLOOKUP(C992,Ingredients!$B$6:$I$206,6,FALSE()),0)</f>
        <v>0.732745961820852</v>
      </c>
      <c r="H992" s="32" t="n">
        <f aca="false">IFERROR(D992*G992,0)</f>
        <v>0.14654919236417</v>
      </c>
    </row>
    <row r="993" customFormat="false" ht="15" hidden="false" customHeight="true" outlineLevel="0" collapsed="false">
      <c r="B993" s="14" t="n">
        <v>153</v>
      </c>
      <c r="C993" s="11" t="s">
        <v>116</v>
      </c>
      <c r="D993" s="17" t="n">
        <v>0.03</v>
      </c>
      <c r="E993" s="11" t="s">
        <v>79</v>
      </c>
      <c r="F993" s="14" t="str">
        <f aca="false">IFERROR(VLOOKUP(C993,Ingredients!$B$6:$I$206,7,FALSE()),"?")</f>
        <v>kg</v>
      </c>
      <c r="G993" s="31" t="n">
        <f aca="false">IFERROR(VLOOKUP(C993,Ingredients!$B$6:$I$206,6,FALSE()),0)</f>
        <v>7</v>
      </c>
      <c r="H993" s="32" t="n">
        <f aca="false">IFERROR(D993*G993,0)</f>
        <v>0.21</v>
      </c>
    </row>
    <row r="994" customFormat="false" ht="15" hidden="false" customHeight="true" outlineLevel="0" collapsed="false">
      <c r="B994" s="14" t="n">
        <v>153</v>
      </c>
      <c r="C994" s="11" t="s">
        <v>142</v>
      </c>
      <c r="D994" s="17" t="n">
        <v>1</v>
      </c>
      <c r="E994" s="11" t="s">
        <v>112</v>
      </c>
      <c r="F994" s="14" t="str">
        <f aca="false">IFERROR(VLOOKUP(C994,Ingredients!$B$6:$I$206,7,FALSE()),"?")</f>
        <v>unit</v>
      </c>
      <c r="G994" s="31" t="n">
        <f aca="false">IFERROR(VLOOKUP(C994,Ingredients!$B$6:$I$206,6,FALSE()),0)</f>
        <v>0.14</v>
      </c>
      <c r="H994" s="32" t="n">
        <f aca="false">IFERROR(D994*G994,0)</f>
        <v>0.14</v>
      </c>
    </row>
    <row r="995" customFormat="false" ht="15" hidden="false" customHeight="true" outlineLevel="0" collapsed="false">
      <c r="B995" s="14" t="n">
        <v>153</v>
      </c>
      <c r="C995" s="11" t="s">
        <v>144</v>
      </c>
      <c r="D995" s="17" t="n">
        <v>1</v>
      </c>
      <c r="E995" s="11" t="s">
        <v>112</v>
      </c>
      <c r="F995" s="14" t="str">
        <f aca="false">IFERROR(VLOOKUP(C995,Ingredients!$B$6:$I$206,7,FALSE()),"?")</f>
        <v>unit</v>
      </c>
      <c r="G995" s="31" t="n">
        <f aca="false">IFERROR(VLOOKUP(C995,Ingredients!$B$6:$I$206,6,FALSE()),0)</f>
        <v>0.03</v>
      </c>
      <c r="H995" s="32" t="n">
        <f aca="false">IFERROR(D995*G995,0)</f>
        <v>0.03</v>
      </c>
    </row>
    <row r="996" customFormat="false" ht="15" hidden="false" customHeight="true" outlineLevel="0" collapsed="false">
      <c r="B996" s="14" t="n">
        <v>154</v>
      </c>
      <c r="C996" s="11" t="s">
        <v>77</v>
      </c>
      <c r="D996" s="17" t="n">
        <v>0.036</v>
      </c>
      <c r="E996" s="11" t="s">
        <v>79</v>
      </c>
      <c r="F996" s="14" t="str">
        <f aca="false">IFERROR(VLOOKUP(C996,Ingredients!$B$6:$I$206,7,FALSE()),"?")</f>
        <v>kg</v>
      </c>
      <c r="G996" s="31" t="n">
        <f aca="false">IFERROR(VLOOKUP(C996,Ingredients!$B$6:$I$206,6,FALSE()),0)</f>
        <v>16.25</v>
      </c>
      <c r="H996" s="32" t="n">
        <f aca="false">IFERROR(D996*G996,0)</f>
        <v>0.585</v>
      </c>
    </row>
    <row r="997" customFormat="false" ht="15" hidden="false" customHeight="true" outlineLevel="0" collapsed="false">
      <c r="B997" s="14" t="n">
        <v>154</v>
      </c>
      <c r="C997" s="11" t="s">
        <v>63</v>
      </c>
      <c r="D997" s="17" t="n">
        <v>0.15</v>
      </c>
      <c r="E997" s="11" t="s">
        <v>65</v>
      </c>
      <c r="F997" s="14" t="str">
        <f aca="false">IFERROR(VLOOKUP(C997,Ingredients!$B$6:$I$206,7,FALSE()),"?")</f>
        <v>L</v>
      </c>
      <c r="G997" s="31" t="n">
        <f aca="false">IFERROR(VLOOKUP(C997,Ingredients!$B$6:$I$206,6,FALSE()),0)</f>
        <v>0.732745961820852</v>
      </c>
      <c r="H997" s="32" t="n">
        <f aca="false">IFERROR(D997*G997,0)</f>
        <v>0.109911894273128</v>
      </c>
    </row>
    <row r="998" customFormat="false" ht="15" hidden="false" customHeight="true" outlineLevel="0" collapsed="false">
      <c r="B998" s="14" t="n">
        <v>154</v>
      </c>
      <c r="C998" s="11" t="s">
        <v>116</v>
      </c>
      <c r="D998" s="17" t="n">
        <v>0.02</v>
      </c>
      <c r="E998" s="11" t="s">
        <v>79</v>
      </c>
      <c r="F998" s="14" t="str">
        <f aca="false">IFERROR(VLOOKUP(C998,Ingredients!$B$6:$I$206,7,FALSE()),"?")</f>
        <v>kg</v>
      </c>
      <c r="G998" s="31" t="n">
        <f aca="false">IFERROR(VLOOKUP(C998,Ingredients!$B$6:$I$206,6,FALSE()),0)</f>
        <v>7</v>
      </c>
      <c r="H998" s="32" t="n">
        <f aca="false">IFERROR(D998*G998,0)</f>
        <v>0.14</v>
      </c>
    </row>
    <row r="999" customFormat="false" ht="15" hidden="false" customHeight="true" outlineLevel="0" collapsed="false">
      <c r="B999" s="14" t="n">
        <v>154</v>
      </c>
      <c r="C999" s="11" t="s">
        <v>138</v>
      </c>
      <c r="D999" s="17" t="n">
        <v>1</v>
      </c>
      <c r="E999" s="11" t="s">
        <v>112</v>
      </c>
      <c r="F999" s="14" t="str">
        <f aca="false">IFERROR(VLOOKUP(C999,Ingredients!$B$6:$I$206,7,FALSE()),"?")</f>
        <v>unit</v>
      </c>
      <c r="G999" s="31" t="n">
        <f aca="false">IFERROR(VLOOKUP(C999,Ingredients!$B$6:$I$206,6,FALSE()),0)</f>
        <v>0.11</v>
      </c>
      <c r="H999" s="32" t="n">
        <f aca="false">IFERROR(D999*G999,0)</f>
        <v>0.11</v>
      </c>
    </row>
    <row r="1000" customFormat="false" ht="15" hidden="false" customHeight="true" outlineLevel="0" collapsed="false">
      <c r="B1000" s="14" t="n">
        <v>154</v>
      </c>
      <c r="C1000" s="11" t="s">
        <v>140</v>
      </c>
      <c r="D1000" s="17" t="n">
        <v>1</v>
      </c>
      <c r="E1000" s="11" t="s">
        <v>112</v>
      </c>
      <c r="F1000" s="14" t="str">
        <f aca="false">IFERROR(VLOOKUP(C1000,Ingredients!$B$6:$I$206,7,FALSE()),"?")</f>
        <v>unit</v>
      </c>
      <c r="G1000" s="31" t="n">
        <f aca="false">IFERROR(VLOOKUP(C1000,Ingredients!$B$6:$I$206,6,FALSE()),0)</f>
        <v>0.03</v>
      </c>
      <c r="H1000" s="32" t="n">
        <f aca="false">IFERROR(D1000*G1000,0)</f>
        <v>0.03</v>
      </c>
    </row>
    <row r="1001" customFormat="false" ht="15" hidden="false" customHeight="true" outlineLevel="0" collapsed="false">
      <c r="B1001" s="14" t="n">
        <v>155</v>
      </c>
      <c r="C1001" s="11" t="s">
        <v>122</v>
      </c>
      <c r="D1001" s="17" t="n">
        <v>0.003</v>
      </c>
      <c r="E1001" s="11" t="s">
        <v>79</v>
      </c>
      <c r="F1001" s="14" t="str">
        <f aca="false">IFERROR(VLOOKUP(C1001,Ingredients!$B$6:$I$206,7,FALSE()),"?")</f>
        <v>kg</v>
      </c>
      <c r="G1001" s="31" t="n">
        <f aca="false">IFERROR(VLOOKUP(C1001,Ingredients!$B$6:$I$206,6,FALSE()),0)</f>
        <v>181.818181818182</v>
      </c>
      <c r="H1001" s="32" t="n">
        <f aca="false">IFERROR(D1001*G1001,0)</f>
        <v>0.545454545454545</v>
      </c>
    </row>
    <row r="1002" customFormat="false" ht="15" hidden="false" customHeight="true" outlineLevel="0" collapsed="false">
      <c r="B1002" s="14" t="n">
        <v>155</v>
      </c>
      <c r="C1002" s="11" t="s">
        <v>63</v>
      </c>
      <c r="D1002" s="17" t="n">
        <v>0.2</v>
      </c>
      <c r="E1002" s="11" t="s">
        <v>65</v>
      </c>
      <c r="F1002" s="14" t="str">
        <f aca="false">IFERROR(VLOOKUP(C1002,Ingredients!$B$6:$I$206,7,FALSE()),"?")</f>
        <v>L</v>
      </c>
      <c r="G1002" s="31" t="n">
        <f aca="false">IFERROR(VLOOKUP(C1002,Ingredients!$B$6:$I$206,6,FALSE()),0)</f>
        <v>0.732745961820852</v>
      </c>
      <c r="H1002" s="32" t="n">
        <f aca="false">IFERROR(D1002*G1002,0)</f>
        <v>0.14654919236417</v>
      </c>
    </row>
    <row r="1003" customFormat="false" ht="15" hidden="false" customHeight="true" outlineLevel="0" collapsed="false">
      <c r="B1003" s="14" t="n">
        <v>155</v>
      </c>
      <c r="C1003" s="11" t="s">
        <v>142</v>
      </c>
      <c r="D1003" s="17" t="n">
        <v>1</v>
      </c>
      <c r="E1003" s="11" t="s">
        <v>112</v>
      </c>
      <c r="F1003" s="14" t="str">
        <f aca="false">IFERROR(VLOOKUP(C1003,Ingredients!$B$6:$I$206,7,FALSE()),"?")</f>
        <v>unit</v>
      </c>
      <c r="G1003" s="31" t="n">
        <f aca="false">IFERROR(VLOOKUP(C1003,Ingredients!$B$6:$I$206,6,FALSE()),0)</f>
        <v>0.14</v>
      </c>
      <c r="H1003" s="32" t="n">
        <f aca="false">IFERROR(D1003*G1003,0)</f>
        <v>0.14</v>
      </c>
    </row>
    <row r="1004" customFormat="false" ht="15" hidden="false" customHeight="true" outlineLevel="0" collapsed="false">
      <c r="B1004" s="14" t="n">
        <v>155</v>
      </c>
      <c r="C1004" s="11" t="s">
        <v>144</v>
      </c>
      <c r="D1004" s="17" t="n">
        <v>1</v>
      </c>
      <c r="E1004" s="11" t="s">
        <v>112</v>
      </c>
      <c r="F1004" s="14" t="str">
        <f aca="false">IFERROR(VLOOKUP(C1004,Ingredients!$B$6:$I$206,7,FALSE()),"?")</f>
        <v>unit</v>
      </c>
      <c r="G1004" s="31" t="n">
        <f aca="false">IFERROR(VLOOKUP(C1004,Ingredients!$B$6:$I$206,6,FALSE()),0)</f>
        <v>0.03</v>
      </c>
      <c r="H1004" s="32" t="n">
        <f aca="false">IFERROR(D1004*G1004,0)</f>
        <v>0.03</v>
      </c>
    </row>
    <row r="1005" customFormat="false" ht="15" hidden="false" customHeight="true" outlineLevel="0" collapsed="false">
      <c r="B1005" s="14" t="n">
        <v>155</v>
      </c>
      <c r="C1005" s="11" t="s">
        <v>100</v>
      </c>
      <c r="D1005" s="17" t="n">
        <v>30</v>
      </c>
      <c r="E1005" s="11" t="s">
        <v>84</v>
      </c>
      <c r="F1005" s="14" t="str">
        <f aca="false">IFERROR(VLOOKUP(C1005,Ingredients!$B$6:$I$206,7,FALSE()),"?")</f>
        <v>ml</v>
      </c>
      <c r="G1005" s="31" t="n">
        <f aca="false">IFERROR(VLOOKUP(C1005,Ingredients!$B$6:$I$206,6,FALSE()),0)</f>
        <v>0.005</v>
      </c>
      <c r="H1005" s="32" t="n">
        <f aca="false">IFERROR(D1005*G1005,0)</f>
        <v>0.15</v>
      </c>
    </row>
    <row r="1006" customFormat="false" ht="15" hidden="false" customHeight="true" outlineLevel="0" collapsed="false">
      <c r="B1006" s="14" t="n">
        <v>156</v>
      </c>
      <c r="C1006" s="11" t="s">
        <v>122</v>
      </c>
      <c r="D1006" s="17" t="n">
        <v>0.003</v>
      </c>
      <c r="E1006" s="11" t="s">
        <v>79</v>
      </c>
      <c r="F1006" s="14" t="str">
        <f aca="false">IFERROR(VLOOKUP(C1006,Ingredients!$B$6:$I$206,7,FALSE()),"?")</f>
        <v>kg</v>
      </c>
      <c r="G1006" s="31" t="n">
        <f aca="false">IFERROR(VLOOKUP(C1006,Ingredients!$B$6:$I$206,6,FALSE()),0)</f>
        <v>181.818181818182</v>
      </c>
      <c r="H1006" s="32" t="n">
        <f aca="false">IFERROR(D1006*G1006,0)</f>
        <v>0.545454545454545</v>
      </c>
    </row>
    <row r="1007" customFormat="false" ht="15" hidden="false" customHeight="true" outlineLevel="0" collapsed="false">
      <c r="B1007" s="14" t="n">
        <v>156</v>
      </c>
      <c r="C1007" s="11" t="s">
        <v>63</v>
      </c>
      <c r="D1007" s="17" t="n">
        <v>0.13</v>
      </c>
      <c r="E1007" s="11" t="s">
        <v>65</v>
      </c>
      <c r="F1007" s="14" t="str">
        <f aca="false">IFERROR(VLOOKUP(C1007,Ingredients!$B$6:$I$206,7,FALSE()),"?")</f>
        <v>L</v>
      </c>
      <c r="G1007" s="31" t="n">
        <f aca="false">IFERROR(VLOOKUP(C1007,Ingredients!$B$6:$I$206,6,FALSE()),0)</f>
        <v>0.732745961820852</v>
      </c>
      <c r="H1007" s="32" t="n">
        <f aca="false">IFERROR(D1007*G1007,0)</f>
        <v>0.0952569750367107</v>
      </c>
    </row>
    <row r="1008" customFormat="false" ht="15" hidden="false" customHeight="true" outlineLevel="0" collapsed="false">
      <c r="B1008" s="14" t="n">
        <v>156</v>
      </c>
      <c r="C1008" s="11" t="s">
        <v>138</v>
      </c>
      <c r="D1008" s="17" t="n">
        <v>1</v>
      </c>
      <c r="E1008" s="11" t="s">
        <v>112</v>
      </c>
      <c r="F1008" s="14" t="str">
        <f aca="false">IFERROR(VLOOKUP(C1008,Ingredients!$B$6:$I$206,7,FALSE()),"?")</f>
        <v>unit</v>
      </c>
      <c r="G1008" s="31" t="n">
        <f aca="false">IFERROR(VLOOKUP(C1008,Ingredients!$B$6:$I$206,6,FALSE()),0)</f>
        <v>0.11</v>
      </c>
      <c r="H1008" s="32" t="n">
        <f aca="false">IFERROR(D1008*G1008,0)</f>
        <v>0.11</v>
      </c>
    </row>
    <row r="1009" customFormat="false" ht="15" hidden="false" customHeight="true" outlineLevel="0" collapsed="false">
      <c r="B1009" s="14" t="n">
        <v>156</v>
      </c>
      <c r="C1009" s="11" t="s">
        <v>140</v>
      </c>
      <c r="D1009" s="17" t="n">
        <v>1</v>
      </c>
      <c r="E1009" s="11" t="s">
        <v>112</v>
      </c>
      <c r="F1009" s="14" t="str">
        <f aca="false">IFERROR(VLOOKUP(C1009,Ingredients!$B$6:$I$206,7,FALSE()),"?")</f>
        <v>unit</v>
      </c>
      <c r="G1009" s="31" t="n">
        <f aca="false">IFERROR(VLOOKUP(C1009,Ingredients!$B$6:$I$206,6,FALSE()),0)</f>
        <v>0.03</v>
      </c>
      <c r="H1009" s="32" t="n">
        <f aca="false">IFERROR(D1009*G1009,0)</f>
        <v>0.03</v>
      </c>
    </row>
    <row r="1010" customFormat="false" ht="15" hidden="false" customHeight="true" outlineLevel="0" collapsed="false">
      <c r="B1010" s="14" t="n">
        <v>156</v>
      </c>
      <c r="C1010" s="11" t="s">
        <v>100</v>
      </c>
      <c r="D1010" s="17" t="n">
        <v>30</v>
      </c>
      <c r="E1010" s="11" t="s">
        <v>84</v>
      </c>
      <c r="F1010" s="14" t="str">
        <f aca="false">IFERROR(VLOOKUP(C1010,Ingredients!$B$6:$I$206,7,FALSE()),"?")</f>
        <v>ml</v>
      </c>
      <c r="G1010" s="31" t="n">
        <f aca="false">IFERROR(VLOOKUP(C1010,Ingredients!$B$6:$I$206,6,FALSE()),0)</f>
        <v>0.005</v>
      </c>
      <c r="H1010" s="32" t="n">
        <f aca="false">IFERROR(D1010*G1010,0)</f>
        <v>0.15</v>
      </c>
    </row>
    <row r="1011" customFormat="false" ht="15" hidden="false" customHeight="true" outlineLevel="0" collapsed="false">
      <c r="B1011" s="14" t="n">
        <v>157</v>
      </c>
      <c r="C1011" s="11" t="s">
        <v>77</v>
      </c>
      <c r="D1011" s="17" t="n">
        <v>0.036</v>
      </c>
      <c r="E1011" s="11" t="s">
        <v>79</v>
      </c>
      <c r="F1011" s="14" t="str">
        <f aca="false">IFERROR(VLOOKUP(C1011,Ingredients!$B$6:$I$206,7,FALSE()),"?")</f>
        <v>kg</v>
      </c>
      <c r="G1011" s="31" t="n">
        <f aca="false">IFERROR(VLOOKUP(C1011,Ingredients!$B$6:$I$206,6,FALSE()),0)</f>
        <v>16.25</v>
      </c>
      <c r="H1011" s="32" t="n">
        <f aca="false">IFERROR(D1011*G1011,0)</f>
        <v>0.585</v>
      </c>
    </row>
    <row r="1012" customFormat="false" ht="15" hidden="false" customHeight="true" outlineLevel="0" collapsed="false">
      <c r="B1012" s="14" t="n">
        <v>157</v>
      </c>
      <c r="C1012" s="11" t="s">
        <v>63</v>
      </c>
      <c r="D1012" s="17" t="n">
        <v>0.06</v>
      </c>
      <c r="E1012" s="11" t="s">
        <v>65</v>
      </c>
      <c r="F1012" s="14" t="str">
        <f aca="false">IFERROR(VLOOKUP(C1012,Ingredients!$B$6:$I$206,7,FALSE()),"?")</f>
        <v>L</v>
      </c>
      <c r="G1012" s="31" t="n">
        <f aca="false">IFERROR(VLOOKUP(C1012,Ingredients!$B$6:$I$206,6,FALSE()),0)</f>
        <v>0.732745961820852</v>
      </c>
      <c r="H1012" s="32" t="n">
        <f aca="false">IFERROR(D1012*G1012,0)</f>
        <v>0.0439647577092511</v>
      </c>
    </row>
    <row r="1013" customFormat="false" ht="15" hidden="false" customHeight="true" outlineLevel="0" collapsed="false">
      <c r="B1013" s="14" t="n">
        <v>157</v>
      </c>
      <c r="C1013" s="11" t="s">
        <v>142</v>
      </c>
      <c r="D1013" s="17" t="n">
        <v>1</v>
      </c>
      <c r="E1013" s="11" t="s">
        <v>112</v>
      </c>
      <c r="F1013" s="14" t="str">
        <f aca="false">IFERROR(VLOOKUP(C1013,Ingredients!$B$6:$I$206,7,FALSE()),"?")</f>
        <v>unit</v>
      </c>
      <c r="G1013" s="31" t="n">
        <f aca="false">IFERROR(VLOOKUP(C1013,Ingredients!$B$6:$I$206,6,FALSE()),0)</f>
        <v>0.14</v>
      </c>
      <c r="H1013" s="32" t="n">
        <f aca="false">IFERROR(D1013*G1013,0)</f>
        <v>0.14</v>
      </c>
    </row>
    <row r="1014" customFormat="false" ht="15" hidden="false" customHeight="true" outlineLevel="0" collapsed="false">
      <c r="B1014" s="14" t="n">
        <v>157</v>
      </c>
      <c r="C1014" s="11" t="s">
        <v>144</v>
      </c>
      <c r="D1014" s="17" t="n">
        <v>1</v>
      </c>
      <c r="E1014" s="11" t="s">
        <v>112</v>
      </c>
      <c r="F1014" s="14" t="str">
        <f aca="false">IFERROR(VLOOKUP(C1014,Ingredients!$B$6:$I$206,7,FALSE()),"?")</f>
        <v>unit</v>
      </c>
      <c r="G1014" s="31" t="n">
        <f aca="false">IFERROR(VLOOKUP(C1014,Ingredients!$B$6:$I$206,6,FALSE()),0)</f>
        <v>0.03</v>
      </c>
      <c r="H1014" s="32" t="n">
        <f aca="false">IFERROR(D1014*G1014,0)</f>
        <v>0.03</v>
      </c>
    </row>
    <row r="1015" customFormat="false" ht="15" hidden="false" customHeight="true" outlineLevel="0" collapsed="false">
      <c r="B1015" s="14" t="n">
        <v>158</v>
      </c>
      <c r="C1015" s="11" t="s">
        <v>77</v>
      </c>
      <c r="D1015" s="17" t="n">
        <v>0.036</v>
      </c>
      <c r="E1015" s="11" t="s">
        <v>79</v>
      </c>
      <c r="F1015" s="14" t="str">
        <f aca="false">IFERROR(VLOOKUP(C1015,Ingredients!$B$6:$I$206,7,FALSE()),"?")</f>
        <v>kg</v>
      </c>
      <c r="G1015" s="31" t="n">
        <f aca="false">IFERROR(VLOOKUP(C1015,Ingredients!$B$6:$I$206,6,FALSE()),0)</f>
        <v>16.25</v>
      </c>
      <c r="H1015" s="32" t="n">
        <f aca="false">IFERROR(D1015*G1015,0)</f>
        <v>0.585</v>
      </c>
    </row>
    <row r="1016" customFormat="false" ht="15" hidden="false" customHeight="true" outlineLevel="0" collapsed="false">
      <c r="B1016" s="14" t="n">
        <v>158</v>
      </c>
      <c r="C1016" s="11" t="s">
        <v>63</v>
      </c>
      <c r="D1016" s="17" t="n">
        <v>0.04</v>
      </c>
      <c r="E1016" s="11" t="s">
        <v>65</v>
      </c>
      <c r="F1016" s="14" t="str">
        <f aca="false">IFERROR(VLOOKUP(C1016,Ingredients!$B$6:$I$206,7,FALSE()),"?")</f>
        <v>L</v>
      </c>
      <c r="G1016" s="31" t="n">
        <f aca="false">IFERROR(VLOOKUP(C1016,Ingredients!$B$6:$I$206,6,FALSE()),0)</f>
        <v>0.732745961820852</v>
      </c>
      <c r="H1016" s="32" t="n">
        <f aca="false">IFERROR(D1016*G1016,0)</f>
        <v>0.0293098384728341</v>
      </c>
    </row>
    <row r="1017" customFormat="false" ht="15" hidden="false" customHeight="true" outlineLevel="0" collapsed="false">
      <c r="B1017" s="14" t="n">
        <v>158</v>
      </c>
      <c r="C1017" s="11" t="s">
        <v>138</v>
      </c>
      <c r="D1017" s="17" t="n">
        <v>1</v>
      </c>
      <c r="E1017" s="11" t="s">
        <v>112</v>
      </c>
      <c r="F1017" s="14" t="str">
        <f aca="false">IFERROR(VLOOKUP(C1017,Ingredients!$B$6:$I$206,7,FALSE()),"?")</f>
        <v>unit</v>
      </c>
      <c r="G1017" s="31" t="n">
        <f aca="false">IFERROR(VLOOKUP(C1017,Ingredients!$B$6:$I$206,6,FALSE()),0)</f>
        <v>0.11</v>
      </c>
      <c r="H1017" s="32" t="n">
        <f aca="false">IFERROR(D1017*G1017,0)</f>
        <v>0.11</v>
      </c>
    </row>
    <row r="1018" customFormat="false" ht="15" hidden="false" customHeight="true" outlineLevel="0" collapsed="false">
      <c r="B1018" s="14" t="n">
        <v>158</v>
      </c>
      <c r="C1018" s="11" t="s">
        <v>140</v>
      </c>
      <c r="D1018" s="17" t="n">
        <v>1</v>
      </c>
      <c r="E1018" s="11" t="s">
        <v>112</v>
      </c>
      <c r="F1018" s="14" t="str">
        <f aca="false">IFERROR(VLOOKUP(C1018,Ingredients!$B$6:$I$206,7,FALSE()),"?")</f>
        <v>unit</v>
      </c>
      <c r="G1018" s="31" t="n">
        <f aca="false">IFERROR(VLOOKUP(C1018,Ingredients!$B$6:$I$206,6,FALSE()),0)</f>
        <v>0.03</v>
      </c>
      <c r="H1018" s="32" t="n">
        <f aca="false">IFERROR(D1018*G1018,0)</f>
        <v>0.03</v>
      </c>
    </row>
    <row r="1019" customFormat="false" ht="15" hidden="false" customHeight="true" outlineLevel="0" collapsed="false">
      <c r="B1019" s="14" t="n">
        <v>159</v>
      </c>
      <c r="C1019" s="11" t="s">
        <v>77</v>
      </c>
      <c r="D1019" s="17" t="n">
        <v>0.036</v>
      </c>
      <c r="E1019" s="11" t="s">
        <v>79</v>
      </c>
      <c r="F1019" s="14" t="str">
        <f aca="false">IFERROR(VLOOKUP(C1019,Ingredients!$B$6:$I$206,7,FALSE()),"?")</f>
        <v>kg</v>
      </c>
      <c r="G1019" s="31" t="n">
        <f aca="false">IFERROR(VLOOKUP(C1019,Ingredients!$B$6:$I$206,6,FALSE()),0)</f>
        <v>16.25</v>
      </c>
      <c r="H1019" s="32" t="n">
        <f aca="false">IFERROR(D1019*G1019,0)</f>
        <v>0.585</v>
      </c>
    </row>
    <row r="1020" customFormat="false" ht="15" hidden="false" customHeight="true" outlineLevel="0" collapsed="false">
      <c r="B1020" s="14" t="n">
        <v>159</v>
      </c>
      <c r="C1020" s="11" t="s">
        <v>63</v>
      </c>
      <c r="D1020" s="17" t="n">
        <v>0.2</v>
      </c>
      <c r="E1020" s="11" t="s">
        <v>65</v>
      </c>
      <c r="F1020" s="14" t="str">
        <f aca="false">IFERROR(VLOOKUP(C1020,Ingredients!$B$6:$I$206,7,FALSE()),"?")</f>
        <v>L</v>
      </c>
      <c r="G1020" s="31" t="n">
        <f aca="false">IFERROR(VLOOKUP(C1020,Ingredients!$B$6:$I$206,6,FALSE()),0)</f>
        <v>0.732745961820852</v>
      </c>
      <c r="H1020" s="32" t="n">
        <f aca="false">IFERROR(D1020*G1020,0)</f>
        <v>0.14654919236417</v>
      </c>
    </row>
    <row r="1021" customFormat="false" ht="15" hidden="false" customHeight="true" outlineLevel="0" collapsed="false">
      <c r="B1021" s="14" t="n">
        <v>159</v>
      </c>
      <c r="C1021" s="11" t="s">
        <v>119</v>
      </c>
      <c r="D1021" s="17" t="n">
        <v>0.03</v>
      </c>
      <c r="E1021" s="11" t="s">
        <v>79</v>
      </c>
      <c r="F1021" s="14" t="str">
        <f aca="false">IFERROR(VLOOKUP(C1021,Ingredients!$B$6:$I$206,7,FALSE()),"?")</f>
        <v>ml</v>
      </c>
      <c r="G1021" s="31" t="n">
        <f aca="false">IFERROR(VLOOKUP(C1021,Ingredients!$B$6:$I$206,6,FALSE()),0)</f>
        <v>6</v>
      </c>
      <c r="H1021" s="32" t="n">
        <f aca="false">IFERROR(D1021*G1021,0)</f>
        <v>0.18</v>
      </c>
    </row>
    <row r="1022" customFormat="false" ht="15" hidden="false" customHeight="true" outlineLevel="0" collapsed="false">
      <c r="B1022" s="14" t="n">
        <v>159</v>
      </c>
      <c r="C1022" s="11" t="s">
        <v>142</v>
      </c>
      <c r="D1022" s="17" t="n">
        <v>1</v>
      </c>
      <c r="E1022" s="11" t="s">
        <v>112</v>
      </c>
      <c r="F1022" s="14" t="str">
        <f aca="false">IFERROR(VLOOKUP(C1022,Ingredients!$B$6:$I$206,7,FALSE()),"?")</f>
        <v>unit</v>
      </c>
      <c r="G1022" s="31" t="n">
        <f aca="false">IFERROR(VLOOKUP(C1022,Ingredients!$B$6:$I$206,6,FALSE()),0)</f>
        <v>0.14</v>
      </c>
      <c r="H1022" s="32" t="n">
        <f aca="false">IFERROR(D1022*G1022,0)</f>
        <v>0.14</v>
      </c>
    </row>
    <row r="1023" customFormat="false" ht="15" hidden="false" customHeight="true" outlineLevel="0" collapsed="false">
      <c r="B1023" s="14" t="n">
        <v>159</v>
      </c>
      <c r="C1023" s="11" t="s">
        <v>144</v>
      </c>
      <c r="D1023" s="17" t="n">
        <v>1</v>
      </c>
      <c r="E1023" s="11" t="s">
        <v>112</v>
      </c>
      <c r="F1023" s="14" t="str">
        <f aca="false">IFERROR(VLOOKUP(C1023,Ingredients!$B$6:$I$206,7,FALSE()),"?")</f>
        <v>unit</v>
      </c>
      <c r="G1023" s="31" t="n">
        <f aca="false">IFERROR(VLOOKUP(C1023,Ingredients!$B$6:$I$206,6,FALSE()),0)</f>
        <v>0.03</v>
      </c>
      <c r="H1023" s="32" t="n">
        <f aca="false">IFERROR(D1023*G1023,0)</f>
        <v>0.03</v>
      </c>
    </row>
    <row r="1024" customFormat="false" ht="15" hidden="false" customHeight="true" outlineLevel="0" collapsed="false">
      <c r="B1024" s="14" t="n">
        <v>160</v>
      </c>
      <c r="C1024" s="11" t="s">
        <v>77</v>
      </c>
      <c r="D1024" s="17" t="n">
        <v>0.036</v>
      </c>
      <c r="E1024" s="11" t="s">
        <v>79</v>
      </c>
      <c r="F1024" s="14" t="str">
        <f aca="false">IFERROR(VLOOKUP(C1024,Ingredients!$B$6:$I$206,7,FALSE()),"?")</f>
        <v>kg</v>
      </c>
      <c r="G1024" s="31" t="n">
        <f aca="false">IFERROR(VLOOKUP(C1024,Ingredients!$B$6:$I$206,6,FALSE()),0)</f>
        <v>16.25</v>
      </c>
      <c r="H1024" s="32" t="n">
        <f aca="false">IFERROR(D1024*G1024,0)</f>
        <v>0.585</v>
      </c>
    </row>
    <row r="1025" customFormat="false" ht="15" hidden="false" customHeight="true" outlineLevel="0" collapsed="false">
      <c r="B1025" s="14" t="n">
        <v>160</v>
      </c>
      <c r="C1025" s="11" t="s">
        <v>63</v>
      </c>
      <c r="D1025" s="17" t="n">
        <v>0.15</v>
      </c>
      <c r="E1025" s="11" t="s">
        <v>65</v>
      </c>
      <c r="F1025" s="14" t="str">
        <f aca="false">IFERROR(VLOOKUP(C1025,Ingredients!$B$6:$I$206,7,FALSE()),"?")</f>
        <v>L</v>
      </c>
      <c r="G1025" s="31" t="n">
        <f aca="false">IFERROR(VLOOKUP(C1025,Ingredients!$B$6:$I$206,6,FALSE()),0)</f>
        <v>0.732745961820852</v>
      </c>
      <c r="H1025" s="32" t="n">
        <f aca="false">IFERROR(D1025*G1025,0)</f>
        <v>0.109911894273128</v>
      </c>
    </row>
    <row r="1026" customFormat="false" ht="15" hidden="false" customHeight="true" outlineLevel="0" collapsed="false">
      <c r="B1026" s="14" t="n">
        <v>160</v>
      </c>
      <c r="C1026" s="11" t="s">
        <v>119</v>
      </c>
      <c r="D1026" s="17" t="n">
        <v>0.02</v>
      </c>
      <c r="E1026" s="11" t="s">
        <v>79</v>
      </c>
      <c r="F1026" s="14" t="str">
        <f aca="false">IFERROR(VLOOKUP(C1026,Ingredients!$B$6:$I$206,7,FALSE()),"?")</f>
        <v>ml</v>
      </c>
      <c r="G1026" s="31" t="n">
        <f aca="false">IFERROR(VLOOKUP(C1026,Ingredients!$B$6:$I$206,6,FALSE()),0)</f>
        <v>6</v>
      </c>
      <c r="H1026" s="32" t="n">
        <f aca="false">IFERROR(D1026*G1026,0)</f>
        <v>0.12</v>
      </c>
    </row>
    <row r="1027" customFormat="false" ht="15" hidden="false" customHeight="true" outlineLevel="0" collapsed="false">
      <c r="B1027" s="14" t="n">
        <v>160</v>
      </c>
      <c r="C1027" s="11" t="s">
        <v>138</v>
      </c>
      <c r="D1027" s="17" t="n">
        <v>1</v>
      </c>
      <c r="E1027" s="11" t="s">
        <v>112</v>
      </c>
      <c r="F1027" s="14" t="str">
        <f aca="false">IFERROR(VLOOKUP(C1027,Ingredients!$B$6:$I$206,7,FALSE()),"?")</f>
        <v>unit</v>
      </c>
      <c r="G1027" s="31" t="n">
        <f aca="false">IFERROR(VLOOKUP(C1027,Ingredients!$B$6:$I$206,6,FALSE()),0)</f>
        <v>0.11</v>
      </c>
      <c r="H1027" s="32" t="n">
        <f aca="false">IFERROR(D1027*G1027,0)</f>
        <v>0.11</v>
      </c>
    </row>
    <row r="1028" customFormat="false" ht="15" hidden="false" customHeight="true" outlineLevel="0" collapsed="false">
      <c r="B1028" s="14" t="n">
        <v>160</v>
      </c>
      <c r="C1028" s="11" t="s">
        <v>140</v>
      </c>
      <c r="D1028" s="17" t="n">
        <v>1</v>
      </c>
      <c r="E1028" s="11" t="s">
        <v>112</v>
      </c>
      <c r="F1028" s="14" t="str">
        <f aca="false">IFERROR(VLOOKUP(C1028,Ingredients!$B$6:$I$206,7,FALSE()),"?")</f>
        <v>unit</v>
      </c>
      <c r="G1028" s="31" t="n">
        <f aca="false">IFERROR(VLOOKUP(C1028,Ingredients!$B$6:$I$206,6,FALSE()),0)</f>
        <v>0.03</v>
      </c>
      <c r="H1028" s="32" t="n">
        <f aca="false">IFERROR(D1028*G1028,0)</f>
        <v>0.03</v>
      </c>
    </row>
    <row r="1029" customFormat="false" ht="15" hidden="false" customHeight="true" outlineLevel="0" collapsed="false">
      <c r="B1029" s="14" t="n">
        <v>161</v>
      </c>
      <c r="C1029" s="11" t="s">
        <v>110</v>
      </c>
      <c r="D1029" s="17" t="n">
        <v>1</v>
      </c>
      <c r="E1029" s="11" t="s">
        <v>112</v>
      </c>
      <c r="F1029" s="14" t="str">
        <f aca="false">IFERROR(VLOOKUP(C1029,Ingredients!$B$6:$I$206,7,FALSE()),"?")</f>
        <v>unit</v>
      </c>
      <c r="G1029" s="31" t="n">
        <f aca="false">IFERROR(VLOOKUP(C1029,Ingredients!$B$6:$I$206,6,FALSE()),0)</f>
        <v>0.059875</v>
      </c>
      <c r="H1029" s="32" t="n">
        <f aca="false">IFERROR(D1029*G1029,0)</f>
        <v>0.059875</v>
      </c>
    </row>
    <row r="1030" customFormat="false" ht="15" hidden="false" customHeight="true" outlineLevel="0" collapsed="false">
      <c r="B1030" s="14" t="n">
        <v>161</v>
      </c>
      <c r="C1030" s="11" t="s">
        <v>138</v>
      </c>
      <c r="D1030" s="17" t="n">
        <v>1</v>
      </c>
      <c r="E1030" s="11" t="s">
        <v>112</v>
      </c>
      <c r="F1030" s="14" t="str">
        <f aca="false">IFERROR(VLOOKUP(C1030,Ingredients!$B$6:$I$206,7,FALSE()),"?")</f>
        <v>unit</v>
      </c>
      <c r="G1030" s="31" t="n">
        <f aca="false">IFERROR(VLOOKUP(C1030,Ingredients!$B$6:$I$206,6,FALSE()),0)</f>
        <v>0.11</v>
      </c>
      <c r="H1030" s="32" t="n">
        <f aca="false">IFERROR(D1030*G1030,0)</f>
        <v>0.11</v>
      </c>
    </row>
    <row r="1031" customFormat="false" ht="15" hidden="false" customHeight="true" outlineLevel="0" collapsed="false">
      <c r="B1031" s="14" t="n">
        <v>161</v>
      </c>
      <c r="C1031" s="11" t="s">
        <v>140</v>
      </c>
      <c r="D1031" s="17" t="n">
        <v>1</v>
      </c>
      <c r="E1031" s="11" t="s">
        <v>112</v>
      </c>
      <c r="F1031" s="14" t="str">
        <f aca="false">IFERROR(VLOOKUP(C1031,Ingredients!$B$6:$I$206,7,FALSE()),"?")</f>
        <v>unit</v>
      </c>
      <c r="G1031" s="31" t="n">
        <f aca="false">IFERROR(VLOOKUP(C1031,Ingredients!$B$6:$I$206,6,FALSE()),0)</f>
        <v>0.03</v>
      </c>
      <c r="H1031" s="32" t="n">
        <f aca="false">IFERROR(D1031*G1031,0)</f>
        <v>0.03</v>
      </c>
    </row>
    <row r="1032" customFormat="false" ht="15" hidden="false" customHeight="true" outlineLevel="0" collapsed="false">
      <c r="B1032" s="14" t="n">
        <v>163</v>
      </c>
      <c r="C1032" s="11" t="s">
        <v>63</v>
      </c>
      <c r="D1032" s="17" t="n">
        <v>0.2</v>
      </c>
      <c r="E1032" s="11" t="s">
        <v>65</v>
      </c>
      <c r="F1032" s="14" t="str">
        <f aca="false">IFERROR(VLOOKUP(C1032,Ingredients!$B$6:$I$206,7,FALSE()),"?")</f>
        <v>L</v>
      </c>
      <c r="G1032" s="31" t="n">
        <f aca="false">IFERROR(VLOOKUP(C1032,Ingredients!$B$6:$I$206,6,FALSE()),0)</f>
        <v>0.732745961820852</v>
      </c>
      <c r="H1032" s="32" t="n">
        <f aca="false">IFERROR(D1032*G1032,0)</f>
        <v>0.14654919236417</v>
      </c>
    </row>
    <row r="1033" customFormat="false" ht="15" hidden="false" customHeight="true" outlineLevel="0" collapsed="false">
      <c r="B1033" s="14" t="n">
        <v>163</v>
      </c>
      <c r="C1033" s="11" t="s">
        <v>104</v>
      </c>
      <c r="D1033" s="17" t="n">
        <v>30</v>
      </c>
      <c r="E1033" s="11" t="s">
        <v>84</v>
      </c>
      <c r="F1033" s="14" t="str">
        <f aca="false">IFERROR(VLOOKUP(C1033,Ingredients!$B$6:$I$206,7,FALSE()),"?")</f>
        <v>ml</v>
      </c>
      <c r="G1033" s="31" t="n">
        <f aca="false">IFERROR(VLOOKUP(C1033,Ingredients!$B$6:$I$206,6,FALSE()),0)</f>
        <v>0.005</v>
      </c>
      <c r="H1033" s="32" t="n">
        <f aca="false">IFERROR(D1033*G1033,0)</f>
        <v>0.15</v>
      </c>
    </row>
    <row r="1034" customFormat="false" ht="15" hidden="false" customHeight="true" outlineLevel="0" collapsed="false">
      <c r="B1034" s="14" t="n">
        <v>163</v>
      </c>
      <c r="C1034" s="11" t="s">
        <v>125</v>
      </c>
      <c r="D1034" s="17" t="n">
        <v>0.02</v>
      </c>
      <c r="E1034" s="11" t="s">
        <v>79</v>
      </c>
      <c r="F1034" s="14" t="str">
        <f aca="false">IFERROR(VLOOKUP(C1034,Ingredients!$B$6:$I$206,7,FALSE()),"?")</f>
        <v>kg</v>
      </c>
      <c r="G1034" s="31" t="n">
        <f aca="false">IFERROR(VLOOKUP(C1034,Ingredients!$B$6:$I$206,6,FALSE()),0)</f>
        <v>5.9375</v>
      </c>
      <c r="H1034" s="32" t="n">
        <f aca="false">IFERROR(D1034*G1034,0)</f>
        <v>0.11875</v>
      </c>
    </row>
    <row r="1035" customFormat="false" ht="15" hidden="false" customHeight="true" outlineLevel="0" collapsed="false">
      <c r="B1035" s="14" t="n">
        <v>163</v>
      </c>
      <c r="C1035" s="11" t="s">
        <v>142</v>
      </c>
      <c r="D1035" s="17" t="n">
        <v>1</v>
      </c>
      <c r="E1035" s="11" t="s">
        <v>112</v>
      </c>
      <c r="F1035" s="14" t="str">
        <f aca="false">IFERROR(VLOOKUP(C1035,Ingredients!$B$6:$I$206,7,FALSE()),"?")</f>
        <v>unit</v>
      </c>
      <c r="G1035" s="31" t="n">
        <f aca="false">IFERROR(VLOOKUP(C1035,Ingredients!$B$6:$I$206,6,FALSE()),0)</f>
        <v>0.14</v>
      </c>
      <c r="H1035" s="32" t="n">
        <f aca="false">IFERROR(D1035*G1035,0)</f>
        <v>0.14</v>
      </c>
    </row>
    <row r="1036" customFormat="false" ht="15" hidden="false" customHeight="true" outlineLevel="0" collapsed="false">
      <c r="B1036" s="14" t="n">
        <v>163</v>
      </c>
      <c r="C1036" s="11" t="s">
        <v>144</v>
      </c>
      <c r="D1036" s="17" t="n">
        <v>1</v>
      </c>
      <c r="E1036" s="11" t="s">
        <v>112</v>
      </c>
      <c r="F1036" s="14" t="str">
        <f aca="false">IFERROR(VLOOKUP(C1036,Ingredients!$B$6:$I$206,7,FALSE()),"?")</f>
        <v>unit</v>
      </c>
      <c r="G1036" s="31" t="n">
        <f aca="false">IFERROR(VLOOKUP(C1036,Ingredients!$B$6:$I$206,6,FALSE()),0)</f>
        <v>0.03</v>
      </c>
      <c r="H1036" s="32" t="n">
        <f aca="false">IFERROR(D1036*G1036,0)</f>
        <v>0.03</v>
      </c>
    </row>
    <row r="1037" customFormat="false" ht="15" hidden="false" customHeight="true" outlineLevel="0" collapsed="false">
      <c r="B1037" s="14" t="n">
        <v>164</v>
      </c>
      <c r="C1037" s="11" t="s">
        <v>63</v>
      </c>
      <c r="D1037" s="17" t="n">
        <v>0.2</v>
      </c>
      <c r="E1037" s="11" t="s">
        <v>65</v>
      </c>
      <c r="F1037" s="14" t="str">
        <f aca="false">IFERROR(VLOOKUP(C1037,Ingredients!$B$6:$I$206,7,FALSE()),"?")</f>
        <v>L</v>
      </c>
      <c r="G1037" s="31" t="n">
        <f aca="false">IFERROR(VLOOKUP(C1037,Ingredients!$B$6:$I$206,6,FALSE()),0)</f>
        <v>0.732745961820852</v>
      </c>
      <c r="H1037" s="32" t="n">
        <f aca="false">IFERROR(D1037*G1037,0)</f>
        <v>0.14654919236417</v>
      </c>
    </row>
    <row r="1038" customFormat="false" ht="15" hidden="false" customHeight="true" outlineLevel="0" collapsed="false">
      <c r="B1038" s="14" t="n">
        <v>164</v>
      </c>
      <c r="C1038" s="11" t="s">
        <v>104</v>
      </c>
      <c r="D1038" s="17" t="n">
        <v>30</v>
      </c>
      <c r="E1038" s="11" t="s">
        <v>84</v>
      </c>
      <c r="F1038" s="14" t="str">
        <f aca="false">IFERROR(VLOOKUP(C1038,Ingredients!$B$6:$I$206,7,FALSE()),"?")</f>
        <v>ml</v>
      </c>
      <c r="G1038" s="31" t="n">
        <f aca="false">IFERROR(VLOOKUP(C1038,Ingredients!$B$6:$I$206,6,FALSE()),0)</f>
        <v>0.005</v>
      </c>
      <c r="H1038" s="32" t="n">
        <f aca="false">IFERROR(D1038*G1038,0)</f>
        <v>0.15</v>
      </c>
    </row>
    <row r="1039" customFormat="false" ht="15" hidden="false" customHeight="true" outlineLevel="0" collapsed="false">
      <c r="B1039" s="14" t="n">
        <v>164</v>
      </c>
      <c r="C1039" s="11" t="s">
        <v>125</v>
      </c>
      <c r="D1039" s="17" t="n">
        <v>0.02</v>
      </c>
      <c r="E1039" s="11" t="s">
        <v>79</v>
      </c>
      <c r="F1039" s="14" t="str">
        <f aca="false">IFERROR(VLOOKUP(C1039,Ingredients!$B$6:$I$206,7,FALSE()),"?")</f>
        <v>kg</v>
      </c>
      <c r="G1039" s="31" t="n">
        <f aca="false">IFERROR(VLOOKUP(C1039,Ingredients!$B$6:$I$206,6,FALSE()),0)</f>
        <v>5.9375</v>
      </c>
      <c r="H1039" s="32" t="n">
        <f aca="false">IFERROR(D1039*G1039,0)</f>
        <v>0.11875</v>
      </c>
    </row>
    <row r="1040" customFormat="false" ht="15" hidden="false" customHeight="true" outlineLevel="0" collapsed="false">
      <c r="B1040" s="14" t="n">
        <v>164</v>
      </c>
      <c r="C1040" s="11" t="s">
        <v>138</v>
      </c>
      <c r="D1040" s="17" t="n">
        <v>1</v>
      </c>
      <c r="E1040" s="11" t="s">
        <v>112</v>
      </c>
      <c r="F1040" s="14" t="str">
        <f aca="false">IFERROR(VLOOKUP(C1040,Ingredients!$B$6:$I$206,7,FALSE()),"?")</f>
        <v>unit</v>
      </c>
      <c r="G1040" s="31" t="n">
        <f aca="false">IFERROR(VLOOKUP(C1040,Ingredients!$B$6:$I$206,6,FALSE()),0)</f>
        <v>0.11</v>
      </c>
      <c r="H1040" s="32" t="n">
        <f aca="false">IFERROR(D1040*G1040,0)</f>
        <v>0.11</v>
      </c>
    </row>
    <row r="1041" customFormat="false" ht="15" hidden="false" customHeight="true" outlineLevel="0" collapsed="false">
      <c r="B1041" s="14" t="n">
        <v>164</v>
      </c>
      <c r="C1041" s="11" t="s">
        <v>140</v>
      </c>
      <c r="D1041" s="17" t="n">
        <v>1</v>
      </c>
      <c r="E1041" s="11" t="s">
        <v>112</v>
      </c>
      <c r="F1041" s="14" t="str">
        <f aca="false">IFERROR(VLOOKUP(C1041,Ingredients!$B$6:$I$206,7,FALSE()),"?")</f>
        <v>unit</v>
      </c>
      <c r="G1041" s="31" t="n">
        <f aca="false">IFERROR(VLOOKUP(C1041,Ingredients!$B$6:$I$206,6,FALSE()),0)</f>
        <v>0.03</v>
      </c>
      <c r="H1041" s="32" t="n">
        <f aca="false">IFERROR(D1041*G1041,0)</f>
        <v>0.03</v>
      </c>
    </row>
    <row r="1042" customFormat="false" ht="15" hidden="false" customHeight="true" outlineLevel="0" collapsed="false">
      <c r="B1042" s="14" t="n">
        <v>166</v>
      </c>
      <c r="C1042" s="11" t="s">
        <v>77</v>
      </c>
      <c r="D1042" s="17" t="n">
        <v>0.036</v>
      </c>
      <c r="E1042" s="11" t="s">
        <v>79</v>
      </c>
      <c r="F1042" s="14" t="str">
        <f aca="false">IFERROR(VLOOKUP(C1042,Ingredients!$B$6:$I$206,7,FALSE()),"?")</f>
        <v>kg</v>
      </c>
      <c r="G1042" s="31" t="n">
        <f aca="false">IFERROR(VLOOKUP(C1042,Ingredients!$B$6:$I$206,6,FALSE()),0)</f>
        <v>16.25</v>
      </c>
      <c r="H1042" s="32" t="n">
        <f aca="false">IFERROR(D1042*G1042,0)</f>
        <v>0.585</v>
      </c>
    </row>
    <row r="1043" customFormat="false" ht="15" hidden="false" customHeight="true" outlineLevel="0" collapsed="false">
      <c r="B1043" s="14" t="n">
        <v>166</v>
      </c>
      <c r="C1043" s="11" t="s">
        <v>63</v>
      </c>
      <c r="D1043" s="17" t="n">
        <v>0.3</v>
      </c>
      <c r="E1043" s="11" t="s">
        <v>65</v>
      </c>
      <c r="F1043" s="14" t="str">
        <f aca="false">IFERROR(VLOOKUP(C1043,Ingredients!$B$6:$I$206,7,FALSE()),"?")</f>
        <v>L</v>
      </c>
      <c r="G1043" s="31" t="n">
        <f aca="false">IFERROR(VLOOKUP(C1043,Ingredients!$B$6:$I$206,6,FALSE()),0)</f>
        <v>0.732745961820852</v>
      </c>
      <c r="H1043" s="32" t="n">
        <f aca="false">IFERROR(D1043*G1043,0)</f>
        <v>0.219823788546256</v>
      </c>
    </row>
    <row r="1044" customFormat="false" ht="15" hidden="false" customHeight="true" outlineLevel="0" collapsed="false">
      <c r="B1044" s="14" t="n">
        <v>166</v>
      </c>
      <c r="C1044" s="11" t="s">
        <v>138</v>
      </c>
      <c r="D1044" s="17" t="n">
        <v>1</v>
      </c>
      <c r="E1044" s="11" t="s">
        <v>112</v>
      </c>
      <c r="F1044" s="14" t="str">
        <f aca="false">IFERROR(VLOOKUP(C1044,Ingredients!$B$6:$I$206,7,FALSE()),"?")</f>
        <v>unit</v>
      </c>
      <c r="G1044" s="31" t="n">
        <f aca="false">IFERROR(VLOOKUP(C1044,Ingredients!$B$6:$I$206,6,FALSE()),0)</f>
        <v>0.11</v>
      </c>
      <c r="H1044" s="32" t="n">
        <f aca="false">IFERROR(D1044*G1044,0)</f>
        <v>0.11</v>
      </c>
    </row>
    <row r="1045" customFormat="false" ht="15" hidden="false" customHeight="true" outlineLevel="0" collapsed="false">
      <c r="B1045" s="14" t="n">
        <v>166</v>
      </c>
      <c r="C1045" s="11" t="s">
        <v>140</v>
      </c>
      <c r="D1045" s="17" t="n">
        <v>1</v>
      </c>
      <c r="E1045" s="11" t="s">
        <v>112</v>
      </c>
      <c r="F1045" s="14" t="str">
        <f aca="false">IFERROR(VLOOKUP(C1045,Ingredients!$B$6:$I$206,7,FALSE()),"?")</f>
        <v>unit</v>
      </c>
      <c r="G1045" s="31" t="n">
        <f aca="false">IFERROR(VLOOKUP(C1045,Ingredients!$B$6:$I$206,6,FALSE()),0)</f>
        <v>0.03</v>
      </c>
      <c r="H1045" s="32" t="n">
        <f aca="false">IFERROR(D1045*G1045,0)</f>
        <v>0.03</v>
      </c>
    </row>
    <row r="1046" customFormat="false" ht="15" hidden="false" customHeight="true" outlineLevel="0" collapsed="false">
      <c r="B1046" s="14" t="n">
        <v>167</v>
      </c>
      <c r="C1046" s="11" t="s">
        <v>77</v>
      </c>
      <c r="D1046" s="17" t="n">
        <v>0.036</v>
      </c>
      <c r="E1046" s="11" t="s">
        <v>79</v>
      </c>
      <c r="F1046" s="14" t="str">
        <f aca="false">IFERROR(VLOOKUP(C1046,Ingredients!$B$6:$I$206,7,FALSE()),"?")</f>
        <v>kg</v>
      </c>
      <c r="G1046" s="31" t="n">
        <f aca="false">IFERROR(VLOOKUP(C1046,Ingredients!$B$6:$I$206,6,FALSE()),0)</f>
        <v>16.25</v>
      </c>
      <c r="H1046" s="32" t="n">
        <f aca="false">IFERROR(D1046*G1046,0)</f>
        <v>0.585</v>
      </c>
    </row>
    <row r="1047" customFormat="false" ht="15" hidden="false" customHeight="true" outlineLevel="0" collapsed="false">
      <c r="B1047" s="14" t="n">
        <v>167</v>
      </c>
      <c r="C1047" s="11" t="s">
        <v>63</v>
      </c>
      <c r="D1047" s="17" t="n">
        <v>0.18</v>
      </c>
      <c r="E1047" s="11" t="s">
        <v>65</v>
      </c>
      <c r="F1047" s="14" t="str">
        <f aca="false">IFERROR(VLOOKUP(C1047,Ingredients!$B$6:$I$206,7,FALSE()),"?")</f>
        <v>L</v>
      </c>
      <c r="G1047" s="31" t="n">
        <f aca="false">IFERROR(VLOOKUP(C1047,Ingredients!$B$6:$I$206,6,FALSE()),0)</f>
        <v>0.732745961820852</v>
      </c>
      <c r="H1047" s="32" t="n">
        <f aca="false">IFERROR(D1047*G1047,0)</f>
        <v>0.131894273127753</v>
      </c>
    </row>
    <row r="1048" customFormat="false" ht="15" hidden="false" customHeight="true" outlineLevel="0" collapsed="false">
      <c r="B1048" s="14" t="n">
        <v>167</v>
      </c>
      <c r="C1048" s="11" t="s">
        <v>134</v>
      </c>
      <c r="D1048" s="17" t="n">
        <v>1</v>
      </c>
      <c r="E1048" s="11" t="s">
        <v>112</v>
      </c>
      <c r="F1048" s="14" t="str">
        <f aca="false">IFERROR(VLOOKUP(C1048,Ingredients!$B$6:$I$206,7,FALSE()),"?")</f>
        <v>unit</v>
      </c>
      <c r="G1048" s="31" t="n">
        <f aca="false">IFERROR(VLOOKUP(C1048,Ingredients!$B$6:$I$206,6,FALSE()),0)</f>
        <v>0.09</v>
      </c>
      <c r="H1048" s="32" t="n">
        <f aca="false">IFERROR(D1048*G1048,0)</f>
        <v>0.09</v>
      </c>
    </row>
    <row r="1049" customFormat="false" ht="15" hidden="false" customHeight="true" outlineLevel="0" collapsed="false">
      <c r="B1049" s="14" t="n">
        <v>167</v>
      </c>
      <c r="C1049" s="11" t="s">
        <v>136</v>
      </c>
      <c r="D1049" s="17" t="n">
        <v>1</v>
      </c>
      <c r="E1049" s="11" t="s">
        <v>112</v>
      </c>
      <c r="F1049" s="14" t="str">
        <f aca="false">IFERROR(VLOOKUP(C1049,Ingredients!$B$6:$I$206,7,FALSE()),"?")</f>
        <v>unit</v>
      </c>
      <c r="G1049" s="31" t="n">
        <f aca="false">IFERROR(VLOOKUP(C1049,Ingredients!$B$6:$I$206,6,FALSE()),0)</f>
        <v>0.03</v>
      </c>
      <c r="H1049" s="32" t="n">
        <f aca="false">IFERROR(D1049*G1049,0)</f>
        <v>0.03</v>
      </c>
    </row>
    <row r="1050" customFormat="false" ht="15" hidden="false" customHeight="true" outlineLevel="0" collapsed="false">
      <c r="B1050" s="14" t="n">
        <v>168</v>
      </c>
      <c r="C1050" s="11" t="s">
        <v>77</v>
      </c>
      <c r="D1050" s="17" t="n">
        <v>0.072</v>
      </c>
      <c r="E1050" s="11" t="s">
        <v>79</v>
      </c>
      <c r="F1050" s="14" t="str">
        <f aca="false">IFERROR(VLOOKUP(C1050,Ingredients!$B$6:$I$206,7,FALSE()),"?")</f>
        <v>kg</v>
      </c>
      <c r="G1050" s="31" t="n">
        <f aca="false">IFERROR(VLOOKUP(C1050,Ingredients!$B$6:$I$206,6,FALSE()),0)</f>
        <v>16.25</v>
      </c>
      <c r="H1050" s="32" t="n">
        <f aca="false">IFERROR(D1050*G1050,0)</f>
        <v>1.17</v>
      </c>
    </row>
    <row r="1051" customFormat="false" ht="15" hidden="false" customHeight="true" outlineLevel="0" collapsed="false">
      <c r="B1051" s="14" t="n">
        <v>168</v>
      </c>
      <c r="C1051" s="11" t="s">
        <v>63</v>
      </c>
      <c r="D1051" s="17" t="n">
        <v>0.36</v>
      </c>
      <c r="E1051" s="11" t="s">
        <v>65</v>
      </c>
      <c r="F1051" s="14" t="str">
        <f aca="false">IFERROR(VLOOKUP(C1051,Ingredients!$B$6:$I$206,7,FALSE()),"?")</f>
        <v>L</v>
      </c>
      <c r="G1051" s="31" t="n">
        <f aca="false">IFERROR(VLOOKUP(C1051,Ingredients!$B$6:$I$206,6,FALSE()),0)</f>
        <v>0.732745961820852</v>
      </c>
      <c r="H1051" s="32" t="n">
        <f aca="false">IFERROR(D1051*G1051,0)</f>
        <v>0.263788546255507</v>
      </c>
    </row>
    <row r="1052" customFormat="false" ht="15" hidden="false" customHeight="true" outlineLevel="0" collapsed="false">
      <c r="B1052" s="14" t="n">
        <v>168</v>
      </c>
      <c r="C1052" s="11" t="s">
        <v>142</v>
      </c>
      <c r="D1052" s="17" t="n">
        <v>1</v>
      </c>
      <c r="E1052" s="11" t="s">
        <v>112</v>
      </c>
      <c r="F1052" s="14" t="str">
        <f aca="false">IFERROR(VLOOKUP(C1052,Ingredients!$B$6:$I$206,7,FALSE()),"?")</f>
        <v>unit</v>
      </c>
      <c r="G1052" s="31" t="n">
        <f aca="false">IFERROR(VLOOKUP(C1052,Ingredients!$B$6:$I$206,6,FALSE()),0)</f>
        <v>0.14</v>
      </c>
      <c r="H1052" s="32" t="n">
        <f aca="false">IFERROR(D1052*G1052,0)</f>
        <v>0.14</v>
      </c>
    </row>
    <row r="1053" customFormat="false" ht="15" hidden="false" customHeight="true" outlineLevel="0" collapsed="false">
      <c r="B1053" s="14" t="n">
        <v>168</v>
      </c>
      <c r="C1053" s="11" t="s">
        <v>144</v>
      </c>
      <c r="D1053" s="17" t="n">
        <v>1</v>
      </c>
      <c r="E1053" s="11" t="s">
        <v>112</v>
      </c>
      <c r="F1053" s="14" t="str">
        <f aca="false">IFERROR(VLOOKUP(C1053,Ingredients!$B$6:$I$206,7,FALSE()),"?")</f>
        <v>unit</v>
      </c>
      <c r="G1053" s="31" t="n">
        <f aca="false">IFERROR(VLOOKUP(C1053,Ingredients!$B$6:$I$206,6,FALSE()),0)</f>
        <v>0.03</v>
      </c>
      <c r="H1053" s="32" t="n">
        <f aca="false">IFERROR(D1053*G1053,0)</f>
        <v>0.03</v>
      </c>
    </row>
    <row r="1054" customFormat="false" ht="15" hidden="false" customHeight="true" outlineLevel="0" collapsed="false">
      <c r="B1054" s="14" t="n">
        <v>169</v>
      </c>
      <c r="C1054" s="11" t="s">
        <v>116</v>
      </c>
      <c r="D1054" s="17" t="n">
        <v>0.03</v>
      </c>
      <c r="E1054" s="11" t="s">
        <v>79</v>
      </c>
      <c r="F1054" s="14" t="str">
        <f aca="false">IFERROR(VLOOKUP(C1054,Ingredients!$B$6:$I$206,7,FALSE()),"?")</f>
        <v>kg</v>
      </c>
      <c r="G1054" s="31" t="n">
        <f aca="false">IFERROR(VLOOKUP(C1054,Ingredients!$B$6:$I$206,6,FALSE()),0)</f>
        <v>7</v>
      </c>
      <c r="H1054" s="32" t="n">
        <f aca="false">IFERROR(D1054*G1054,0)</f>
        <v>0.21</v>
      </c>
    </row>
    <row r="1055" customFormat="false" ht="15" hidden="false" customHeight="true" outlineLevel="0" collapsed="false">
      <c r="B1055" s="14" t="n">
        <v>169</v>
      </c>
      <c r="C1055" s="11" t="s">
        <v>63</v>
      </c>
      <c r="D1055" s="17" t="n">
        <v>0.34</v>
      </c>
      <c r="E1055" s="11" t="s">
        <v>65</v>
      </c>
      <c r="F1055" s="14" t="str">
        <f aca="false">IFERROR(VLOOKUP(C1055,Ingredients!$B$6:$I$206,7,FALSE()),"?")</f>
        <v>L</v>
      </c>
      <c r="G1055" s="31" t="n">
        <f aca="false">IFERROR(VLOOKUP(C1055,Ingredients!$B$6:$I$206,6,FALSE()),0)</f>
        <v>0.732745961820852</v>
      </c>
      <c r="H1055" s="32" t="n">
        <f aca="false">IFERROR(D1055*G1055,0)</f>
        <v>0.24913362701909</v>
      </c>
    </row>
    <row r="1056" customFormat="false" ht="15" hidden="false" customHeight="true" outlineLevel="0" collapsed="false">
      <c r="B1056" s="14" t="n">
        <v>169</v>
      </c>
      <c r="C1056" s="11" t="s">
        <v>138</v>
      </c>
      <c r="D1056" s="17" t="n">
        <v>1</v>
      </c>
      <c r="E1056" s="11" t="s">
        <v>112</v>
      </c>
      <c r="F1056" s="14" t="str">
        <f aca="false">IFERROR(VLOOKUP(C1056,Ingredients!$B$6:$I$206,7,FALSE()),"?")</f>
        <v>unit</v>
      </c>
      <c r="G1056" s="31" t="n">
        <f aca="false">IFERROR(VLOOKUP(C1056,Ingredients!$B$6:$I$206,6,FALSE()),0)</f>
        <v>0.11</v>
      </c>
      <c r="H1056" s="32" t="n">
        <f aca="false">IFERROR(D1056*G1056,0)</f>
        <v>0.11</v>
      </c>
    </row>
    <row r="1057" customFormat="false" ht="15" hidden="false" customHeight="true" outlineLevel="0" collapsed="false">
      <c r="B1057" s="14" t="n">
        <v>169</v>
      </c>
      <c r="C1057" s="11" t="s">
        <v>140</v>
      </c>
      <c r="D1057" s="17" t="n">
        <v>1</v>
      </c>
      <c r="E1057" s="11" t="s">
        <v>112</v>
      </c>
      <c r="F1057" s="14" t="str">
        <f aca="false">IFERROR(VLOOKUP(C1057,Ingredients!$B$6:$I$206,7,FALSE()),"?")</f>
        <v>unit</v>
      </c>
      <c r="G1057" s="31" t="n">
        <f aca="false">IFERROR(VLOOKUP(C1057,Ingredients!$B$6:$I$206,6,FALSE()),0)</f>
        <v>0.03</v>
      </c>
      <c r="H1057" s="32" t="n">
        <f aca="false">IFERROR(D1057*G1057,0)</f>
        <v>0.03</v>
      </c>
    </row>
    <row r="1058" customFormat="false" ht="15" hidden="false" customHeight="true" outlineLevel="0" collapsed="false">
      <c r="B1058" s="14" t="n">
        <v>169</v>
      </c>
      <c r="C1058" s="11" t="s">
        <v>95</v>
      </c>
      <c r="D1058" s="17" t="n">
        <v>30</v>
      </c>
      <c r="E1058" s="11" t="s">
        <v>84</v>
      </c>
      <c r="F1058" s="14" t="str">
        <f aca="false">IFERROR(VLOOKUP(C1058,Ingredients!$B$6:$I$206,7,FALSE()),"?")</f>
        <v>ml</v>
      </c>
      <c r="G1058" s="31" t="n">
        <f aca="false">IFERROR(VLOOKUP(C1058,Ingredients!$B$6:$I$206,6,FALSE()),0)</f>
        <v>0.005</v>
      </c>
      <c r="H1058" s="32" t="n">
        <f aca="false">IFERROR(D1058*G1058,0)</f>
        <v>0.15</v>
      </c>
    </row>
    <row r="1059" customFormat="false" ht="15" hidden="false" customHeight="true" outlineLevel="0" collapsed="false">
      <c r="B1059" s="14" t="n">
        <v>170</v>
      </c>
      <c r="C1059" s="11" t="s">
        <v>116</v>
      </c>
      <c r="D1059" s="17" t="n">
        <v>0.02</v>
      </c>
      <c r="E1059" s="11" t="s">
        <v>79</v>
      </c>
      <c r="F1059" s="14" t="str">
        <f aca="false">IFERROR(VLOOKUP(C1059,Ingredients!$B$6:$I$206,7,FALSE()),"?")</f>
        <v>kg</v>
      </c>
      <c r="G1059" s="31" t="n">
        <f aca="false">IFERROR(VLOOKUP(C1059,Ingredients!$B$6:$I$206,6,FALSE()),0)</f>
        <v>7</v>
      </c>
      <c r="H1059" s="32" t="n">
        <f aca="false">IFERROR(D1059*G1059,0)</f>
        <v>0.14</v>
      </c>
    </row>
    <row r="1060" customFormat="false" ht="15" hidden="false" customHeight="true" outlineLevel="0" collapsed="false">
      <c r="B1060" s="14" t="n">
        <v>170</v>
      </c>
      <c r="C1060" s="11" t="s">
        <v>63</v>
      </c>
      <c r="D1060" s="17" t="n">
        <v>0.22</v>
      </c>
      <c r="E1060" s="11" t="s">
        <v>65</v>
      </c>
      <c r="F1060" s="14" t="str">
        <f aca="false">IFERROR(VLOOKUP(C1060,Ingredients!$B$6:$I$206,7,FALSE()),"?")</f>
        <v>L</v>
      </c>
      <c r="G1060" s="31" t="n">
        <f aca="false">IFERROR(VLOOKUP(C1060,Ingredients!$B$6:$I$206,6,FALSE()),0)</f>
        <v>0.732745961820852</v>
      </c>
      <c r="H1060" s="32" t="n">
        <f aca="false">IFERROR(D1060*G1060,0)</f>
        <v>0.161204111600587</v>
      </c>
    </row>
    <row r="1061" customFormat="false" ht="15" hidden="false" customHeight="true" outlineLevel="0" collapsed="false">
      <c r="B1061" s="14" t="n">
        <v>170</v>
      </c>
      <c r="C1061" s="11" t="s">
        <v>134</v>
      </c>
      <c r="D1061" s="17" t="n">
        <v>1</v>
      </c>
      <c r="E1061" s="11" t="s">
        <v>112</v>
      </c>
      <c r="F1061" s="14" t="str">
        <f aca="false">IFERROR(VLOOKUP(C1061,Ingredients!$B$6:$I$206,7,FALSE()),"?")</f>
        <v>unit</v>
      </c>
      <c r="G1061" s="31" t="n">
        <f aca="false">IFERROR(VLOOKUP(C1061,Ingredients!$B$6:$I$206,6,FALSE()),0)</f>
        <v>0.09</v>
      </c>
      <c r="H1061" s="32" t="n">
        <f aca="false">IFERROR(D1061*G1061,0)</f>
        <v>0.09</v>
      </c>
    </row>
    <row r="1062" customFormat="false" ht="15" hidden="false" customHeight="true" outlineLevel="0" collapsed="false">
      <c r="B1062" s="14" t="n">
        <v>170</v>
      </c>
      <c r="C1062" s="11" t="s">
        <v>136</v>
      </c>
      <c r="D1062" s="17" t="n">
        <v>1</v>
      </c>
      <c r="E1062" s="11" t="s">
        <v>112</v>
      </c>
      <c r="F1062" s="14" t="str">
        <f aca="false">IFERROR(VLOOKUP(C1062,Ingredients!$B$6:$I$206,7,FALSE()),"?")</f>
        <v>unit</v>
      </c>
      <c r="G1062" s="31" t="n">
        <f aca="false">IFERROR(VLOOKUP(C1062,Ingredients!$B$6:$I$206,6,FALSE()),0)</f>
        <v>0.03</v>
      </c>
      <c r="H1062" s="32" t="n">
        <f aca="false">IFERROR(D1062*G1062,0)</f>
        <v>0.03</v>
      </c>
    </row>
    <row r="1063" customFormat="false" ht="15" hidden="false" customHeight="true" outlineLevel="0" collapsed="false">
      <c r="B1063" s="14" t="n">
        <v>170</v>
      </c>
      <c r="C1063" s="11" t="s">
        <v>95</v>
      </c>
      <c r="D1063" s="17" t="n">
        <v>30</v>
      </c>
      <c r="E1063" s="11" t="s">
        <v>84</v>
      </c>
      <c r="F1063" s="14" t="str">
        <f aca="false">IFERROR(VLOOKUP(C1063,Ingredients!$B$6:$I$206,7,FALSE()),"?")</f>
        <v>ml</v>
      </c>
      <c r="G1063" s="31" t="n">
        <f aca="false">IFERROR(VLOOKUP(C1063,Ingredients!$B$6:$I$206,6,FALSE()),0)</f>
        <v>0.005</v>
      </c>
      <c r="H1063" s="32" t="n">
        <f aca="false">IFERROR(D1063*G1063,0)</f>
        <v>0.15</v>
      </c>
    </row>
    <row r="1064" customFormat="false" ht="15" hidden="false" customHeight="true" outlineLevel="0" collapsed="false">
      <c r="B1064" s="14" t="n">
        <v>171</v>
      </c>
      <c r="C1064" s="11" t="s">
        <v>116</v>
      </c>
      <c r="D1064" s="17" t="n">
        <v>0.04</v>
      </c>
      <c r="E1064" s="11" t="s">
        <v>79</v>
      </c>
      <c r="F1064" s="14" t="str">
        <f aca="false">IFERROR(VLOOKUP(C1064,Ingredients!$B$6:$I$206,7,FALSE()),"?")</f>
        <v>kg</v>
      </c>
      <c r="G1064" s="31" t="n">
        <f aca="false">IFERROR(VLOOKUP(C1064,Ingredients!$B$6:$I$206,6,FALSE()),0)</f>
        <v>7</v>
      </c>
      <c r="H1064" s="32" t="n">
        <f aca="false">IFERROR(D1064*G1064,0)</f>
        <v>0.28</v>
      </c>
    </row>
    <row r="1065" customFormat="false" ht="15" hidden="false" customHeight="true" outlineLevel="0" collapsed="false">
      <c r="B1065" s="14" t="n">
        <v>171</v>
      </c>
      <c r="C1065" s="11" t="s">
        <v>63</v>
      </c>
      <c r="D1065" s="17" t="n">
        <v>0.46</v>
      </c>
      <c r="E1065" s="11" t="s">
        <v>65</v>
      </c>
      <c r="F1065" s="14" t="str">
        <f aca="false">IFERROR(VLOOKUP(C1065,Ingredients!$B$6:$I$206,7,FALSE()),"?")</f>
        <v>L</v>
      </c>
      <c r="G1065" s="31" t="n">
        <f aca="false">IFERROR(VLOOKUP(C1065,Ingredients!$B$6:$I$206,6,FALSE()),0)</f>
        <v>0.732745961820852</v>
      </c>
      <c r="H1065" s="32" t="n">
        <f aca="false">IFERROR(D1065*G1065,0)</f>
        <v>0.337063142437592</v>
      </c>
    </row>
    <row r="1066" customFormat="false" ht="15" hidden="false" customHeight="true" outlineLevel="0" collapsed="false">
      <c r="B1066" s="14" t="n">
        <v>171</v>
      </c>
      <c r="C1066" s="11" t="s">
        <v>142</v>
      </c>
      <c r="D1066" s="17" t="n">
        <v>1</v>
      </c>
      <c r="E1066" s="11" t="s">
        <v>112</v>
      </c>
      <c r="F1066" s="14" t="str">
        <f aca="false">IFERROR(VLOOKUP(C1066,Ingredients!$B$6:$I$206,7,FALSE()),"?")</f>
        <v>unit</v>
      </c>
      <c r="G1066" s="31" t="n">
        <f aca="false">IFERROR(VLOOKUP(C1066,Ingredients!$B$6:$I$206,6,FALSE()),0)</f>
        <v>0.14</v>
      </c>
      <c r="H1066" s="32" t="n">
        <f aca="false">IFERROR(D1066*G1066,0)</f>
        <v>0.14</v>
      </c>
    </row>
    <row r="1067" customFormat="false" ht="15" hidden="false" customHeight="true" outlineLevel="0" collapsed="false">
      <c r="B1067" s="14" t="n">
        <v>171</v>
      </c>
      <c r="C1067" s="11" t="s">
        <v>144</v>
      </c>
      <c r="D1067" s="17" t="n">
        <v>1</v>
      </c>
      <c r="E1067" s="11" t="s">
        <v>112</v>
      </c>
      <c r="F1067" s="14" t="str">
        <f aca="false">IFERROR(VLOOKUP(C1067,Ingredients!$B$6:$I$206,7,FALSE()),"?")</f>
        <v>unit</v>
      </c>
      <c r="G1067" s="31" t="n">
        <f aca="false">IFERROR(VLOOKUP(C1067,Ingredients!$B$6:$I$206,6,FALSE()),0)</f>
        <v>0.03</v>
      </c>
      <c r="H1067" s="32" t="n">
        <f aca="false">IFERROR(D1067*G1067,0)</f>
        <v>0.03</v>
      </c>
    </row>
    <row r="1068" customFormat="false" ht="15" hidden="false" customHeight="true" outlineLevel="0" collapsed="false">
      <c r="B1068" s="14" t="n">
        <v>171</v>
      </c>
      <c r="C1068" s="11" t="s">
        <v>95</v>
      </c>
      <c r="D1068" s="17" t="n">
        <v>30</v>
      </c>
      <c r="E1068" s="11" t="s">
        <v>84</v>
      </c>
      <c r="F1068" s="14" t="str">
        <f aca="false">IFERROR(VLOOKUP(C1068,Ingredients!$B$6:$I$206,7,FALSE()),"?")</f>
        <v>ml</v>
      </c>
      <c r="G1068" s="31" t="n">
        <f aca="false">IFERROR(VLOOKUP(C1068,Ingredients!$B$6:$I$206,6,FALSE()),0)</f>
        <v>0.005</v>
      </c>
      <c r="H1068" s="32" t="n">
        <f aca="false">IFERROR(D1068*G1068,0)</f>
        <v>0.15</v>
      </c>
    </row>
    <row r="1069" customFormat="false" ht="15" hidden="false" customHeight="true" outlineLevel="0" collapsed="false">
      <c r="B1069" s="14" t="n">
        <v>173</v>
      </c>
      <c r="C1069" s="11" t="s">
        <v>110</v>
      </c>
      <c r="D1069" s="17" t="n">
        <v>1</v>
      </c>
      <c r="E1069" s="11" t="s">
        <v>112</v>
      </c>
      <c r="F1069" s="14" t="str">
        <f aca="false">IFERROR(VLOOKUP(C1069,Ingredients!$B$6:$I$206,7,FALSE()),"?")</f>
        <v>unit</v>
      </c>
      <c r="G1069" s="31" t="n">
        <f aca="false">IFERROR(VLOOKUP(C1069,Ingredients!$B$6:$I$206,6,FALSE()),0)</f>
        <v>0.059875</v>
      </c>
      <c r="H1069" s="32" t="n">
        <f aca="false">IFERROR(D1069*G1069,0)</f>
        <v>0.059875</v>
      </c>
    </row>
    <row r="1070" customFormat="false" ht="15" hidden="false" customHeight="true" outlineLevel="0" collapsed="false">
      <c r="B1070" s="14" t="n">
        <v>173</v>
      </c>
      <c r="C1070" s="11" t="s">
        <v>138</v>
      </c>
      <c r="D1070" s="17" t="n">
        <v>1</v>
      </c>
      <c r="E1070" s="11" t="s">
        <v>112</v>
      </c>
      <c r="F1070" s="14" t="str">
        <f aca="false">IFERROR(VLOOKUP(C1070,Ingredients!$B$6:$I$206,7,FALSE()),"?")</f>
        <v>unit</v>
      </c>
      <c r="G1070" s="31" t="n">
        <f aca="false">IFERROR(VLOOKUP(C1070,Ingredients!$B$6:$I$206,6,FALSE()),0)</f>
        <v>0.11</v>
      </c>
      <c r="H1070" s="32" t="n">
        <f aca="false">IFERROR(D1070*G1070,0)</f>
        <v>0.11</v>
      </c>
    </row>
    <row r="1071" customFormat="false" ht="15" hidden="false" customHeight="true" outlineLevel="0" collapsed="false">
      <c r="B1071" s="14" t="n">
        <v>173</v>
      </c>
      <c r="C1071" s="11" t="s">
        <v>140</v>
      </c>
      <c r="D1071" s="17" t="n">
        <v>1</v>
      </c>
      <c r="E1071" s="11" t="s">
        <v>112</v>
      </c>
      <c r="F1071" s="14" t="str">
        <f aca="false">IFERROR(VLOOKUP(C1071,Ingredients!$B$6:$I$206,7,FALSE()),"?")</f>
        <v>unit</v>
      </c>
      <c r="G1071" s="31" t="n">
        <f aca="false">IFERROR(VLOOKUP(C1071,Ingredients!$B$6:$I$206,6,FALSE()),0)</f>
        <v>0.03</v>
      </c>
      <c r="H1071" s="32" t="n">
        <f aca="false">IFERROR(D1071*G1071,0)</f>
        <v>0.03</v>
      </c>
    </row>
    <row r="1072" customFormat="false" ht="15" hidden="false" customHeight="true" outlineLevel="0" collapsed="false">
      <c r="B1072" s="14" t="n">
        <v>174</v>
      </c>
      <c r="C1072" s="11" t="s">
        <v>116</v>
      </c>
      <c r="D1072" s="17" t="n">
        <v>0.03</v>
      </c>
      <c r="E1072" s="11" t="s">
        <v>79</v>
      </c>
      <c r="F1072" s="14" t="str">
        <f aca="false">IFERROR(VLOOKUP(C1072,Ingredients!$B$6:$I$206,7,FALSE()),"?")</f>
        <v>kg</v>
      </c>
      <c r="G1072" s="31" t="n">
        <f aca="false">IFERROR(VLOOKUP(C1072,Ingredients!$B$6:$I$206,6,FALSE()),0)</f>
        <v>7</v>
      </c>
      <c r="H1072" s="32" t="n">
        <f aca="false">IFERROR(D1072*G1072,0)</f>
        <v>0.21</v>
      </c>
    </row>
    <row r="1073" customFormat="false" ht="15" hidden="false" customHeight="true" outlineLevel="0" collapsed="false">
      <c r="B1073" s="14" t="n">
        <v>174</v>
      </c>
      <c r="C1073" s="11" t="s">
        <v>63</v>
      </c>
      <c r="D1073" s="17" t="n">
        <v>0.34</v>
      </c>
      <c r="E1073" s="11" t="s">
        <v>65</v>
      </c>
      <c r="F1073" s="14" t="str">
        <f aca="false">IFERROR(VLOOKUP(C1073,Ingredients!$B$6:$I$206,7,FALSE()),"?")</f>
        <v>L</v>
      </c>
      <c r="G1073" s="31" t="n">
        <f aca="false">IFERROR(VLOOKUP(C1073,Ingredients!$B$6:$I$206,6,FALSE()),0)</f>
        <v>0.732745961820852</v>
      </c>
      <c r="H1073" s="32" t="n">
        <f aca="false">IFERROR(D1073*G1073,0)</f>
        <v>0.24913362701909</v>
      </c>
    </row>
    <row r="1074" customFormat="false" ht="15" hidden="false" customHeight="true" outlineLevel="0" collapsed="false">
      <c r="B1074" s="14" t="n">
        <v>174</v>
      </c>
      <c r="C1074" s="11" t="s">
        <v>138</v>
      </c>
      <c r="D1074" s="17" t="n">
        <v>1</v>
      </c>
      <c r="E1074" s="11" t="s">
        <v>112</v>
      </c>
      <c r="F1074" s="14" t="str">
        <f aca="false">IFERROR(VLOOKUP(C1074,Ingredients!$B$6:$I$206,7,FALSE()),"?")</f>
        <v>unit</v>
      </c>
      <c r="G1074" s="31" t="n">
        <f aca="false">IFERROR(VLOOKUP(C1074,Ingredients!$B$6:$I$206,6,FALSE()),0)</f>
        <v>0.11</v>
      </c>
      <c r="H1074" s="32" t="n">
        <f aca="false">IFERROR(D1074*G1074,0)</f>
        <v>0.11</v>
      </c>
    </row>
    <row r="1075" customFormat="false" ht="15" hidden="false" customHeight="true" outlineLevel="0" collapsed="false">
      <c r="B1075" s="14" t="n">
        <v>174</v>
      </c>
      <c r="C1075" s="11" t="s">
        <v>140</v>
      </c>
      <c r="D1075" s="17" t="n">
        <v>1</v>
      </c>
      <c r="E1075" s="11" t="s">
        <v>112</v>
      </c>
      <c r="F1075" s="14" t="str">
        <f aca="false">IFERROR(VLOOKUP(C1075,Ingredients!$B$6:$I$206,7,FALSE()),"?")</f>
        <v>unit</v>
      </c>
      <c r="G1075" s="31" t="n">
        <f aca="false">IFERROR(VLOOKUP(C1075,Ingredients!$B$6:$I$206,6,FALSE()),0)</f>
        <v>0.03</v>
      </c>
      <c r="H1075" s="32" t="n">
        <f aca="false">IFERROR(D1075*G1075,0)</f>
        <v>0.03</v>
      </c>
    </row>
    <row r="1076" customFormat="false" ht="15" hidden="false" customHeight="true" outlineLevel="0" collapsed="false">
      <c r="B1076" s="14" t="n">
        <v>175</v>
      </c>
      <c r="C1076" s="11" t="s">
        <v>116</v>
      </c>
      <c r="D1076" s="17" t="n">
        <v>0.02</v>
      </c>
      <c r="E1076" s="11" t="s">
        <v>79</v>
      </c>
      <c r="F1076" s="14" t="str">
        <f aca="false">IFERROR(VLOOKUP(C1076,Ingredients!$B$6:$I$206,7,FALSE()),"?")</f>
        <v>kg</v>
      </c>
      <c r="G1076" s="31" t="n">
        <f aca="false">IFERROR(VLOOKUP(C1076,Ingredients!$B$6:$I$206,6,FALSE()),0)</f>
        <v>7</v>
      </c>
      <c r="H1076" s="32" t="n">
        <f aca="false">IFERROR(D1076*G1076,0)</f>
        <v>0.14</v>
      </c>
    </row>
    <row r="1077" customFormat="false" ht="15" hidden="false" customHeight="true" outlineLevel="0" collapsed="false">
      <c r="B1077" s="14" t="n">
        <v>175</v>
      </c>
      <c r="C1077" s="11" t="s">
        <v>63</v>
      </c>
      <c r="D1077" s="17" t="n">
        <v>0.22</v>
      </c>
      <c r="E1077" s="11" t="s">
        <v>65</v>
      </c>
      <c r="F1077" s="14" t="str">
        <f aca="false">IFERROR(VLOOKUP(C1077,Ingredients!$B$6:$I$206,7,FALSE()),"?")</f>
        <v>L</v>
      </c>
      <c r="G1077" s="31" t="n">
        <f aca="false">IFERROR(VLOOKUP(C1077,Ingredients!$B$6:$I$206,6,FALSE()),0)</f>
        <v>0.732745961820852</v>
      </c>
      <c r="H1077" s="32" t="n">
        <f aca="false">IFERROR(D1077*G1077,0)</f>
        <v>0.161204111600587</v>
      </c>
    </row>
    <row r="1078" customFormat="false" ht="15" hidden="false" customHeight="true" outlineLevel="0" collapsed="false">
      <c r="B1078" s="14" t="n">
        <v>175</v>
      </c>
      <c r="C1078" s="11" t="s">
        <v>134</v>
      </c>
      <c r="D1078" s="17" t="n">
        <v>1</v>
      </c>
      <c r="E1078" s="11" t="s">
        <v>112</v>
      </c>
      <c r="F1078" s="14" t="str">
        <f aca="false">IFERROR(VLOOKUP(C1078,Ingredients!$B$6:$I$206,7,FALSE()),"?")</f>
        <v>unit</v>
      </c>
      <c r="G1078" s="31" t="n">
        <f aca="false">IFERROR(VLOOKUP(C1078,Ingredients!$B$6:$I$206,6,FALSE()),0)</f>
        <v>0.09</v>
      </c>
      <c r="H1078" s="32" t="n">
        <f aca="false">IFERROR(D1078*G1078,0)</f>
        <v>0.09</v>
      </c>
    </row>
    <row r="1079" customFormat="false" ht="15" hidden="false" customHeight="true" outlineLevel="0" collapsed="false">
      <c r="B1079" s="14" t="n">
        <v>175</v>
      </c>
      <c r="C1079" s="11" t="s">
        <v>136</v>
      </c>
      <c r="D1079" s="17" t="n">
        <v>1</v>
      </c>
      <c r="E1079" s="11" t="s">
        <v>112</v>
      </c>
      <c r="F1079" s="14" t="str">
        <f aca="false">IFERROR(VLOOKUP(C1079,Ingredients!$B$6:$I$206,7,FALSE()),"?")</f>
        <v>unit</v>
      </c>
      <c r="G1079" s="31" t="n">
        <f aca="false">IFERROR(VLOOKUP(C1079,Ingredients!$B$6:$I$206,6,FALSE()),0)</f>
        <v>0.03</v>
      </c>
      <c r="H1079" s="32" t="n">
        <f aca="false">IFERROR(D1079*G1079,0)</f>
        <v>0.03</v>
      </c>
    </row>
    <row r="1080" customFormat="false" ht="15" hidden="false" customHeight="true" outlineLevel="0" collapsed="false">
      <c r="B1080" s="14" t="n">
        <v>176</v>
      </c>
      <c r="C1080" s="11" t="s">
        <v>116</v>
      </c>
      <c r="D1080" s="17" t="n">
        <v>0.04</v>
      </c>
      <c r="E1080" s="11" t="s">
        <v>79</v>
      </c>
      <c r="F1080" s="14" t="str">
        <f aca="false">IFERROR(VLOOKUP(C1080,Ingredients!$B$6:$I$206,7,FALSE()),"?")</f>
        <v>kg</v>
      </c>
      <c r="G1080" s="31" t="n">
        <f aca="false">IFERROR(VLOOKUP(C1080,Ingredients!$B$6:$I$206,6,FALSE()),0)</f>
        <v>7</v>
      </c>
      <c r="H1080" s="32" t="n">
        <f aca="false">IFERROR(D1080*G1080,0)</f>
        <v>0.28</v>
      </c>
    </row>
    <row r="1081" customFormat="false" ht="15" hidden="false" customHeight="true" outlineLevel="0" collapsed="false">
      <c r="B1081" s="14" t="n">
        <v>176</v>
      </c>
      <c r="C1081" s="11" t="s">
        <v>63</v>
      </c>
      <c r="D1081" s="17" t="n">
        <v>0.46</v>
      </c>
      <c r="E1081" s="11" t="s">
        <v>65</v>
      </c>
      <c r="F1081" s="14" t="str">
        <f aca="false">IFERROR(VLOOKUP(C1081,Ingredients!$B$6:$I$206,7,FALSE()),"?")</f>
        <v>L</v>
      </c>
      <c r="G1081" s="31" t="n">
        <f aca="false">IFERROR(VLOOKUP(C1081,Ingredients!$B$6:$I$206,6,FALSE()),0)</f>
        <v>0.732745961820852</v>
      </c>
      <c r="H1081" s="32" t="n">
        <f aca="false">IFERROR(D1081*G1081,0)</f>
        <v>0.337063142437592</v>
      </c>
    </row>
    <row r="1082" customFormat="false" ht="15" hidden="false" customHeight="true" outlineLevel="0" collapsed="false">
      <c r="B1082" s="14" t="n">
        <v>176</v>
      </c>
      <c r="C1082" s="11" t="s">
        <v>142</v>
      </c>
      <c r="D1082" s="17" t="n">
        <v>1</v>
      </c>
      <c r="E1082" s="11" t="s">
        <v>112</v>
      </c>
      <c r="F1082" s="14" t="str">
        <f aca="false">IFERROR(VLOOKUP(C1082,Ingredients!$B$6:$I$206,7,FALSE()),"?")</f>
        <v>unit</v>
      </c>
      <c r="G1082" s="31" t="n">
        <f aca="false">IFERROR(VLOOKUP(C1082,Ingredients!$B$6:$I$206,6,FALSE()),0)</f>
        <v>0.14</v>
      </c>
      <c r="H1082" s="32" t="n">
        <f aca="false">IFERROR(D1082*G1082,0)</f>
        <v>0.14</v>
      </c>
    </row>
    <row r="1083" customFormat="false" ht="15" hidden="false" customHeight="true" outlineLevel="0" collapsed="false">
      <c r="B1083" s="14" t="n">
        <v>176</v>
      </c>
      <c r="C1083" s="11" t="s">
        <v>144</v>
      </c>
      <c r="D1083" s="17" t="n">
        <v>1</v>
      </c>
      <c r="E1083" s="11" t="s">
        <v>112</v>
      </c>
      <c r="F1083" s="14" t="str">
        <f aca="false">IFERROR(VLOOKUP(C1083,Ingredients!$B$6:$I$206,7,FALSE()),"?")</f>
        <v>unit</v>
      </c>
      <c r="G1083" s="31" t="n">
        <f aca="false">IFERROR(VLOOKUP(C1083,Ingredients!$B$6:$I$206,6,FALSE()),0)</f>
        <v>0.03</v>
      </c>
      <c r="H1083" s="32" t="n">
        <f aca="false">IFERROR(D1083*G1083,0)</f>
        <v>0.03</v>
      </c>
    </row>
    <row r="1084" customFormat="false" ht="15" hidden="false" customHeight="true" outlineLevel="0" collapsed="false">
      <c r="B1084" s="14" t="n">
        <v>177</v>
      </c>
      <c r="C1084" s="11" t="s">
        <v>77</v>
      </c>
      <c r="D1084" s="17" t="n">
        <v>0.036</v>
      </c>
      <c r="E1084" s="11" t="s">
        <v>79</v>
      </c>
      <c r="F1084" s="14" t="str">
        <f aca="false">IFERROR(VLOOKUP(C1084,Ingredients!$B$6:$I$206,7,FALSE()),"?")</f>
        <v>kg</v>
      </c>
      <c r="G1084" s="31" t="n">
        <f aca="false">IFERROR(VLOOKUP(C1084,Ingredients!$B$6:$I$206,6,FALSE()),0)</f>
        <v>16.25</v>
      </c>
      <c r="H1084" s="32" t="n">
        <f aca="false">IFERROR(D1084*G1084,0)</f>
        <v>0.585</v>
      </c>
    </row>
    <row r="1085" customFormat="false" ht="15" hidden="false" customHeight="true" outlineLevel="0" collapsed="false">
      <c r="B1085" s="14" t="n">
        <v>177</v>
      </c>
      <c r="C1085" s="11" t="s">
        <v>63</v>
      </c>
      <c r="D1085" s="17" t="n">
        <v>0.3</v>
      </c>
      <c r="E1085" s="11" t="s">
        <v>65</v>
      </c>
      <c r="F1085" s="14" t="str">
        <f aca="false">IFERROR(VLOOKUP(C1085,Ingredients!$B$6:$I$206,7,FALSE()),"?")</f>
        <v>L</v>
      </c>
      <c r="G1085" s="31" t="n">
        <f aca="false">IFERROR(VLOOKUP(C1085,Ingredients!$B$6:$I$206,6,FALSE()),0)</f>
        <v>0.732745961820852</v>
      </c>
      <c r="H1085" s="32" t="n">
        <f aca="false">IFERROR(D1085*G1085,0)</f>
        <v>0.219823788546256</v>
      </c>
    </row>
    <row r="1086" customFormat="false" ht="15" hidden="false" customHeight="true" outlineLevel="0" collapsed="false">
      <c r="B1086" s="14" t="n">
        <v>177</v>
      </c>
      <c r="C1086" s="11" t="s">
        <v>138</v>
      </c>
      <c r="D1086" s="17" t="n">
        <v>1</v>
      </c>
      <c r="E1086" s="11" t="s">
        <v>112</v>
      </c>
      <c r="F1086" s="14" t="str">
        <f aca="false">IFERROR(VLOOKUP(C1086,Ingredients!$B$6:$I$206,7,FALSE()),"?")</f>
        <v>unit</v>
      </c>
      <c r="G1086" s="31" t="n">
        <f aca="false">IFERROR(VLOOKUP(C1086,Ingredients!$B$6:$I$206,6,FALSE()),0)</f>
        <v>0.11</v>
      </c>
      <c r="H1086" s="32" t="n">
        <f aca="false">IFERROR(D1086*G1086,0)</f>
        <v>0.11</v>
      </c>
    </row>
    <row r="1087" customFormat="false" ht="15" hidden="false" customHeight="true" outlineLevel="0" collapsed="false">
      <c r="B1087" s="14" t="n">
        <v>177</v>
      </c>
      <c r="C1087" s="11" t="s">
        <v>140</v>
      </c>
      <c r="D1087" s="17" t="n">
        <v>1</v>
      </c>
      <c r="E1087" s="11" t="s">
        <v>112</v>
      </c>
      <c r="F1087" s="14" t="str">
        <f aca="false">IFERROR(VLOOKUP(C1087,Ingredients!$B$6:$I$206,7,FALSE()),"?")</f>
        <v>unit</v>
      </c>
      <c r="G1087" s="31" t="n">
        <f aca="false">IFERROR(VLOOKUP(C1087,Ingredients!$B$6:$I$206,6,FALSE()),0)</f>
        <v>0.03</v>
      </c>
      <c r="H1087" s="32" t="n">
        <f aca="false">IFERROR(D1087*G1087,0)</f>
        <v>0.03</v>
      </c>
    </row>
    <row r="1088" customFormat="false" ht="15" hidden="false" customHeight="true" outlineLevel="0" collapsed="false">
      <c r="B1088" s="14" t="n">
        <v>178</v>
      </c>
      <c r="C1088" s="11" t="s">
        <v>77</v>
      </c>
      <c r="D1088" s="17" t="n">
        <v>0.036</v>
      </c>
      <c r="E1088" s="11" t="s">
        <v>79</v>
      </c>
      <c r="F1088" s="14" t="str">
        <f aca="false">IFERROR(VLOOKUP(C1088,Ingredients!$B$6:$I$206,7,FALSE()),"?")</f>
        <v>kg</v>
      </c>
      <c r="G1088" s="31" t="n">
        <f aca="false">IFERROR(VLOOKUP(C1088,Ingredients!$B$6:$I$206,6,FALSE()),0)</f>
        <v>16.25</v>
      </c>
      <c r="H1088" s="32" t="n">
        <f aca="false">IFERROR(D1088*G1088,0)</f>
        <v>0.585</v>
      </c>
    </row>
    <row r="1089" customFormat="false" ht="15" hidden="false" customHeight="true" outlineLevel="0" collapsed="false">
      <c r="B1089" s="14" t="n">
        <v>178</v>
      </c>
      <c r="C1089" s="11" t="s">
        <v>63</v>
      </c>
      <c r="D1089" s="17" t="n">
        <v>0.18</v>
      </c>
      <c r="E1089" s="11" t="s">
        <v>65</v>
      </c>
      <c r="F1089" s="14" t="str">
        <f aca="false">IFERROR(VLOOKUP(C1089,Ingredients!$B$6:$I$206,7,FALSE()),"?")</f>
        <v>L</v>
      </c>
      <c r="G1089" s="31" t="n">
        <f aca="false">IFERROR(VLOOKUP(C1089,Ingredients!$B$6:$I$206,6,FALSE()),0)</f>
        <v>0.732745961820852</v>
      </c>
      <c r="H1089" s="32" t="n">
        <f aca="false">IFERROR(D1089*G1089,0)</f>
        <v>0.131894273127753</v>
      </c>
    </row>
    <row r="1090" customFormat="false" ht="15" hidden="false" customHeight="true" outlineLevel="0" collapsed="false">
      <c r="B1090" s="14" t="n">
        <v>178</v>
      </c>
      <c r="C1090" s="11" t="s">
        <v>134</v>
      </c>
      <c r="D1090" s="17" t="n">
        <v>1</v>
      </c>
      <c r="E1090" s="11" t="s">
        <v>112</v>
      </c>
      <c r="F1090" s="14" t="str">
        <f aca="false">IFERROR(VLOOKUP(C1090,Ingredients!$B$6:$I$206,7,FALSE()),"?")</f>
        <v>unit</v>
      </c>
      <c r="G1090" s="31" t="n">
        <f aca="false">IFERROR(VLOOKUP(C1090,Ingredients!$B$6:$I$206,6,FALSE()),0)</f>
        <v>0.09</v>
      </c>
      <c r="H1090" s="32" t="n">
        <f aca="false">IFERROR(D1090*G1090,0)</f>
        <v>0.09</v>
      </c>
    </row>
    <row r="1091" customFormat="false" ht="15" hidden="false" customHeight="true" outlineLevel="0" collapsed="false">
      <c r="B1091" s="14" t="n">
        <v>178</v>
      </c>
      <c r="C1091" s="11" t="s">
        <v>136</v>
      </c>
      <c r="D1091" s="17" t="n">
        <v>1</v>
      </c>
      <c r="E1091" s="11" t="s">
        <v>112</v>
      </c>
      <c r="F1091" s="14" t="str">
        <f aca="false">IFERROR(VLOOKUP(C1091,Ingredients!$B$6:$I$206,7,FALSE()),"?")</f>
        <v>unit</v>
      </c>
      <c r="G1091" s="31" t="n">
        <f aca="false">IFERROR(VLOOKUP(C1091,Ingredients!$B$6:$I$206,6,FALSE()),0)</f>
        <v>0.03</v>
      </c>
      <c r="H1091" s="32" t="n">
        <f aca="false">IFERROR(D1091*G1091,0)</f>
        <v>0.03</v>
      </c>
    </row>
    <row r="1092" customFormat="false" ht="15" hidden="false" customHeight="true" outlineLevel="0" collapsed="false">
      <c r="B1092" s="14" t="n">
        <v>179</v>
      </c>
      <c r="C1092" s="11" t="s">
        <v>77</v>
      </c>
      <c r="D1092" s="17" t="n">
        <v>0.072</v>
      </c>
      <c r="E1092" s="11" t="s">
        <v>79</v>
      </c>
      <c r="F1092" s="14" t="str">
        <f aca="false">IFERROR(VLOOKUP(C1092,Ingredients!$B$6:$I$206,7,FALSE()),"?")</f>
        <v>kg</v>
      </c>
      <c r="G1092" s="31" t="n">
        <f aca="false">IFERROR(VLOOKUP(C1092,Ingredients!$B$6:$I$206,6,FALSE()),0)</f>
        <v>16.25</v>
      </c>
      <c r="H1092" s="32" t="n">
        <f aca="false">IFERROR(D1092*G1092,0)</f>
        <v>1.17</v>
      </c>
    </row>
    <row r="1093" customFormat="false" ht="15" hidden="false" customHeight="true" outlineLevel="0" collapsed="false">
      <c r="B1093" s="14" t="n">
        <v>179</v>
      </c>
      <c r="C1093" s="11" t="s">
        <v>63</v>
      </c>
      <c r="D1093" s="17" t="n">
        <v>0.36</v>
      </c>
      <c r="E1093" s="11" t="s">
        <v>65</v>
      </c>
      <c r="F1093" s="14" t="str">
        <f aca="false">IFERROR(VLOOKUP(C1093,Ingredients!$B$6:$I$206,7,FALSE()),"?")</f>
        <v>L</v>
      </c>
      <c r="G1093" s="31" t="n">
        <f aca="false">IFERROR(VLOOKUP(C1093,Ingredients!$B$6:$I$206,6,FALSE()),0)</f>
        <v>0.732745961820852</v>
      </c>
      <c r="H1093" s="32" t="n">
        <f aca="false">IFERROR(D1093*G1093,0)</f>
        <v>0.263788546255507</v>
      </c>
    </row>
    <row r="1094" customFormat="false" ht="15" hidden="false" customHeight="true" outlineLevel="0" collapsed="false">
      <c r="B1094" s="14" t="n">
        <v>179</v>
      </c>
      <c r="C1094" s="11" t="s">
        <v>142</v>
      </c>
      <c r="D1094" s="17" t="n">
        <v>1</v>
      </c>
      <c r="E1094" s="11" t="s">
        <v>112</v>
      </c>
      <c r="F1094" s="14" t="str">
        <f aca="false">IFERROR(VLOOKUP(C1094,Ingredients!$B$6:$I$206,7,FALSE()),"?")</f>
        <v>unit</v>
      </c>
      <c r="G1094" s="31" t="n">
        <f aca="false">IFERROR(VLOOKUP(C1094,Ingredients!$B$6:$I$206,6,FALSE()),0)</f>
        <v>0.14</v>
      </c>
      <c r="H1094" s="32" t="n">
        <f aca="false">IFERROR(D1094*G1094,0)</f>
        <v>0.14</v>
      </c>
    </row>
    <row r="1095" customFormat="false" ht="15" hidden="false" customHeight="true" outlineLevel="0" collapsed="false">
      <c r="B1095" s="14" t="n">
        <v>179</v>
      </c>
      <c r="C1095" s="11" t="s">
        <v>144</v>
      </c>
      <c r="D1095" s="17" t="n">
        <v>1</v>
      </c>
      <c r="E1095" s="11" t="s">
        <v>112</v>
      </c>
      <c r="F1095" s="14" t="str">
        <f aca="false">IFERROR(VLOOKUP(C1095,Ingredients!$B$6:$I$206,7,FALSE()),"?")</f>
        <v>unit</v>
      </c>
      <c r="G1095" s="31" t="n">
        <f aca="false">IFERROR(VLOOKUP(C1095,Ingredients!$B$6:$I$206,6,FALSE()),0)</f>
        <v>0.03</v>
      </c>
      <c r="H1095" s="32" t="n">
        <f aca="false">IFERROR(D1095*G1095,0)</f>
        <v>0.03</v>
      </c>
    </row>
    <row r="1096" customFormat="false" ht="15" hidden="false" customHeight="true" outlineLevel="0" collapsed="false">
      <c r="B1096" s="14" t="n">
        <v>180</v>
      </c>
      <c r="C1096" s="11" t="s">
        <v>77</v>
      </c>
      <c r="D1096" s="17" t="n">
        <v>0.036</v>
      </c>
      <c r="E1096" s="11" t="s">
        <v>79</v>
      </c>
      <c r="F1096" s="14" t="str">
        <f aca="false">IFERROR(VLOOKUP(C1096,Ingredients!$B$6:$I$206,7,FALSE()),"?")</f>
        <v>kg</v>
      </c>
      <c r="G1096" s="31" t="n">
        <f aca="false">IFERROR(VLOOKUP(C1096,Ingredients!$B$6:$I$206,6,FALSE()),0)</f>
        <v>16.25</v>
      </c>
      <c r="H1096" s="32" t="n">
        <f aca="false">IFERROR(D1096*G1096,0)</f>
        <v>0.585</v>
      </c>
    </row>
    <row r="1097" customFormat="false" ht="15" hidden="false" customHeight="true" outlineLevel="0" collapsed="false">
      <c r="B1097" s="14" t="n">
        <v>180</v>
      </c>
      <c r="C1097" s="11" t="s">
        <v>63</v>
      </c>
      <c r="D1097" s="17" t="n">
        <v>0.3</v>
      </c>
      <c r="E1097" s="11" t="s">
        <v>65</v>
      </c>
      <c r="F1097" s="14" t="str">
        <f aca="false">IFERROR(VLOOKUP(C1097,Ingredients!$B$6:$I$206,7,FALSE()),"?")</f>
        <v>L</v>
      </c>
      <c r="G1097" s="31" t="n">
        <f aca="false">IFERROR(VLOOKUP(C1097,Ingredients!$B$6:$I$206,6,FALSE()),0)</f>
        <v>0.732745961820852</v>
      </c>
      <c r="H1097" s="32" t="n">
        <f aca="false">IFERROR(D1097*G1097,0)</f>
        <v>0.219823788546256</v>
      </c>
    </row>
    <row r="1098" customFormat="false" ht="15" hidden="false" customHeight="true" outlineLevel="0" collapsed="false">
      <c r="B1098" s="14" t="n">
        <v>180</v>
      </c>
      <c r="C1098" s="11" t="s">
        <v>116</v>
      </c>
      <c r="D1098" s="17" t="n">
        <v>0.03</v>
      </c>
      <c r="E1098" s="11" t="s">
        <v>79</v>
      </c>
      <c r="F1098" s="14" t="str">
        <f aca="false">IFERROR(VLOOKUP(C1098,Ingredients!$B$6:$I$206,7,FALSE()),"?")</f>
        <v>kg</v>
      </c>
      <c r="G1098" s="31" t="n">
        <f aca="false">IFERROR(VLOOKUP(C1098,Ingredients!$B$6:$I$206,6,FALSE()),0)</f>
        <v>7</v>
      </c>
      <c r="H1098" s="32" t="n">
        <f aca="false">IFERROR(D1098*G1098,0)</f>
        <v>0.21</v>
      </c>
    </row>
    <row r="1099" customFormat="false" ht="15" hidden="false" customHeight="true" outlineLevel="0" collapsed="false">
      <c r="B1099" s="14" t="n">
        <v>180</v>
      </c>
      <c r="C1099" s="11" t="s">
        <v>138</v>
      </c>
      <c r="D1099" s="17" t="n">
        <v>1</v>
      </c>
      <c r="E1099" s="11" t="s">
        <v>112</v>
      </c>
      <c r="F1099" s="14" t="str">
        <f aca="false">IFERROR(VLOOKUP(C1099,Ingredients!$B$6:$I$206,7,FALSE()),"?")</f>
        <v>unit</v>
      </c>
      <c r="G1099" s="31" t="n">
        <f aca="false">IFERROR(VLOOKUP(C1099,Ingredients!$B$6:$I$206,6,FALSE()),0)</f>
        <v>0.11</v>
      </c>
      <c r="H1099" s="32" t="n">
        <f aca="false">IFERROR(D1099*G1099,0)</f>
        <v>0.11</v>
      </c>
    </row>
    <row r="1100" customFormat="false" ht="15" hidden="false" customHeight="true" outlineLevel="0" collapsed="false">
      <c r="B1100" s="14" t="n">
        <v>180</v>
      </c>
      <c r="C1100" s="11" t="s">
        <v>140</v>
      </c>
      <c r="D1100" s="17" t="n">
        <v>1</v>
      </c>
      <c r="E1100" s="11" t="s">
        <v>112</v>
      </c>
      <c r="F1100" s="14" t="str">
        <f aca="false">IFERROR(VLOOKUP(C1100,Ingredients!$B$6:$I$206,7,FALSE()),"?")</f>
        <v>unit</v>
      </c>
      <c r="G1100" s="31" t="n">
        <f aca="false">IFERROR(VLOOKUP(C1100,Ingredients!$B$6:$I$206,6,FALSE()),0)</f>
        <v>0.03</v>
      </c>
      <c r="H1100" s="32" t="n">
        <f aca="false">IFERROR(D1100*G1100,0)</f>
        <v>0.03</v>
      </c>
    </row>
    <row r="1101" customFormat="false" ht="15" hidden="false" customHeight="true" outlineLevel="0" collapsed="false">
      <c r="B1101" s="14" t="n">
        <v>181</v>
      </c>
      <c r="C1101" s="11" t="s">
        <v>77</v>
      </c>
      <c r="D1101" s="17" t="n">
        <v>0.036</v>
      </c>
      <c r="E1101" s="11" t="s">
        <v>79</v>
      </c>
      <c r="F1101" s="14" t="str">
        <f aca="false">IFERROR(VLOOKUP(C1101,Ingredients!$B$6:$I$206,7,FALSE()),"?")</f>
        <v>kg</v>
      </c>
      <c r="G1101" s="31" t="n">
        <f aca="false">IFERROR(VLOOKUP(C1101,Ingredients!$B$6:$I$206,6,FALSE()),0)</f>
        <v>16.25</v>
      </c>
      <c r="H1101" s="32" t="n">
        <f aca="false">IFERROR(D1101*G1101,0)</f>
        <v>0.585</v>
      </c>
    </row>
    <row r="1102" customFormat="false" ht="15" hidden="false" customHeight="true" outlineLevel="0" collapsed="false">
      <c r="B1102" s="14" t="n">
        <v>181</v>
      </c>
      <c r="C1102" s="11" t="s">
        <v>63</v>
      </c>
      <c r="D1102" s="17" t="n">
        <v>0.18</v>
      </c>
      <c r="E1102" s="11" t="s">
        <v>65</v>
      </c>
      <c r="F1102" s="14" t="str">
        <f aca="false">IFERROR(VLOOKUP(C1102,Ingredients!$B$6:$I$206,7,FALSE()),"?")</f>
        <v>L</v>
      </c>
      <c r="G1102" s="31" t="n">
        <f aca="false">IFERROR(VLOOKUP(C1102,Ingredients!$B$6:$I$206,6,FALSE()),0)</f>
        <v>0.732745961820852</v>
      </c>
      <c r="H1102" s="32" t="n">
        <f aca="false">IFERROR(D1102*G1102,0)</f>
        <v>0.131894273127753</v>
      </c>
    </row>
    <row r="1103" customFormat="false" ht="15" hidden="false" customHeight="true" outlineLevel="0" collapsed="false">
      <c r="B1103" s="14" t="n">
        <v>181</v>
      </c>
      <c r="C1103" s="11" t="s">
        <v>116</v>
      </c>
      <c r="D1103" s="17" t="n">
        <v>0.02</v>
      </c>
      <c r="E1103" s="11" t="s">
        <v>79</v>
      </c>
      <c r="F1103" s="14" t="str">
        <f aca="false">IFERROR(VLOOKUP(C1103,Ingredients!$B$6:$I$206,7,FALSE()),"?")</f>
        <v>kg</v>
      </c>
      <c r="G1103" s="31" t="n">
        <f aca="false">IFERROR(VLOOKUP(C1103,Ingredients!$B$6:$I$206,6,FALSE()),0)</f>
        <v>7</v>
      </c>
      <c r="H1103" s="32" t="n">
        <f aca="false">IFERROR(D1103*G1103,0)</f>
        <v>0.14</v>
      </c>
    </row>
    <row r="1104" customFormat="false" ht="15" hidden="false" customHeight="true" outlineLevel="0" collapsed="false">
      <c r="B1104" s="14" t="n">
        <v>181</v>
      </c>
      <c r="C1104" s="11" t="s">
        <v>134</v>
      </c>
      <c r="D1104" s="17" t="n">
        <v>1</v>
      </c>
      <c r="E1104" s="11" t="s">
        <v>112</v>
      </c>
      <c r="F1104" s="14" t="str">
        <f aca="false">IFERROR(VLOOKUP(C1104,Ingredients!$B$6:$I$206,7,FALSE()),"?")</f>
        <v>unit</v>
      </c>
      <c r="G1104" s="31" t="n">
        <f aca="false">IFERROR(VLOOKUP(C1104,Ingredients!$B$6:$I$206,6,FALSE()),0)</f>
        <v>0.09</v>
      </c>
      <c r="H1104" s="32" t="n">
        <f aca="false">IFERROR(D1104*G1104,0)</f>
        <v>0.09</v>
      </c>
    </row>
    <row r="1105" customFormat="false" ht="15" hidden="false" customHeight="true" outlineLevel="0" collapsed="false">
      <c r="B1105" s="14" t="n">
        <v>181</v>
      </c>
      <c r="C1105" s="11" t="s">
        <v>136</v>
      </c>
      <c r="D1105" s="17" t="n">
        <v>1</v>
      </c>
      <c r="E1105" s="11" t="s">
        <v>112</v>
      </c>
      <c r="F1105" s="14" t="str">
        <f aca="false">IFERROR(VLOOKUP(C1105,Ingredients!$B$6:$I$206,7,FALSE()),"?")</f>
        <v>unit</v>
      </c>
      <c r="G1105" s="31" t="n">
        <f aca="false">IFERROR(VLOOKUP(C1105,Ingredients!$B$6:$I$206,6,FALSE()),0)</f>
        <v>0.03</v>
      </c>
      <c r="H1105" s="32" t="n">
        <f aca="false">IFERROR(D1105*G1105,0)</f>
        <v>0.03</v>
      </c>
    </row>
    <row r="1106" customFormat="false" ht="15" hidden="false" customHeight="true" outlineLevel="0" collapsed="false">
      <c r="B1106" s="14" t="n">
        <v>182</v>
      </c>
      <c r="C1106" s="11" t="s">
        <v>77</v>
      </c>
      <c r="D1106" s="17" t="n">
        <v>0.072</v>
      </c>
      <c r="E1106" s="11" t="s">
        <v>79</v>
      </c>
      <c r="F1106" s="14" t="str">
        <f aca="false">IFERROR(VLOOKUP(C1106,Ingredients!$B$6:$I$206,7,FALSE()),"?")</f>
        <v>kg</v>
      </c>
      <c r="G1106" s="31" t="n">
        <f aca="false">IFERROR(VLOOKUP(C1106,Ingredients!$B$6:$I$206,6,FALSE()),0)</f>
        <v>16.25</v>
      </c>
      <c r="H1106" s="32" t="n">
        <f aca="false">IFERROR(D1106*G1106,0)</f>
        <v>1.17</v>
      </c>
    </row>
    <row r="1107" customFormat="false" ht="15" hidden="false" customHeight="true" outlineLevel="0" collapsed="false">
      <c r="B1107" s="14" t="n">
        <v>182</v>
      </c>
      <c r="C1107" s="11" t="s">
        <v>63</v>
      </c>
      <c r="D1107" s="17" t="n">
        <v>0.36</v>
      </c>
      <c r="E1107" s="11" t="s">
        <v>65</v>
      </c>
      <c r="F1107" s="14" t="str">
        <f aca="false">IFERROR(VLOOKUP(C1107,Ingredients!$B$6:$I$206,7,FALSE()),"?")</f>
        <v>L</v>
      </c>
      <c r="G1107" s="31" t="n">
        <f aca="false">IFERROR(VLOOKUP(C1107,Ingredients!$B$6:$I$206,6,FALSE()),0)</f>
        <v>0.732745961820852</v>
      </c>
      <c r="H1107" s="32" t="n">
        <f aca="false">IFERROR(D1107*G1107,0)</f>
        <v>0.263788546255507</v>
      </c>
    </row>
    <row r="1108" customFormat="false" ht="15" hidden="false" customHeight="true" outlineLevel="0" collapsed="false">
      <c r="B1108" s="14" t="n">
        <v>182</v>
      </c>
      <c r="C1108" s="11" t="s">
        <v>116</v>
      </c>
      <c r="D1108" s="17" t="n">
        <v>0.04</v>
      </c>
      <c r="E1108" s="11" t="s">
        <v>79</v>
      </c>
      <c r="F1108" s="14" t="str">
        <f aca="false">IFERROR(VLOOKUP(C1108,Ingredients!$B$6:$I$206,7,FALSE()),"?")</f>
        <v>kg</v>
      </c>
      <c r="G1108" s="31" t="n">
        <f aca="false">IFERROR(VLOOKUP(C1108,Ingredients!$B$6:$I$206,6,FALSE()),0)</f>
        <v>7</v>
      </c>
      <c r="H1108" s="32" t="n">
        <f aca="false">IFERROR(D1108*G1108,0)</f>
        <v>0.28</v>
      </c>
    </row>
    <row r="1109" customFormat="false" ht="15" hidden="false" customHeight="true" outlineLevel="0" collapsed="false">
      <c r="B1109" s="14" t="n">
        <v>182</v>
      </c>
      <c r="C1109" s="11" t="s">
        <v>142</v>
      </c>
      <c r="D1109" s="17" t="n">
        <v>1</v>
      </c>
      <c r="E1109" s="11" t="s">
        <v>112</v>
      </c>
      <c r="F1109" s="14" t="str">
        <f aca="false">IFERROR(VLOOKUP(C1109,Ingredients!$B$6:$I$206,7,FALSE()),"?")</f>
        <v>unit</v>
      </c>
      <c r="G1109" s="31" t="n">
        <f aca="false">IFERROR(VLOOKUP(C1109,Ingredients!$B$6:$I$206,6,FALSE()),0)</f>
        <v>0.14</v>
      </c>
      <c r="H1109" s="32" t="n">
        <f aca="false">IFERROR(D1109*G1109,0)</f>
        <v>0.14</v>
      </c>
    </row>
    <row r="1110" customFormat="false" ht="15" hidden="false" customHeight="true" outlineLevel="0" collapsed="false">
      <c r="B1110" s="14" t="n">
        <v>182</v>
      </c>
      <c r="C1110" s="11" t="s">
        <v>144</v>
      </c>
      <c r="D1110" s="17" t="n">
        <v>1</v>
      </c>
      <c r="E1110" s="11" t="s">
        <v>112</v>
      </c>
      <c r="F1110" s="14" t="str">
        <f aca="false">IFERROR(VLOOKUP(C1110,Ingredients!$B$6:$I$206,7,FALSE()),"?")</f>
        <v>unit</v>
      </c>
      <c r="G1110" s="31" t="n">
        <f aca="false">IFERROR(VLOOKUP(C1110,Ingredients!$B$6:$I$206,6,FALSE()),0)</f>
        <v>0.03</v>
      </c>
      <c r="H1110" s="32" t="n">
        <f aca="false">IFERROR(D1110*G1110,0)</f>
        <v>0.03</v>
      </c>
    </row>
    <row r="1111" customFormat="false" ht="15" hidden="false" customHeight="true" outlineLevel="0" collapsed="false">
      <c r="B1111" s="14" t="n">
        <v>183</v>
      </c>
      <c r="C1111" s="11" t="s">
        <v>77</v>
      </c>
      <c r="D1111" s="17" t="n">
        <v>0.036</v>
      </c>
      <c r="E1111" s="11" t="s">
        <v>79</v>
      </c>
      <c r="F1111" s="14" t="str">
        <f aca="false">IFERROR(VLOOKUP(C1111,Ingredients!$B$6:$I$206,7,FALSE()),"?")</f>
        <v>kg</v>
      </c>
      <c r="G1111" s="31" t="n">
        <f aca="false">IFERROR(VLOOKUP(C1111,Ingredients!$B$6:$I$206,6,FALSE()),0)</f>
        <v>16.25</v>
      </c>
      <c r="H1111" s="32" t="n">
        <f aca="false">IFERROR(D1111*G1111,0)</f>
        <v>0.585</v>
      </c>
    </row>
    <row r="1112" customFormat="false" ht="15" hidden="false" customHeight="true" outlineLevel="0" collapsed="false">
      <c r="B1112" s="14" t="n">
        <v>183</v>
      </c>
      <c r="C1112" s="11" t="s">
        <v>63</v>
      </c>
      <c r="D1112" s="17" t="n">
        <v>0.18</v>
      </c>
      <c r="E1112" s="11" t="s">
        <v>65</v>
      </c>
      <c r="F1112" s="14" t="str">
        <f aca="false">IFERROR(VLOOKUP(C1112,Ingredients!$B$6:$I$206,7,FALSE()),"?")</f>
        <v>L</v>
      </c>
      <c r="G1112" s="31" t="n">
        <f aca="false">IFERROR(VLOOKUP(C1112,Ingredients!$B$6:$I$206,6,FALSE()),0)</f>
        <v>0.732745961820852</v>
      </c>
      <c r="H1112" s="32" t="n">
        <f aca="false">IFERROR(D1112*G1112,0)</f>
        <v>0.131894273127753</v>
      </c>
    </row>
    <row r="1113" customFormat="false" ht="15" hidden="false" customHeight="true" outlineLevel="0" collapsed="false">
      <c r="B1113" s="14" t="n">
        <v>183</v>
      </c>
      <c r="C1113" s="11" t="s">
        <v>116</v>
      </c>
      <c r="D1113" s="17" t="n">
        <v>0.01</v>
      </c>
      <c r="E1113" s="11" t="s">
        <v>79</v>
      </c>
      <c r="F1113" s="14" t="str">
        <f aca="false">IFERROR(VLOOKUP(C1113,Ingredients!$B$6:$I$206,7,FALSE()),"?")</f>
        <v>kg</v>
      </c>
      <c r="G1113" s="31" t="n">
        <f aca="false">IFERROR(VLOOKUP(C1113,Ingredients!$B$6:$I$206,6,FALSE()),0)</f>
        <v>7</v>
      </c>
      <c r="H1113" s="32" t="n">
        <f aca="false">IFERROR(D1113*G1113,0)</f>
        <v>0.07</v>
      </c>
    </row>
    <row r="1114" customFormat="false" ht="15" hidden="false" customHeight="true" outlineLevel="0" collapsed="false">
      <c r="B1114" s="14" t="n">
        <v>183</v>
      </c>
      <c r="C1114" s="11" t="s">
        <v>134</v>
      </c>
      <c r="D1114" s="17" t="n">
        <v>1</v>
      </c>
      <c r="E1114" s="11" t="s">
        <v>112</v>
      </c>
      <c r="F1114" s="14" t="str">
        <f aca="false">IFERROR(VLOOKUP(C1114,Ingredients!$B$6:$I$206,7,FALSE()),"?")</f>
        <v>unit</v>
      </c>
      <c r="G1114" s="31" t="n">
        <f aca="false">IFERROR(VLOOKUP(C1114,Ingredients!$B$6:$I$206,6,FALSE()),0)</f>
        <v>0.09</v>
      </c>
      <c r="H1114" s="32" t="n">
        <f aca="false">IFERROR(D1114*G1114,0)</f>
        <v>0.09</v>
      </c>
    </row>
    <row r="1115" customFormat="false" ht="15" hidden="false" customHeight="true" outlineLevel="0" collapsed="false">
      <c r="B1115" s="14" t="n">
        <v>183</v>
      </c>
      <c r="C1115" s="11" t="s">
        <v>136</v>
      </c>
      <c r="D1115" s="17" t="n">
        <v>1</v>
      </c>
      <c r="E1115" s="11" t="s">
        <v>112</v>
      </c>
      <c r="F1115" s="14" t="str">
        <f aca="false">IFERROR(VLOOKUP(C1115,Ingredients!$B$6:$I$206,7,FALSE()),"?")</f>
        <v>unit</v>
      </c>
      <c r="G1115" s="31" t="n">
        <f aca="false">IFERROR(VLOOKUP(C1115,Ingredients!$B$6:$I$206,6,FALSE()),0)</f>
        <v>0.03</v>
      </c>
      <c r="H1115" s="32" t="n">
        <f aca="false">IFERROR(D1115*G1115,0)</f>
        <v>0.03</v>
      </c>
    </row>
    <row r="1116" customFormat="false" ht="15" hidden="false" customHeight="true" outlineLevel="0" collapsed="false">
      <c r="B1116" s="14" t="n">
        <v>184</v>
      </c>
      <c r="C1116" s="11" t="s">
        <v>116</v>
      </c>
      <c r="D1116" s="17" t="n">
        <v>0.03</v>
      </c>
      <c r="E1116" s="11" t="s">
        <v>79</v>
      </c>
      <c r="F1116" s="14" t="str">
        <f aca="false">IFERROR(VLOOKUP(C1116,Ingredients!$B$6:$I$206,7,FALSE()),"?")</f>
        <v>kg</v>
      </c>
      <c r="G1116" s="31" t="n">
        <f aca="false">IFERROR(VLOOKUP(C1116,Ingredients!$B$6:$I$206,6,FALSE()),0)</f>
        <v>7</v>
      </c>
      <c r="H1116" s="32" t="n">
        <f aca="false">IFERROR(D1116*G1116,0)</f>
        <v>0.21</v>
      </c>
    </row>
    <row r="1117" customFormat="false" ht="15" hidden="false" customHeight="true" outlineLevel="0" collapsed="false">
      <c r="B1117" s="14" t="n">
        <v>184</v>
      </c>
      <c r="C1117" s="11" t="s">
        <v>63</v>
      </c>
      <c r="D1117" s="17" t="n">
        <v>0.34</v>
      </c>
      <c r="E1117" s="11" t="s">
        <v>65</v>
      </c>
      <c r="F1117" s="14" t="str">
        <f aca="false">IFERROR(VLOOKUP(C1117,Ingredients!$B$6:$I$206,7,FALSE()),"?")</f>
        <v>L</v>
      </c>
      <c r="G1117" s="31" t="n">
        <f aca="false">IFERROR(VLOOKUP(C1117,Ingredients!$B$6:$I$206,6,FALSE()),0)</f>
        <v>0.732745961820852</v>
      </c>
      <c r="H1117" s="32" t="n">
        <f aca="false">IFERROR(D1117*G1117,0)</f>
        <v>0.24913362701909</v>
      </c>
    </row>
    <row r="1118" customFormat="false" ht="15" hidden="false" customHeight="true" outlineLevel="0" collapsed="false">
      <c r="B1118" s="14" t="n">
        <v>184</v>
      </c>
      <c r="C1118" s="11" t="s">
        <v>138</v>
      </c>
      <c r="D1118" s="17" t="n">
        <v>1</v>
      </c>
      <c r="E1118" s="11" t="s">
        <v>112</v>
      </c>
      <c r="F1118" s="14" t="str">
        <f aca="false">IFERROR(VLOOKUP(C1118,Ingredients!$B$6:$I$206,7,FALSE()),"?")</f>
        <v>unit</v>
      </c>
      <c r="G1118" s="31" t="n">
        <f aca="false">IFERROR(VLOOKUP(C1118,Ingredients!$B$6:$I$206,6,FALSE()),0)</f>
        <v>0.11</v>
      </c>
      <c r="H1118" s="32" t="n">
        <f aca="false">IFERROR(D1118*G1118,0)</f>
        <v>0.11</v>
      </c>
    </row>
    <row r="1119" customFormat="false" ht="15" hidden="false" customHeight="true" outlineLevel="0" collapsed="false">
      <c r="B1119" s="14" t="n">
        <v>184</v>
      </c>
      <c r="C1119" s="11" t="s">
        <v>140</v>
      </c>
      <c r="D1119" s="17" t="n">
        <v>1</v>
      </c>
      <c r="E1119" s="11" t="s">
        <v>112</v>
      </c>
      <c r="F1119" s="14" t="str">
        <f aca="false">IFERROR(VLOOKUP(C1119,Ingredients!$B$6:$I$206,7,FALSE()),"?")</f>
        <v>unit</v>
      </c>
      <c r="G1119" s="31" t="n">
        <f aca="false">IFERROR(VLOOKUP(C1119,Ingredients!$B$6:$I$206,6,FALSE()),0)</f>
        <v>0.03</v>
      </c>
      <c r="H1119" s="32" t="n">
        <f aca="false">IFERROR(D1119*G1119,0)</f>
        <v>0.03</v>
      </c>
    </row>
    <row r="1120" customFormat="false" ht="15" hidden="false" customHeight="true" outlineLevel="0" collapsed="false">
      <c r="B1120" s="14" t="n">
        <v>185</v>
      </c>
      <c r="C1120" s="11" t="s">
        <v>116</v>
      </c>
      <c r="D1120" s="17" t="n">
        <v>0.02</v>
      </c>
      <c r="E1120" s="11" t="s">
        <v>79</v>
      </c>
      <c r="F1120" s="14" t="str">
        <f aca="false">IFERROR(VLOOKUP(C1120,Ingredients!$B$6:$I$206,7,FALSE()),"?")</f>
        <v>kg</v>
      </c>
      <c r="G1120" s="31" t="n">
        <f aca="false">IFERROR(VLOOKUP(C1120,Ingredients!$B$6:$I$206,6,FALSE()),0)</f>
        <v>7</v>
      </c>
      <c r="H1120" s="32" t="n">
        <f aca="false">IFERROR(D1120*G1120,0)</f>
        <v>0.14</v>
      </c>
    </row>
    <row r="1121" customFormat="false" ht="15" hidden="false" customHeight="true" outlineLevel="0" collapsed="false">
      <c r="B1121" s="14" t="n">
        <v>185</v>
      </c>
      <c r="C1121" s="11" t="s">
        <v>63</v>
      </c>
      <c r="D1121" s="17" t="n">
        <v>0.22</v>
      </c>
      <c r="E1121" s="11" t="s">
        <v>65</v>
      </c>
      <c r="F1121" s="14" t="str">
        <f aca="false">IFERROR(VLOOKUP(C1121,Ingredients!$B$6:$I$206,7,FALSE()),"?")</f>
        <v>L</v>
      </c>
      <c r="G1121" s="31" t="n">
        <f aca="false">IFERROR(VLOOKUP(C1121,Ingredients!$B$6:$I$206,6,FALSE()),0)</f>
        <v>0.732745961820852</v>
      </c>
      <c r="H1121" s="32" t="n">
        <f aca="false">IFERROR(D1121*G1121,0)</f>
        <v>0.161204111600587</v>
      </c>
    </row>
    <row r="1122" customFormat="false" ht="15" hidden="false" customHeight="true" outlineLevel="0" collapsed="false">
      <c r="B1122" s="14" t="n">
        <v>185</v>
      </c>
      <c r="C1122" s="11" t="s">
        <v>134</v>
      </c>
      <c r="D1122" s="17" t="n">
        <v>1</v>
      </c>
      <c r="E1122" s="11" t="s">
        <v>112</v>
      </c>
      <c r="F1122" s="14" t="str">
        <f aca="false">IFERROR(VLOOKUP(C1122,Ingredients!$B$6:$I$206,7,FALSE()),"?")</f>
        <v>unit</v>
      </c>
      <c r="G1122" s="31" t="n">
        <f aca="false">IFERROR(VLOOKUP(C1122,Ingredients!$B$6:$I$206,6,FALSE()),0)</f>
        <v>0.09</v>
      </c>
      <c r="H1122" s="32" t="n">
        <f aca="false">IFERROR(D1122*G1122,0)</f>
        <v>0.09</v>
      </c>
    </row>
    <row r="1123" customFormat="false" ht="15" hidden="false" customHeight="true" outlineLevel="0" collapsed="false">
      <c r="B1123" s="14" t="n">
        <v>185</v>
      </c>
      <c r="C1123" s="11" t="s">
        <v>136</v>
      </c>
      <c r="D1123" s="17" t="n">
        <v>1</v>
      </c>
      <c r="E1123" s="11" t="s">
        <v>112</v>
      </c>
      <c r="F1123" s="14" t="str">
        <f aca="false">IFERROR(VLOOKUP(C1123,Ingredients!$B$6:$I$206,7,FALSE()),"?")</f>
        <v>unit</v>
      </c>
      <c r="G1123" s="31" t="n">
        <f aca="false">IFERROR(VLOOKUP(C1123,Ingredients!$B$6:$I$206,6,FALSE()),0)</f>
        <v>0.03</v>
      </c>
      <c r="H1123" s="32" t="n">
        <f aca="false">IFERROR(D1123*G1123,0)</f>
        <v>0.03</v>
      </c>
    </row>
    <row r="1124" customFormat="false" ht="15" hidden="false" customHeight="true" outlineLevel="0" collapsed="false">
      <c r="B1124" s="14" t="n">
        <v>186</v>
      </c>
      <c r="C1124" s="11" t="s">
        <v>116</v>
      </c>
      <c r="D1124" s="17" t="n">
        <v>0.04</v>
      </c>
      <c r="E1124" s="11" t="s">
        <v>79</v>
      </c>
      <c r="F1124" s="14" t="str">
        <f aca="false">IFERROR(VLOOKUP(C1124,Ingredients!$B$6:$I$206,7,FALSE()),"?")</f>
        <v>kg</v>
      </c>
      <c r="G1124" s="31" t="n">
        <f aca="false">IFERROR(VLOOKUP(C1124,Ingredients!$B$6:$I$206,6,FALSE()),0)</f>
        <v>7</v>
      </c>
      <c r="H1124" s="32" t="n">
        <f aca="false">IFERROR(D1124*G1124,0)</f>
        <v>0.28</v>
      </c>
    </row>
    <row r="1125" customFormat="false" ht="15" hidden="false" customHeight="true" outlineLevel="0" collapsed="false">
      <c r="B1125" s="14" t="n">
        <v>186</v>
      </c>
      <c r="C1125" s="11" t="s">
        <v>63</v>
      </c>
      <c r="D1125" s="17" t="n">
        <v>0.46</v>
      </c>
      <c r="E1125" s="11" t="s">
        <v>65</v>
      </c>
      <c r="F1125" s="14" t="str">
        <f aca="false">IFERROR(VLOOKUP(C1125,Ingredients!$B$6:$I$206,7,FALSE()),"?")</f>
        <v>L</v>
      </c>
      <c r="G1125" s="31" t="n">
        <f aca="false">IFERROR(VLOOKUP(C1125,Ingredients!$B$6:$I$206,6,FALSE()),0)</f>
        <v>0.732745961820852</v>
      </c>
      <c r="H1125" s="32" t="n">
        <f aca="false">IFERROR(D1125*G1125,0)</f>
        <v>0.337063142437592</v>
      </c>
    </row>
    <row r="1126" customFormat="false" ht="15" hidden="false" customHeight="true" outlineLevel="0" collapsed="false">
      <c r="B1126" s="14" t="n">
        <v>186</v>
      </c>
      <c r="C1126" s="11" t="s">
        <v>142</v>
      </c>
      <c r="D1126" s="17" t="n">
        <v>1</v>
      </c>
      <c r="E1126" s="11" t="s">
        <v>112</v>
      </c>
      <c r="F1126" s="14" t="str">
        <f aca="false">IFERROR(VLOOKUP(C1126,Ingredients!$B$6:$I$206,7,FALSE()),"?")</f>
        <v>unit</v>
      </c>
      <c r="G1126" s="31" t="n">
        <f aca="false">IFERROR(VLOOKUP(C1126,Ingredients!$B$6:$I$206,6,FALSE()),0)</f>
        <v>0.14</v>
      </c>
      <c r="H1126" s="32" t="n">
        <f aca="false">IFERROR(D1126*G1126,0)</f>
        <v>0.14</v>
      </c>
    </row>
    <row r="1127" customFormat="false" ht="15" hidden="false" customHeight="true" outlineLevel="0" collapsed="false">
      <c r="B1127" s="14" t="n">
        <v>186</v>
      </c>
      <c r="C1127" s="11" t="s">
        <v>144</v>
      </c>
      <c r="D1127" s="17" t="n">
        <v>1</v>
      </c>
      <c r="E1127" s="11" t="s">
        <v>112</v>
      </c>
      <c r="F1127" s="14" t="str">
        <f aca="false">IFERROR(VLOOKUP(C1127,Ingredients!$B$6:$I$206,7,FALSE()),"?")</f>
        <v>unit</v>
      </c>
      <c r="G1127" s="31" t="n">
        <f aca="false">IFERROR(VLOOKUP(C1127,Ingredients!$B$6:$I$206,6,FALSE()),0)</f>
        <v>0.03</v>
      </c>
      <c r="H1127" s="32" t="n">
        <f aca="false">IFERROR(D1127*G1127,0)</f>
        <v>0.03</v>
      </c>
    </row>
    <row r="1128" customFormat="false" ht="15" hidden="false" customHeight="true" outlineLevel="0" collapsed="false">
      <c r="B1128" s="14" t="n">
        <v>187</v>
      </c>
      <c r="C1128" s="11" t="s">
        <v>77</v>
      </c>
      <c r="D1128" s="17" t="n">
        <v>0.036</v>
      </c>
      <c r="E1128" s="11" t="s">
        <v>79</v>
      </c>
      <c r="F1128" s="14" t="str">
        <f aca="false">IFERROR(VLOOKUP(C1128,Ingredients!$B$6:$I$206,7,FALSE()),"?")</f>
        <v>kg</v>
      </c>
      <c r="G1128" s="31" t="n">
        <f aca="false">IFERROR(VLOOKUP(C1128,Ingredients!$B$6:$I$206,6,FALSE()),0)</f>
        <v>16.25</v>
      </c>
      <c r="H1128" s="32" t="n">
        <f aca="false">IFERROR(D1128*G1128,0)</f>
        <v>0.585</v>
      </c>
    </row>
    <row r="1129" customFormat="false" ht="15" hidden="false" customHeight="true" outlineLevel="0" collapsed="false">
      <c r="B1129" s="14" t="n">
        <v>187</v>
      </c>
      <c r="C1129" s="11" t="s">
        <v>63</v>
      </c>
      <c r="D1129" s="17" t="n">
        <v>0.3</v>
      </c>
      <c r="E1129" s="11" t="s">
        <v>65</v>
      </c>
      <c r="F1129" s="14" t="str">
        <f aca="false">IFERROR(VLOOKUP(C1129,Ingredients!$B$6:$I$206,7,FALSE()),"?")</f>
        <v>L</v>
      </c>
      <c r="G1129" s="31" t="n">
        <f aca="false">IFERROR(VLOOKUP(C1129,Ingredients!$B$6:$I$206,6,FALSE()),0)</f>
        <v>0.732745961820852</v>
      </c>
      <c r="H1129" s="32" t="n">
        <f aca="false">IFERROR(D1129*G1129,0)</f>
        <v>0.219823788546256</v>
      </c>
    </row>
    <row r="1130" customFormat="false" ht="15" hidden="false" customHeight="true" outlineLevel="0" collapsed="false">
      <c r="B1130" s="14" t="n">
        <v>187</v>
      </c>
      <c r="C1130" s="11" t="s">
        <v>138</v>
      </c>
      <c r="D1130" s="17" t="n">
        <v>1</v>
      </c>
      <c r="E1130" s="11" t="s">
        <v>112</v>
      </c>
      <c r="F1130" s="14" t="str">
        <f aca="false">IFERROR(VLOOKUP(C1130,Ingredients!$B$6:$I$206,7,FALSE()),"?")</f>
        <v>unit</v>
      </c>
      <c r="G1130" s="31" t="n">
        <f aca="false">IFERROR(VLOOKUP(C1130,Ingredients!$B$6:$I$206,6,FALSE()),0)</f>
        <v>0.11</v>
      </c>
      <c r="H1130" s="32" t="n">
        <f aca="false">IFERROR(D1130*G1130,0)</f>
        <v>0.11</v>
      </c>
    </row>
    <row r="1131" customFormat="false" ht="15" hidden="false" customHeight="true" outlineLevel="0" collapsed="false">
      <c r="B1131" s="14" t="n">
        <v>187</v>
      </c>
      <c r="C1131" s="11" t="s">
        <v>140</v>
      </c>
      <c r="D1131" s="17" t="n">
        <v>1</v>
      </c>
      <c r="E1131" s="11" t="s">
        <v>112</v>
      </c>
      <c r="F1131" s="14" t="str">
        <f aca="false">IFERROR(VLOOKUP(C1131,Ingredients!$B$6:$I$206,7,FALSE()),"?")</f>
        <v>unit</v>
      </c>
      <c r="G1131" s="31" t="n">
        <f aca="false">IFERROR(VLOOKUP(C1131,Ingredients!$B$6:$I$206,6,FALSE()),0)</f>
        <v>0.03</v>
      </c>
      <c r="H1131" s="32" t="n">
        <f aca="false">IFERROR(D1131*G1131,0)</f>
        <v>0.03</v>
      </c>
    </row>
    <row r="1132" customFormat="false" ht="15" hidden="false" customHeight="true" outlineLevel="0" collapsed="false">
      <c r="B1132" s="14" t="n">
        <v>188</v>
      </c>
      <c r="C1132" s="11" t="s">
        <v>77</v>
      </c>
      <c r="D1132" s="17" t="n">
        <v>0.036</v>
      </c>
      <c r="E1132" s="11" t="s">
        <v>79</v>
      </c>
      <c r="F1132" s="14" t="str">
        <f aca="false">IFERROR(VLOOKUP(C1132,Ingredients!$B$6:$I$206,7,FALSE()),"?")</f>
        <v>kg</v>
      </c>
      <c r="G1132" s="31" t="n">
        <f aca="false">IFERROR(VLOOKUP(C1132,Ingredients!$B$6:$I$206,6,FALSE()),0)</f>
        <v>16.25</v>
      </c>
      <c r="H1132" s="32" t="n">
        <f aca="false">IFERROR(D1132*G1132,0)</f>
        <v>0.585</v>
      </c>
    </row>
    <row r="1133" customFormat="false" ht="15" hidden="false" customHeight="true" outlineLevel="0" collapsed="false">
      <c r="B1133" s="14" t="n">
        <v>188</v>
      </c>
      <c r="C1133" s="11" t="s">
        <v>63</v>
      </c>
      <c r="D1133" s="17" t="n">
        <v>0.18</v>
      </c>
      <c r="E1133" s="11" t="s">
        <v>65</v>
      </c>
      <c r="F1133" s="14" t="str">
        <f aca="false">IFERROR(VLOOKUP(C1133,Ingredients!$B$6:$I$206,7,FALSE()),"?")</f>
        <v>L</v>
      </c>
      <c r="G1133" s="31" t="n">
        <f aca="false">IFERROR(VLOOKUP(C1133,Ingredients!$B$6:$I$206,6,FALSE()),0)</f>
        <v>0.732745961820852</v>
      </c>
      <c r="H1133" s="32" t="n">
        <f aca="false">IFERROR(D1133*G1133,0)</f>
        <v>0.131894273127753</v>
      </c>
    </row>
    <row r="1134" customFormat="false" ht="15" hidden="false" customHeight="true" outlineLevel="0" collapsed="false">
      <c r="B1134" s="14" t="n">
        <v>188</v>
      </c>
      <c r="C1134" s="11" t="s">
        <v>134</v>
      </c>
      <c r="D1134" s="17" t="n">
        <v>1</v>
      </c>
      <c r="E1134" s="11" t="s">
        <v>112</v>
      </c>
      <c r="F1134" s="14" t="str">
        <f aca="false">IFERROR(VLOOKUP(C1134,Ingredients!$B$6:$I$206,7,FALSE()),"?")</f>
        <v>unit</v>
      </c>
      <c r="G1134" s="31" t="n">
        <f aca="false">IFERROR(VLOOKUP(C1134,Ingredients!$B$6:$I$206,6,FALSE()),0)</f>
        <v>0.09</v>
      </c>
      <c r="H1134" s="32" t="n">
        <f aca="false">IFERROR(D1134*G1134,0)</f>
        <v>0.09</v>
      </c>
    </row>
    <row r="1135" customFormat="false" ht="15" hidden="false" customHeight="true" outlineLevel="0" collapsed="false">
      <c r="B1135" s="14" t="n">
        <v>188</v>
      </c>
      <c r="C1135" s="11" t="s">
        <v>136</v>
      </c>
      <c r="D1135" s="17" t="n">
        <v>1</v>
      </c>
      <c r="E1135" s="11" t="s">
        <v>112</v>
      </c>
      <c r="F1135" s="14" t="str">
        <f aca="false">IFERROR(VLOOKUP(C1135,Ingredients!$B$6:$I$206,7,FALSE()),"?")</f>
        <v>unit</v>
      </c>
      <c r="G1135" s="31" t="n">
        <f aca="false">IFERROR(VLOOKUP(C1135,Ingredients!$B$6:$I$206,6,FALSE()),0)</f>
        <v>0.03</v>
      </c>
      <c r="H1135" s="32" t="n">
        <f aca="false">IFERROR(D1135*G1135,0)</f>
        <v>0.03</v>
      </c>
    </row>
    <row r="1136" customFormat="false" ht="15" hidden="false" customHeight="true" outlineLevel="0" collapsed="false">
      <c r="B1136" s="14" t="n">
        <v>189</v>
      </c>
      <c r="C1136" s="11" t="s">
        <v>77</v>
      </c>
      <c r="D1136" s="17" t="n">
        <v>0.072</v>
      </c>
      <c r="E1136" s="11" t="s">
        <v>79</v>
      </c>
      <c r="F1136" s="14" t="str">
        <f aca="false">IFERROR(VLOOKUP(C1136,Ingredients!$B$6:$I$206,7,FALSE()),"?")</f>
        <v>kg</v>
      </c>
      <c r="G1136" s="31" t="n">
        <f aca="false">IFERROR(VLOOKUP(C1136,Ingredients!$B$6:$I$206,6,FALSE()),0)</f>
        <v>16.25</v>
      </c>
      <c r="H1136" s="32" t="n">
        <f aca="false">IFERROR(D1136*G1136,0)</f>
        <v>1.17</v>
      </c>
    </row>
    <row r="1137" customFormat="false" ht="15" hidden="false" customHeight="true" outlineLevel="0" collapsed="false">
      <c r="B1137" s="14" t="n">
        <v>189</v>
      </c>
      <c r="C1137" s="11" t="s">
        <v>63</v>
      </c>
      <c r="D1137" s="17" t="n">
        <v>0.36</v>
      </c>
      <c r="E1137" s="11" t="s">
        <v>65</v>
      </c>
      <c r="F1137" s="14" t="str">
        <f aca="false">IFERROR(VLOOKUP(C1137,Ingredients!$B$6:$I$206,7,FALSE()),"?")</f>
        <v>L</v>
      </c>
      <c r="G1137" s="31" t="n">
        <f aca="false">IFERROR(VLOOKUP(C1137,Ingredients!$B$6:$I$206,6,FALSE()),0)</f>
        <v>0.732745961820852</v>
      </c>
      <c r="H1137" s="32" t="n">
        <f aca="false">IFERROR(D1137*G1137,0)</f>
        <v>0.263788546255507</v>
      </c>
    </row>
    <row r="1138" customFormat="false" ht="15" hidden="false" customHeight="true" outlineLevel="0" collapsed="false">
      <c r="B1138" s="14" t="n">
        <v>189</v>
      </c>
      <c r="C1138" s="11" t="s">
        <v>142</v>
      </c>
      <c r="D1138" s="17" t="n">
        <v>1</v>
      </c>
      <c r="E1138" s="11" t="s">
        <v>112</v>
      </c>
      <c r="F1138" s="14" t="str">
        <f aca="false">IFERROR(VLOOKUP(C1138,Ingredients!$B$6:$I$206,7,FALSE()),"?")</f>
        <v>unit</v>
      </c>
      <c r="G1138" s="31" t="n">
        <f aca="false">IFERROR(VLOOKUP(C1138,Ingredients!$B$6:$I$206,6,FALSE()),0)</f>
        <v>0.14</v>
      </c>
      <c r="H1138" s="32" t="n">
        <f aca="false">IFERROR(D1138*G1138,0)</f>
        <v>0.14</v>
      </c>
    </row>
    <row r="1139" customFormat="false" ht="15" hidden="false" customHeight="true" outlineLevel="0" collapsed="false">
      <c r="B1139" s="14" t="n">
        <v>189</v>
      </c>
      <c r="C1139" s="11" t="s">
        <v>144</v>
      </c>
      <c r="D1139" s="17" t="n">
        <v>1</v>
      </c>
      <c r="E1139" s="11" t="s">
        <v>112</v>
      </c>
      <c r="F1139" s="14" t="str">
        <f aca="false">IFERROR(VLOOKUP(C1139,Ingredients!$B$6:$I$206,7,FALSE()),"?")</f>
        <v>unit</v>
      </c>
      <c r="G1139" s="31" t="n">
        <f aca="false">IFERROR(VLOOKUP(C1139,Ingredients!$B$6:$I$206,6,FALSE()),0)</f>
        <v>0.03</v>
      </c>
      <c r="H1139" s="32" t="n">
        <f aca="false">IFERROR(D1139*G1139,0)</f>
        <v>0.03</v>
      </c>
    </row>
    <row r="1140" customFormat="false" ht="15" hidden="false" customHeight="true" outlineLevel="0" collapsed="false">
      <c r="B1140" s="14" t="n">
        <v>190</v>
      </c>
      <c r="C1140" s="11" t="s">
        <v>77</v>
      </c>
      <c r="D1140" s="17" t="n">
        <v>0.036</v>
      </c>
      <c r="E1140" s="11" t="s">
        <v>79</v>
      </c>
      <c r="F1140" s="14" t="str">
        <f aca="false">IFERROR(VLOOKUP(C1140,Ingredients!$B$6:$I$206,7,FALSE()),"?")</f>
        <v>kg</v>
      </c>
      <c r="G1140" s="31" t="n">
        <f aca="false">IFERROR(VLOOKUP(C1140,Ingredients!$B$6:$I$206,6,FALSE()),0)</f>
        <v>16.25</v>
      </c>
      <c r="H1140" s="32" t="n">
        <f aca="false">IFERROR(D1140*G1140,0)</f>
        <v>0.585</v>
      </c>
    </row>
    <row r="1141" customFormat="false" ht="15" hidden="false" customHeight="true" outlineLevel="0" collapsed="false">
      <c r="B1141" s="14" t="n">
        <v>190</v>
      </c>
      <c r="C1141" s="11" t="s">
        <v>250</v>
      </c>
      <c r="D1141" s="17" t="n">
        <v>0.22</v>
      </c>
      <c r="E1141" s="11" t="s">
        <v>65</v>
      </c>
      <c r="F1141" s="14" t="str">
        <f aca="false">IFERROR(VLOOKUP(C1141,Ingredients!$B$6:$I$206,7,FALSE()),"?")</f>
        <v>Estimate — verify supplier price</v>
      </c>
      <c r="G1141" s="31" t="n">
        <f aca="false">IFERROR(VLOOKUP(C1141,Ingredients!$B$6:$I$206,6,FALSE()),0)</f>
        <v>1.5</v>
      </c>
      <c r="H1141" s="32" t="n">
        <f aca="false">IFERROR(D1141*G1141,0)</f>
        <v>0.33</v>
      </c>
    </row>
    <row r="1142" customFormat="false" ht="15" hidden="false" customHeight="true" outlineLevel="0" collapsed="false">
      <c r="B1142" s="14" t="n">
        <v>190</v>
      </c>
      <c r="C1142" s="11" t="s">
        <v>138</v>
      </c>
      <c r="D1142" s="17" t="n">
        <v>1</v>
      </c>
      <c r="E1142" s="11" t="s">
        <v>112</v>
      </c>
      <c r="F1142" s="14" t="str">
        <f aca="false">IFERROR(VLOOKUP(C1142,Ingredients!$B$6:$I$206,7,FALSE()),"?")</f>
        <v>unit</v>
      </c>
      <c r="G1142" s="31" t="n">
        <f aca="false">IFERROR(VLOOKUP(C1142,Ingredients!$B$6:$I$206,6,FALSE()),0)</f>
        <v>0.11</v>
      </c>
      <c r="H1142" s="32" t="n">
        <f aca="false">IFERROR(D1142*G1142,0)</f>
        <v>0.11</v>
      </c>
    </row>
    <row r="1143" customFormat="false" ht="15" hidden="false" customHeight="true" outlineLevel="0" collapsed="false">
      <c r="B1143" s="14" t="n">
        <v>190</v>
      </c>
      <c r="C1143" s="11" t="s">
        <v>140</v>
      </c>
      <c r="D1143" s="17" t="n">
        <v>1</v>
      </c>
      <c r="E1143" s="11" t="s">
        <v>112</v>
      </c>
      <c r="F1143" s="14" t="str">
        <f aca="false">IFERROR(VLOOKUP(C1143,Ingredients!$B$6:$I$206,7,FALSE()),"?")</f>
        <v>unit</v>
      </c>
      <c r="G1143" s="31" t="n">
        <f aca="false">IFERROR(VLOOKUP(C1143,Ingredients!$B$6:$I$206,6,FALSE()),0)</f>
        <v>0.03</v>
      </c>
      <c r="H1143" s="32" t="n">
        <f aca="false">IFERROR(D1143*G1143,0)</f>
        <v>0.03</v>
      </c>
    </row>
    <row r="1144" customFormat="false" ht="15" hidden="false" customHeight="true" outlineLevel="0" collapsed="false">
      <c r="B1144" s="14" t="n">
        <v>191</v>
      </c>
      <c r="C1144" s="11" t="s">
        <v>77</v>
      </c>
      <c r="D1144" s="17" t="n">
        <v>0.036</v>
      </c>
      <c r="E1144" s="11" t="s">
        <v>79</v>
      </c>
      <c r="F1144" s="14" t="str">
        <f aca="false">IFERROR(VLOOKUP(C1144,Ingredients!$B$6:$I$206,7,FALSE()),"?")</f>
        <v>kg</v>
      </c>
      <c r="G1144" s="31" t="n">
        <f aca="false">IFERROR(VLOOKUP(C1144,Ingredients!$B$6:$I$206,6,FALSE()),0)</f>
        <v>16.25</v>
      </c>
      <c r="H1144" s="32" t="n">
        <f aca="false">IFERROR(D1144*G1144,0)</f>
        <v>0.585</v>
      </c>
    </row>
    <row r="1145" customFormat="false" ht="15" hidden="false" customHeight="true" outlineLevel="0" collapsed="false">
      <c r="B1145" s="14" t="n">
        <v>191</v>
      </c>
      <c r="C1145" s="11" t="s">
        <v>250</v>
      </c>
      <c r="D1145" s="17" t="n">
        <v>0.15</v>
      </c>
      <c r="E1145" s="11" t="s">
        <v>65</v>
      </c>
      <c r="F1145" s="14" t="str">
        <f aca="false">IFERROR(VLOOKUP(C1145,Ingredients!$B$6:$I$206,7,FALSE()),"?")</f>
        <v>Estimate — verify supplier price</v>
      </c>
      <c r="G1145" s="31" t="n">
        <f aca="false">IFERROR(VLOOKUP(C1145,Ingredients!$B$6:$I$206,6,FALSE()),0)</f>
        <v>1.5</v>
      </c>
      <c r="H1145" s="32" t="n">
        <f aca="false">IFERROR(D1145*G1145,0)</f>
        <v>0.225</v>
      </c>
    </row>
    <row r="1146" customFormat="false" ht="15" hidden="false" customHeight="true" outlineLevel="0" collapsed="false">
      <c r="B1146" s="14" t="n">
        <v>191</v>
      </c>
      <c r="C1146" s="11" t="s">
        <v>134</v>
      </c>
      <c r="D1146" s="17" t="n">
        <v>1</v>
      </c>
      <c r="E1146" s="11" t="s">
        <v>112</v>
      </c>
      <c r="F1146" s="14" t="str">
        <f aca="false">IFERROR(VLOOKUP(C1146,Ingredients!$B$6:$I$206,7,FALSE()),"?")</f>
        <v>unit</v>
      </c>
      <c r="G1146" s="31" t="n">
        <f aca="false">IFERROR(VLOOKUP(C1146,Ingredients!$B$6:$I$206,6,FALSE()),0)</f>
        <v>0.09</v>
      </c>
      <c r="H1146" s="32" t="n">
        <f aca="false">IFERROR(D1146*G1146,0)</f>
        <v>0.09</v>
      </c>
    </row>
    <row r="1147" customFormat="false" ht="15" hidden="false" customHeight="true" outlineLevel="0" collapsed="false">
      <c r="B1147" s="14" t="n">
        <v>191</v>
      </c>
      <c r="C1147" s="11" t="s">
        <v>136</v>
      </c>
      <c r="D1147" s="17" t="n">
        <v>1</v>
      </c>
      <c r="E1147" s="11" t="s">
        <v>112</v>
      </c>
      <c r="F1147" s="14" t="str">
        <f aca="false">IFERROR(VLOOKUP(C1147,Ingredients!$B$6:$I$206,7,FALSE()),"?")</f>
        <v>unit</v>
      </c>
      <c r="G1147" s="31" t="n">
        <f aca="false">IFERROR(VLOOKUP(C1147,Ingredients!$B$6:$I$206,6,FALSE()),0)</f>
        <v>0.03</v>
      </c>
      <c r="H1147" s="32" t="n">
        <f aca="false">IFERROR(D1147*G1147,0)</f>
        <v>0.03</v>
      </c>
    </row>
    <row r="1148" customFormat="false" ht="15" hidden="false" customHeight="true" outlineLevel="0" collapsed="false">
      <c r="B1148" s="14" t="n">
        <v>192</v>
      </c>
      <c r="C1148" s="11" t="s">
        <v>77</v>
      </c>
      <c r="D1148" s="17" t="n">
        <v>0.072</v>
      </c>
      <c r="E1148" s="11" t="s">
        <v>79</v>
      </c>
      <c r="F1148" s="14" t="str">
        <f aca="false">IFERROR(VLOOKUP(C1148,Ingredients!$B$6:$I$206,7,FALSE()),"?")</f>
        <v>kg</v>
      </c>
      <c r="G1148" s="31" t="n">
        <f aca="false">IFERROR(VLOOKUP(C1148,Ingredients!$B$6:$I$206,6,FALSE()),0)</f>
        <v>16.25</v>
      </c>
      <c r="H1148" s="32" t="n">
        <f aca="false">IFERROR(D1148*G1148,0)</f>
        <v>1.17</v>
      </c>
    </row>
    <row r="1149" customFormat="false" ht="15" hidden="false" customHeight="true" outlineLevel="0" collapsed="false">
      <c r="B1149" s="14" t="n">
        <v>192</v>
      </c>
      <c r="C1149" s="11" t="s">
        <v>250</v>
      </c>
      <c r="D1149" s="17" t="n">
        <v>0.28</v>
      </c>
      <c r="E1149" s="11" t="s">
        <v>65</v>
      </c>
      <c r="F1149" s="14" t="str">
        <f aca="false">IFERROR(VLOOKUP(C1149,Ingredients!$B$6:$I$206,7,FALSE()),"?")</f>
        <v>Estimate — verify supplier price</v>
      </c>
      <c r="G1149" s="31" t="n">
        <f aca="false">IFERROR(VLOOKUP(C1149,Ingredients!$B$6:$I$206,6,FALSE()),0)</f>
        <v>1.5</v>
      </c>
      <c r="H1149" s="32" t="n">
        <f aca="false">IFERROR(D1149*G1149,0)</f>
        <v>0.42</v>
      </c>
    </row>
    <row r="1150" customFormat="false" ht="15" hidden="false" customHeight="true" outlineLevel="0" collapsed="false">
      <c r="B1150" s="14" t="n">
        <v>192</v>
      </c>
      <c r="C1150" s="11" t="s">
        <v>142</v>
      </c>
      <c r="D1150" s="17" t="n">
        <v>1</v>
      </c>
      <c r="E1150" s="11" t="s">
        <v>112</v>
      </c>
      <c r="F1150" s="14" t="str">
        <f aca="false">IFERROR(VLOOKUP(C1150,Ingredients!$B$6:$I$206,7,FALSE()),"?")</f>
        <v>unit</v>
      </c>
      <c r="G1150" s="31" t="n">
        <f aca="false">IFERROR(VLOOKUP(C1150,Ingredients!$B$6:$I$206,6,FALSE()),0)</f>
        <v>0.14</v>
      </c>
      <c r="H1150" s="32" t="n">
        <f aca="false">IFERROR(D1150*G1150,0)</f>
        <v>0.14</v>
      </c>
    </row>
    <row r="1151" customFormat="false" ht="15" hidden="false" customHeight="true" outlineLevel="0" collapsed="false">
      <c r="B1151" s="14" t="n">
        <v>192</v>
      </c>
      <c r="C1151" s="11" t="s">
        <v>144</v>
      </c>
      <c r="D1151" s="17" t="n">
        <v>1</v>
      </c>
      <c r="E1151" s="11" t="s">
        <v>112</v>
      </c>
      <c r="F1151" s="14" t="str">
        <f aca="false">IFERROR(VLOOKUP(C1151,Ingredients!$B$6:$I$206,7,FALSE()),"?")</f>
        <v>unit</v>
      </c>
      <c r="G1151" s="31" t="n">
        <f aca="false">IFERROR(VLOOKUP(C1151,Ingredients!$B$6:$I$206,6,FALSE()),0)</f>
        <v>0.03</v>
      </c>
      <c r="H1151" s="32" t="n">
        <f aca="false">IFERROR(D1151*G1151,0)</f>
        <v>0.03</v>
      </c>
    </row>
    <row r="1152" customFormat="false" ht="15" hidden="false" customHeight="true" outlineLevel="0" collapsed="false">
      <c r="B1152" s="14" t="n">
        <v>195</v>
      </c>
      <c r="C1152" s="11" t="s">
        <v>63</v>
      </c>
      <c r="D1152" s="17" t="n">
        <v>0.2</v>
      </c>
      <c r="E1152" s="11" t="s">
        <v>65</v>
      </c>
      <c r="F1152" s="14" t="str">
        <f aca="false">IFERROR(VLOOKUP(C1152,Ingredients!$B$6:$I$206,7,FALSE()),"?")</f>
        <v>L</v>
      </c>
      <c r="G1152" s="31" t="n">
        <f aca="false">IFERROR(VLOOKUP(C1152,Ingredients!$B$6:$I$206,6,FALSE()),0)</f>
        <v>0.732745961820852</v>
      </c>
      <c r="H1152" s="32" t="n">
        <f aca="false">IFERROR(D1152*G1152,0)</f>
        <v>0.14654919236417</v>
      </c>
    </row>
    <row r="1153" customFormat="false" ht="15" hidden="false" customHeight="true" outlineLevel="0" collapsed="false">
      <c r="B1153" s="14" t="n">
        <v>195</v>
      </c>
      <c r="C1153" s="11" t="s">
        <v>100</v>
      </c>
      <c r="D1153" s="17" t="n">
        <v>30</v>
      </c>
      <c r="E1153" s="11" t="s">
        <v>84</v>
      </c>
      <c r="F1153" s="14" t="str">
        <f aca="false">IFERROR(VLOOKUP(C1153,Ingredients!$B$6:$I$206,7,FALSE()),"?")</f>
        <v>ml</v>
      </c>
      <c r="G1153" s="31" t="n">
        <f aca="false">IFERROR(VLOOKUP(C1153,Ingredients!$B$6:$I$206,6,FALSE()),0)</f>
        <v>0.005</v>
      </c>
      <c r="H1153" s="32" t="n">
        <f aca="false">IFERROR(D1153*G1153,0)</f>
        <v>0.15</v>
      </c>
    </row>
    <row r="1154" customFormat="false" ht="15" hidden="false" customHeight="true" outlineLevel="0" collapsed="false">
      <c r="B1154" s="14" t="n">
        <v>195</v>
      </c>
      <c r="C1154" s="11" t="s">
        <v>125</v>
      </c>
      <c r="D1154" s="17" t="n">
        <v>0.02</v>
      </c>
      <c r="E1154" s="11" t="s">
        <v>79</v>
      </c>
      <c r="F1154" s="14" t="str">
        <f aca="false">IFERROR(VLOOKUP(C1154,Ingredients!$B$6:$I$206,7,FALSE()),"?")</f>
        <v>kg</v>
      </c>
      <c r="G1154" s="31" t="n">
        <f aca="false">IFERROR(VLOOKUP(C1154,Ingredients!$B$6:$I$206,6,FALSE()),0)</f>
        <v>5.9375</v>
      </c>
      <c r="H1154" s="32" t="n">
        <f aca="false">IFERROR(D1154*G1154,0)</f>
        <v>0.11875</v>
      </c>
    </row>
    <row r="1155" customFormat="false" ht="15" hidden="false" customHeight="true" outlineLevel="0" collapsed="false">
      <c r="B1155" s="14" t="n">
        <v>195</v>
      </c>
      <c r="C1155" s="11" t="s">
        <v>142</v>
      </c>
      <c r="D1155" s="17" t="n">
        <v>1</v>
      </c>
      <c r="E1155" s="11" t="s">
        <v>112</v>
      </c>
      <c r="F1155" s="14" t="str">
        <f aca="false">IFERROR(VLOOKUP(C1155,Ingredients!$B$6:$I$206,7,FALSE()),"?")</f>
        <v>unit</v>
      </c>
      <c r="G1155" s="31" t="n">
        <f aca="false">IFERROR(VLOOKUP(C1155,Ingredients!$B$6:$I$206,6,FALSE()),0)</f>
        <v>0.14</v>
      </c>
      <c r="H1155" s="32" t="n">
        <f aca="false">IFERROR(D1155*G1155,0)</f>
        <v>0.14</v>
      </c>
    </row>
    <row r="1156" customFormat="false" ht="15" hidden="false" customHeight="true" outlineLevel="0" collapsed="false">
      <c r="B1156" s="14" t="n">
        <v>195</v>
      </c>
      <c r="C1156" s="11" t="s">
        <v>144</v>
      </c>
      <c r="D1156" s="17" t="n">
        <v>1</v>
      </c>
      <c r="E1156" s="11" t="s">
        <v>112</v>
      </c>
      <c r="F1156" s="14" t="str">
        <f aca="false">IFERROR(VLOOKUP(C1156,Ingredients!$B$6:$I$206,7,FALSE()),"?")</f>
        <v>unit</v>
      </c>
      <c r="G1156" s="31" t="n">
        <f aca="false">IFERROR(VLOOKUP(C1156,Ingredients!$B$6:$I$206,6,FALSE()),0)</f>
        <v>0.03</v>
      </c>
      <c r="H1156" s="32" t="n">
        <f aca="false">IFERROR(D1156*G1156,0)</f>
        <v>0.03</v>
      </c>
    </row>
    <row r="1157" customFormat="false" ht="15" hidden="false" customHeight="true" outlineLevel="0" collapsed="false">
      <c r="B1157" s="14" t="n">
        <v>196</v>
      </c>
      <c r="C1157" s="11" t="s">
        <v>63</v>
      </c>
      <c r="D1157" s="17" t="n">
        <v>0.2</v>
      </c>
      <c r="E1157" s="11" t="s">
        <v>65</v>
      </c>
      <c r="F1157" s="14" t="str">
        <f aca="false">IFERROR(VLOOKUP(C1157,Ingredients!$B$6:$I$206,7,FALSE()),"?")</f>
        <v>L</v>
      </c>
      <c r="G1157" s="31" t="n">
        <f aca="false">IFERROR(VLOOKUP(C1157,Ingredients!$B$6:$I$206,6,FALSE()),0)</f>
        <v>0.732745961820852</v>
      </c>
      <c r="H1157" s="32" t="n">
        <f aca="false">IFERROR(D1157*G1157,0)</f>
        <v>0.14654919236417</v>
      </c>
    </row>
    <row r="1158" customFormat="false" ht="15" hidden="false" customHeight="true" outlineLevel="0" collapsed="false">
      <c r="B1158" s="14" t="n">
        <v>196</v>
      </c>
      <c r="C1158" s="11" t="s">
        <v>100</v>
      </c>
      <c r="D1158" s="17" t="n">
        <v>30</v>
      </c>
      <c r="E1158" s="11" t="s">
        <v>84</v>
      </c>
      <c r="F1158" s="14" t="str">
        <f aca="false">IFERROR(VLOOKUP(C1158,Ingredients!$B$6:$I$206,7,FALSE()),"?")</f>
        <v>ml</v>
      </c>
      <c r="G1158" s="31" t="n">
        <f aca="false">IFERROR(VLOOKUP(C1158,Ingredients!$B$6:$I$206,6,FALSE()),0)</f>
        <v>0.005</v>
      </c>
      <c r="H1158" s="32" t="n">
        <f aca="false">IFERROR(D1158*G1158,0)</f>
        <v>0.15</v>
      </c>
    </row>
    <row r="1159" customFormat="false" ht="15" hidden="false" customHeight="true" outlineLevel="0" collapsed="false">
      <c r="B1159" s="14" t="n">
        <v>196</v>
      </c>
      <c r="C1159" s="11" t="s">
        <v>125</v>
      </c>
      <c r="D1159" s="17" t="n">
        <v>0.02</v>
      </c>
      <c r="E1159" s="11" t="s">
        <v>79</v>
      </c>
      <c r="F1159" s="14" t="str">
        <f aca="false">IFERROR(VLOOKUP(C1159,Ingredients!$B$6:$I$206,7,FALSE()),"?")</f>
        <v>kg</v>
      </c>
      <c r="G1159" s="31" t="n">
        <f aca="false">IFERROR(VLOOKUP(C1159,Ingredients!$B$6:$I$206,6,FALSE()),0)</f>
        <v>5.9375</v>
      </c>
      <c r="H1159" s="32" t="n">
        <f aca="false">IFERROR(D1159*G1159,0)</f>
        <v>0.11875</v>
      </c>
    </row>
    <row r="1160" customFormat="false" ht="15" hidden="false" customHeight="true" outlineLevel="0" collapsed="false">
      <c r="B1160" s="14" t="n">
        <v>196</v>
      </c>
      <c r="C1160" s="11" t="s">
        <v>138</v>
      </c>
      <c r="D1160" s="17" t="n">
        <v>1</v>
      </c>
      <c r="E1160" s="11" t="s">
        <v>112</v>
      </c>
      <c r="F1160" s="14" t="str">
        <f aca="false">IFERROR(VLOOKUP(C1160,Ingredients!$B$6:$I$206,7,FALSE()),"?")</f>
        <v>unit</v>
      </c>
      <c r="G1160" s="31" t="n">
        <f aca="false">IFERROR(VLOOKUP(C1160,Ingredients!$B$6:$I$206,6,FALSE()),0)</f>
        <v>0.11</v>
      </c>
      <c r="H1160" s="32" t="n">
        <f aca="false">IFERROR(D1160*G1160,0)</f>
        <v>0.11</v>
      </c>
    </row>
    <row r="1161" customFormat="false" ht="15" hidden="false" customHeight="true" outlineLevel="0" collapsed="false">
      <c r="B1161" s="14" t="n">
        <v>196</v>
      </c>
      <c r="C1161" s="11" t="s">
        <v>140</v>
      </c>
      <c r="D1161" s="17" t="n">
        <v>1</v>
      </c>
      <c r="E1161" s="11" t="s">
        <v>112</v>
      </c>
      <c r="F1161" s="14" t="str">
        <f aca="false">IFERROR(VLOOKUP(C1161,Ingredients!$B$6:$I$206,7,FALSE()),"?")</f>
        <v>unit</v>
      </c>
      <c r="G1161" s="31" t="n">
        <f aca="false">IFERROR(VLOOKUP(C1161,Ingredients!$B$6:$I$206,6,FALSE()),0)</f>
        <v>0.03</v>
      </c>
      <c r="H1161" s="32" t="n">
        <f aca="false">IFERROR(D1161*G1161,0)</f>
        <v>0.03</v>
      </c>
    </row>
    <row r="1162" customFormat="false" ht="15" hidden="false" customHeight="true" outlineLevel="0" collapsed="false">
      <c r="B1162" s="14" t="n">
        <v>197</v>
      </c>
      <c r="C1162" s="11" t="s">
        <v>110</v>
      </c>
      <c r="D1162" s="17" t="n">
        <v>1</v>
      </c>
      <c r="E1162" s="11" t="s">
        <v>112</v>
      </c>
      <c r="F1162" s="14" t="str">
        <f aca="false">IFERROR(VLOOKUP(C1162,Ingredients!$B$6:$I$206,7,FALSE()),"?")</f>
        <v>unit</v>
      </c>
      <c r="G1162" s="31" t="n">
        <f aca="false">IFERROR(VLOOKUP(C1162,Ingredients!$B$6:$I$206,6,FALSE()),0)</f>
        <v>0.059875</v>
      </c>
      <c r="H1162" s="32" t="n">
        <f aca="false">IFERROR(D1162*G1162,0)</f>
        <v>0.059875</v>
      </c>
    </row>
    <row r="1163" customFormat="false" ht="15" hidden="false" customHeight="true" outlineLevel="0" collapsed="false">
      <c r="B1163" s="14" t="n">
        <v>197</v>
      </c>
      <c r="C1163" s="11" t="s">
        <v>100</v>
      </c>
      <c r="D1163" s="17" t="n">
        <v>30</v>
      </c>
      <c r="E1163" s="11" t="s">
        <v>84</v>
      </c>
      <c r="F1163" s="14" t="str">
        <f aca="false">IFERROR(VLOOKUP(C1163,Ingredients!$B$6:$I$206,7,FALSE()),"?")</f>
        <v>ml</v>
      </c>
      <c r="G1163" s="31" t="n">
        <f aca="false">IFERROR(VLOOKUP(C1163,Ingredients!$B$6:$I$206,6,FALSE()),0)</f>
        <v>0.005</v>
      </c>
      <c r="H1163" s="32" t="n">
        <f aca="false">IFERROR(D1163*G1163,0)</f>
        <v>0.15</v>
      </c>
    </row>
    <row r="1164" customFormat="false" ht="15" hidden="false" customHeight="true" outlineLevel="0" collapsed="false">
      <c r="B1164" s="14" t="n">
        <v>197</v>
      </c>
      <c r="C1164" s="11" t="s">
        <v>142</v>
      </c>
      <c r="D1164" s="17" t="n">
        <v>1</v>
      </c>
      <c r="E1164" s="11" t="s">
        <v>112</v>
      </c>
      <c r="F1164" s="14" t="str">
        <f aca="false">IFERROR(VLOOKUP(C1164,Ingredients!$B$6:$I$206,7,FALSE()),"?")</f>
        <v>unit</v>
      </c>
      <c r="G1164" s="31" t="n">
        <f aca="false">IFERROR(VLOOKUP(C1164,Ingredients!$B$6:$I$206,6,FALSE()),0)</f>
        <v>0.14</v>
      </c>
      <c r="H1164" s="32" t="n">
        <f aca="false">IFERROR(D1164*G1164,0)</f>
        <v>0.14</v>
      </c>
    </row>
    <row r="1165" customFormat="false" ht="15" hidden="false" customHeight="true" outlineLevel="0" collapsed="false">
      <c r="B1165" s="14" t="n">
        <v>197</v>
      </c>
      <c r="C1165" s="11" t="s">
        <v>144</v>
      </c>
      <c r="D1165" s="17" t="n">
        <v>1</v>
      </c>
      <c r="E1165" s="11" t="s">
        <v>112</v>
      </c>
      <c r="F1165" s="14" t="str">
        <f aca="false">IFERROR(VLOOKUP(C1165,Ingredients!$B$6:$I$206,7,FALSE()),"?")</f>
        <v>unit</v>
      </c>
      <c r="G1165" s="31" t="n">
        <f aca="false">IFERROR(VLOOKUP(C1165,Ingredients!$B$6:$I$206,6,FALSE()),0)</f>
        <v>0.03</v>
      </c>
      <c r="H1165" s="32" t="n">
        <f aca="false">IFERROR(D1165*G1165,0)</f>
        <v>0.03</v>
      </c>
    </row>
    <row r="1166" customFormat="false" ht="15" hidden="false" customHeight="true" outlineLevel="0" collapsed="false">
      <c r="B1166" s="14" t="n">
        <v>198</v>
      </c>
      <c r="C1166" s="11" t="s">
        <v>110</v>
      </c>
      <c r="D1166" s="17" t="n">
        <v>1</v>
      </c>
      <c r="E1166" s="11" t="s">
        <v>112</v>
      </c>
      <c r="F1166" s="14" t="str">
        <f aca="false">IFERROR(VLOOKUP(C1166,Ingredients!$B$6:$I$206,7,FALSE()),"?")</f>
        <v>unit</v>
      </c>
      <c r="G1166" s="31" t="n">
        <f aca="false">IFERROR(VLOOKUP(C1166,Ingredients!$B$6:$I$206,6,FALSE()),0)</f>
        <v>0.059875</v>
      </c>
      <c r="H1166" s="32" t="n">
        <f aca="false">IFERROR(D1166*G1166,0)</f>
        <v>0.059875</v>
      </c>
    </row>
    <row r="1167" customFormat="false" ht="15" hidden="false" customHeight="true" outlineLevel="0" collapsed="false">
      <c r="B1167" s="14" t="n">
        <v>198</v>
      </c>
      <c r="C1167" s="11" t="s">
        <v>100</v>
      </c>
      <c r="D1167" s="17" t="n">
        <v>30</v>
      </c>
      <c r="E1167" s="11" t="s">
        <v>84</v>
      </c>
      <c r="F1167" s="14" t="str">
        <f aca="false">IFERROR(VLOOKUP(C1167,Ingredients!$B$6:$I$206,7,FALSE()),"?")</f>
        <v>ml</v>
      </c>
      <c r="G1167" s="31" t="n">
        <f aca="false">IFERROR(VLOOKUP(C1167,Ingredients!$B$6:$I$206,6,FALSE()),0)</f>
        <v>0.005</v>
      </c>
      <c r="H1167" s="32" t="n">
        <f aca="false">IFERROR(D1167*G1167,0)</f>
        <v>0.15</v>
      </c>
    </row>
    <row r="1168" customFormat="false" ht="15" hidden="false" customHeight="true" outlineLevel="0" collapsed="false">
      <c r="B1168" s="14" t="n">
        <v>198</v>
      </c>
      <c r="C1168" s="11" t="s">
        <v>138</v>
      </c>
      <c r="D1168" s="17" t="n">
        <v>1</v>
      </c>
      <c r="E1168" s="11" t="s">
        <v>112</v>
      </c>
      <c r="F1168" s="14" t="str">
        <f aca="false">IFERROR(VLOOKUP(C1168,Ingredients!$B$6:$I$206,7,FALSE()),"?")</f>
        <v>unit</v>
      </c>
      <c r="G1168" s="31" t="n">
        <f aca="false">IFERROR(VLOOKUP(C1168,Ingredients!$B$6:$I$206,6,FALSE()),0)</f>
        <v>0.11</v>
      </c>
      <c r="H1168" s="32" t="n">
        <f aca="false">IFERROR(D1168*G1168,0)</f>
        <v>0.11</v>
      </c>
    </row>
    <row r="1169" customFormat="false" ht="15" hidden="false" customHeight="true" outlineLevel="0" collapsed="false">
      <c r="B1169" s="14" t="n">
        <v>198</v>
      </c>
      <c r="C1169" s="11" t="s">
        <v>140</v>
      </c>
      <c r="D1169" s="17" t="n">
        <v>1</v>
      </c>
      <c r="E1169" s="11" t="s">
        <v>112</v>
      </c>
      <c r="F1169" s="14" t="str">
        <f aca="false">IFERROR(VLOOKUP(C1169,Ingredients!$B$6:$I$206,7,FALSE()),"?")</f>
        <v>unit</v>
      </c>
      <c r="G1169" s="31" t="n">
        <f aca="false">IFERROR(VLOOKUP(C1169,Ingredients!$B$6:$I$206,6,FALSE()),0)</f>
        <v>0.03</v>
      </c>
      <c r="H1169" s="32" t="n">
        <f aca="false">IFERROR(D1169*G1169,0)</f>
        <v>0.03</v>
      </c>
    </row>
    <row r="1170" customFormat="false" ht="15" hidden="false" customHeight="true" outlineLevel="0" collapsed="false">
      <c r="B1170" s="14" t="n">
        <v>201</v>
      </c>
      <c r="C1170" s="11" t="s">
        <v>116</v>
      </c>
      <c r="D1170" s="17" t="n">
        <v>0.03</v>
      </c>
      <c r="E1170" s="11" t="s">
        <v>79</v>
      </c>
      <c r="F1170" s="14" t="str">
        <f aca="false">IFERROR(VLOOKUP(C1170,Ingredients!$B$6:$I$206,7,FALSE()),"?")</f>
        <v>kg</v>
      </c>
      <c r="G1170" s="31" t="n">
        <f aca="false">IFERROR(VLOOKUP(C1170,Ingredients!$B$6:$I$206,6,FALSE()),0)</f>
        <v>7</v>
      </c>
      <c r="H1170" s="32" t="n">
        <f aca="false">IFERROR(D1170*G1170,0)</f>
        <v>0.21</v>
      </c>
    </row>
    <row r="1171" customFormat="false" ht="15" hidden="false" customHeight="true" outlineLevel="0" collapsed="false">
      <c r="B1171" s="14" t="n">
        <v>201</v>
      </c>
      <c r="C1171" s="11" t="s">
        <v>63</v>
      </c>
      <c r="D1171" s="17" t="n">
        <v>0.34</v>
      </c>
      <c r="E1171" s="11" t="s">
        <v>65</v>
      </c>
      <c r="F1171" s="14" t="str">
        <f aca="false">IFERROR(VLOOKUP(C1171,Ingredients!$B$6:$I$206,7,FALSE()),"?")</f>
        <v>L</v>
      </c>
      <c r="G1171" s="31" t="n">
        <f aca="false">IFERROR(VLOOKUP(C1171,Ingredients!$B$6:$I$206,6,FALSE()),0)</f>
        <v>0.732745961820852</v>
      </c>
      <c r="H1171" s="32" t="n">
        <f aca="false">IFERROR(D1171*G1171,0)</f>
        <v>0.24913362701909</v>
      </c>
    </row>
    <row r="1172" customFormat="false" ht="15" hidden="false" customHeight="true" outlineLevel="0" collapsed="false">
      <c r="B1172" s="14" t="n">
        <v>201</v>
      </c>
      <c r="C1172" s="11" t="s">
        <v>138</v>
      </c>
      <c r="D1172" s="17" t="n">
        <v>1</v>
      </c>
      <c r="E1172" s="11" t="s">
        <v>112</v>
      </c>
      <c r="F1172" s="14" t="str">
        <f aca="false">IFERROR(VLOOKUP(C1172,Ingredients!$B$6:$I$206,7,FALSE()),"?")</f>
        <v>unit</v>
      </c>
      <c r="G1172" s="31" t="n">
        <f aca="false">IFERROR(VLOOKUP(C1172,Ingredients!$B$6:$I$206,6,FALSE()),0)</f>
        <v>0.11</v>
      </c>
      <c r="H1172" s="32" t="n">
        <f aca="false">IFERROR(D1172*G1172,0)</f>
        <v>0.11</v>
      </c>
    </row>
    <row r="1173" customFormat="false" ht="15" hidden="false" customHeight="true" outlineLevel="0" collapsed="false">
      <c r="B1173" s="14" t="n">
        <v>201</v>
      </c>
      <c r="C1173" s="11" t="s">
        <v>140</v>
      </c>
      <c r="D1173" s="17" t="n">
        <v>1</v>
      </c>
      <c r="E1173" s="11" t="s">
        <v>112</v>
      </c>
      <c r="F1173" s="14" t="str">
        <f aca="false">IFERROR(VLOOKUP(C1173,Ingredients!$B$6:$I$206,7,FALSE()),"?")</f>
        <v>unit</v>
      </c>
      <c r="G1173" s="31" t="n">
        <f aca="false">IFERROR(VLOOKUP(C1173,Ingredients!$B$6:$I$206,6,FALSE()),0)</f>
        <v>0.03</v>
      </c>
      <c r="H1173" s="32" t="n">
        <f aca="false">IFERROR(D1173*G1173,0)</f>
        <v>0.03</v>
      </c>
    </row>
    <row r="1174" customFormat="false" ht="15" hidden="false" customHeight="true" outlineLevel="0" collapsed="false">
      <c r="B1174" s="14" t="n">
        <v>201</v>
      </c>
      <c r="C1174" s="11" t="s">
        <v>96</v>
      </c>
      <c r="D1174" s="17" t="n">
        <v>30</v>
      </c>
      <c r="E1174" s="11" t="s">
        <v>84</v>
      </c>
      <c r="F1174" s="14" t="str">
        <f aca="false">IFERROR(VLOOKUP(C1174,Ingredients!$B$6:$I$206,7,FALSE()),"?")</f>
        <v>ml</v>
      </c>
      <c r="G1174" s="31" t="n">
        <f aca="false">IFERROR(VLOOKUP(C1174,Ingredients!$B$6:$I$206,6,FALSE()),0)</f>
        <v>0.005</v>
      </c>
      <c r="H1174" s="32" t="n">
        <f aca="false">IFERROR(D1174*G1174,0)</f>
        <v>0.15</v>
      </c>
    </row>
    <row r="1175" customFormat="false" ht="15" hidden="false" customHeight="true" outlineLevel="0" collapsed="false">
      <c r="B1175" s="14" t="n">
        <v>202</v>
      </c>
      <c r="C1175" s="11" t="s">
        <v>116</v>
      </c>
      <c r="D1175" s="17" t="n">
        <v>0.02</v>
      </c>
      <c r="E1175" s="11" t="s">
        <v>79</v>
      </c>
      <c r="F1175" s="14" t="str">
        <f aca="false">IFERROR(VLOOKUP(C1175,Ingredients!$B$6:$I$206,7,FALSE()),"?")</f>
        <v>kg</v>
      </c>
      <c r="G1175" s="31" t="n">
        <f aca="false">IFERROR(VLOOKUP(C1175,Ingredients!$B$6:$I$206,6,FALSE()),0)</f>
        <v>7</v>
      </c>
      <c r="H1175" s="32" t="n">
        <f aca="false">IFERROR(D1175*G1175,0)</f>
        <v>0.14</v>
      </c>
    </row>
    <row r="1176" customFormat="false" ht="15" hidden="false" customHeight="true" outlineLevel="0" collapsed="false">
      <c r="B1176" s="14" t="n">
        <v>202</v>
      </c>
      <c r="C1176" s="11" t="s">
        <v>63</v>
      </c>
      <c r="D1176" s="17" t="n">
        <v>0.22</v>
      </c>
      <c r="E1176" s="11" t="s">
        <v>65</v>
      </c>
      <c r="F1176" s="14" t="str">
        <f aca="false">IFERROR(VLOOKUP(C1176,Ingredients!$B$6:$I$206,7,FALSE()),"?")</f>
        <v>L</v>
      </c>
      <c r="G1176" s="31" t="n">
        <f aca="false">IFERROR(VLOOKUP(C1176,Ingredients!$B$6:$I$206,6,FALSE()),0)</f>
        <v>0.732745961820852</v>
      </c>
      <c r="H1176" s="32" t="n">
        <f aca="false">IFERROR(D1176*G1176,0)</f>
        <v>0.161204111600587</v>
      </c>
    </row>
    <row r="1177" customFormat="false" ht="15" hidden="false" customHeight="true" outlineLevel="0" collapsed="false">
      <c r="B1177" s="14" t="n">
        <v>202</v>
      </c>
      <c r="C1177" s="11" t="s">
        <v>134</v>
      </c>
      <c r="D1177" s="17" t="n">
        <v>1</v>
      </c>
      <c r="E1177" s="11" t="s">
        <v>112</v>
      </c>
      <c r="F1177" s="14" t="str">
        <f aca="false">IFERROR(VLOOKUP(C1177,Ingredients!$B$6:$I$206,7,FALSE()),"?")</f>
        <v>unit</v>
      </c>
      <c r="G1177" s="31" t="n">
        <f aca="false">IFERROR(VLOOKUP(C1177,Ingredients!$B$6:$I$206,6,FALSE()),0)</f>
        <v>0.09</v>
      </c>
      <c r="H1177" s="32" t="n">
        <f aca="false">IFERROR(D1177*G1177,0)</f>
        <v>0.09</v>
      </c>
    </row>
    <row r="1178" customFormat="false" ht="15" hidden="false" customHeight="true" outlineLevel="0" collapsed="false">
      <c r="B1178" s="14" t="n">
        <v>202</v>
      </c>
      <c r="C1178" s="11" t="s">
        <v>136</v>
      </c>
      <c r="D1178" s="17" t="n">
        <v>1</v>
      </c>
      <c r="E1178" s="11" t="s">
        <v>112</v>
      </c>
      <c r="F1178" s="14" t="str">
        <f aca="false">IFERROR(VLOOKUP(C1178,Ingredients!$B$6:$I$206,7,FALSE()),"?")</f>
        <v>unit</v>
      </c>
      <c r="G1178" s="31" t="n">
        <f aca="false">IFERROR(VLOOKUP(C1178,Ingredients!$B$6:$I$206,6,FALSE()),0)</f>
        <v>0.03</v>
      </c>
      <c r="H1178" s="32" t="n">
        <f aca="false">IFERROR(D1178*G1178,0)</f>
        <v>0.03</v>
      </c>
    </row>
    <row r="1179" customFormat="false" ht="15" hidden="false" customHeight="true" outlineLevel="0" collapsed="false">
      <c r="B1179" s="14" t="n">
        <v>202</v>
      </c>
      <c r="C1179" s="11" t="s">
        <v>96</v>
      </c>
      <c r="D1179" s="17" t="n">
        <v>30</v>
      </c>
      <c r="E1179" s="11" t="s">
        <v>84</v>
      </c>
      <c r="F1179" s="14" t="str">
        <f aca="false">IFERROR(VLOOKUP(C1179,Ingredients!$B$6:$I$206,7,FALSE()),"?")</f>
        <v>ml</v>
      </c>
      <c r="G1179" s="31" t="n">
        <f aca="false">IFERROR(VLOOKUP(C1179,Ingredients!$B$6:$I$206,6,FALSE()),0)</f>
        <v>0.005</v>
      </c>
      <c r="H1179" s="32" t="n">
        <f aca="false">IFERROR(D1179*G1179,0)</f>
        <v>0.15</v>
      </c>
    </row>
    <row r="1180" customFormat="false" ht="15" hidden="false" customHeight="true" outlineLevel="0" collapsed="false">
      <c r="B1180" s="14" t="n">
        <v>203</v>
      </c>
      <c r="C1180" s="11" t="s">
        <v>116</v>
      </c>
      <c r="D1180" s="17" t="n">
        <v>0.04</v>
      </c>
      <c r="E1180" s="11" t="s">
        <v>79</v>
      </c>
      <c r="F1180" s="14" t="str">
        <f aca="false">IFERROR(VLOOKUP(C1180,Ingredients!$B$6:$I$206,7,FALSE()),"?")</f>
        <v>kg</v>
      </c>
      <c r="G1180" s="31" t="n">
        <f aca="false">IFERROR(VLOOKUP(C1180,Ingredients!$B$6:$I$206,6,FALSE()),0)</f>
        <v>7</v>
      </c>
      <c r="H1180" s="32" t="n">
        <f aca="false">IFERROR(D1180*G1180,0)</f>
        <v>0.28</v>
      </c>
    </row>
    <row r="1181" customFormat="false" ht="15" hidden="false" customHeight="true" outlineLevel="0" collapsed="false">
      <c r="B1181" s="14" t="n">
        <v>203</v>
      </c>
      <c r="C1181" s="11" t="s">
        <v>63</v>
      </c>
      <c r="D1181" s="17" t="n">
        <v>0.46</v>
      </c>
      <c r="E1181" s="11" t="s">
        <v>65</v>
      </c>
      <c r="F1181" s="14" t="str">
        <f aca="false">IFERROR(VLOOKUP(C1181,Ingredients!$B$6:$I$206,7,FALSE()),"?")</f>
        <v>L</v>
      </c>
      <c r="G1181" s="31" t="n">
        <f aca="false">IFERROR(VLOOKUP(C1181,Ingredients!$B$6:$I$206,6,FALSE()),0)</f>
        <v>0.732745961820852</v>
      </c>
      <c r="H1181" s="32" t="n">
        <f aca="false">IFERROR(D1181*G1181,0)</f>
        <v>0.337063142437592</v>
      </c>
    </row>
    <row r="1182" customFormat="false" ht="15" hidden="false" customHeight="true" outlineLevel="0" collapsed="false">
      <c r="B1182" s="14" t="n">
        <v>203</v>
      </c>
      <c r="C1182" s="11" t="s">
        <v>142</v>
      </c>
      <c r="D1182" s="17" t="n">
        <v>1</v>
      </c>
      <c r="E1182" s="11" t="s">
        <v>112</v>
      </c>
      <c r="F1182" s="14" t="str">
        <f aca="false">IFERROR(VLOOKUP(C1182,Ingredients!$B$6:$I$206,7,FALSE()),"?")</f>
        <v>unit</v>
      </c>
      <c r="G1182" s="31" t="n">
        <f aca="false">IFERROR(VLOOKUP(C1182,Ingredients!$B$6:$I$206,6,FALSE()),0)</f>
        <v>0.14</v>
      </c>
      <c r="H1182" s="32" t="n">
        <f aca="false">IFERROR(D1182*G1182,0)</f>
        <v>0.14</v>
      </c>
    </row>
    <row r="1183" customFormat="false" ht="15" hidden="false" customHeight="true" outlineLevel="0" collapsed="false">
      <c r="B1183" s="14" t="n">
        <v>203</v>
      </c>
      <c r="C1183" s="11" t="s">
        <v>144</v>
      </c>
      <c r="D1183" s="17" t="n">
        <v>1</v>
      </c>
      <c r="E1183" s="11" t="s">
        <v>112</v>
      </c>
      <c r="F1183" s="14" t="str">
        <f aca="false">IFERROR(VLOOKUP(C1183,Ingredients!$B$6:$I$206,7,FALSE()),"?")</f>
        <v>unit</v>
      </c>
      <c r="G1183" s="31" t="n">
        <f aca="false">IFERROR(VLOOKUP(C1183,Ingredients!$B$6:$I$206,6,FALSE()),0)</f>
        <v>0.03</v>
      </c>
      <c r="H1183" s="32" t="n">
        <f aca="false">IFERROR(D1183*G1183,0)</f>
        <v>0.03</v>
      </c>
    </row>
    <row r="1184" customFormat="false" ht="15" hidden="false" customHeight="true" outlineLevel="0" collapsed="false">
      <c r="B1184" s="14" t="n">
        <v>203</v>
      </c>
      <c r="C1184" s="11" t="s">
        <v>96</v>
      </c>
      <c r="D1184" s="17" t="n">
        <v>30</v>
      </c>
      <c r="E1184" s="11" t="s">
        <v>84</v>
      </c>
      <c r="F1184" s="14" t="str">
        <f aca="false">IFERROR(VLOOKUP(C1184,Ingredients!$B$6:$I$206,7,FALSE()),"?")</f>
        <v>ml</v>
      </c>
      <c r="G1184" s="31" t="n">
        <f aca="false">IFERROR(VLOOKUP(C1184,Ingredients!$B$6:$I$206,6,FALSE()),0)</f>
        <v>0.005</v>
      </c>
      <c r="H1184" s="32" t="n">
        <f aca="false">IFERROR(D1184*G1184,0)</f>
        <v>0.15</v>
      </c>
    </row>
    <row r="1185" customFormat="false" ht="15" hidden="false" customHeight="true" outlineLevel="0" collapsed="false">
      <c r="B1185" s="14" t="n">
        <v>204</v>
      </c>
      <c r="C1185" s="11" t="s">
        <v>77</v>
      </c>
      <c r="D1185" s="17" t="n">
        <v>0.036</v>
      </c>
      <c r="E1185" s="11" t="s">
        <v>79</v>
      </c>
      <c r="F1185" s="14" t="str">
        <f aca="false">IFERROR(VLOOKUP(C1185,Ingredients!$B$6:$I$206,7,FALSE()),"?")</f>
        <v>kg</v>
      </c>
      <c r="G1185" s="31" t="n">
        <f aca="false">IFERROR(VLOOKUP(C1185,Ingredients!$B$6:$I$206,6,FALSE()),0)</f>
        <v>16.25</v>
      </c>
      <c r="H1185" s="32" t="n">
        <f aca="false">IFERROR(D1185*G1185,0)</f>
        <v>0.585</v>
      </c>
    </row>
    <row r="1186" customFormat="false" ht="15" hidden="false" customHeight="true" outlineLevel="0" collapsed="false">
      <c r="B1186" s="14" t="n">
        <v>204</v>
      </c>
      <c r="C1186" s="11" t="s">
        <v>63</v>
      </c>
      <c r="D1186" s="17" t="n">
        <v>0.3</v>
      </c>
      <c r="E1186" s="11" t="s">
        <v>65</v>
      </c>
      <c r="F1186" s="14" t="str">
        <f aca="false">IFERROR(VLOOKUP(C1186,Ingredients!$B$6:$I$206,7,FALSE()),"?")</f>
        <v>L</v>
      </c>
      <c r="G1186" s="31" t="n">
        <f aca="false">IFERROR(VLOOKUP(C1186,Ingredients!$B$6:$I$206,6,FALSE()),0)</f>
        <v>0.732745961820852</v>
      </c>
      <c r="H1186" s="32" t="n">
        <f aca="false">IFERROR(D1186*G1186,0)</f>
        <v>0.219823788546256</v>
      </c>
    </row>
    <row r="1187" customFormat="false" ht="15" hidden="false" customHeight="true" outlineLevel="0" collapsed="false">
      <c r="B1187" s="14" t="n">
        <v>204</v>
      </c>
      <c r="C1187" s="11" t="s">
        <v>96</v>
      </c>
      <c r="D1187" s="17" t="n">
        <v>30</v>
      </c>
      <c r="E1187" s="11" t="s">
        <v>84</v>
      </c>
      <c r="F1187" s="14" t="str">
        <f aca="false">IFERROR(VLOOKUP(C1187,Ingredients!$B$6:$I$206,7,FALSE()),"?")</f>
        <v>ml</v>
      </c>
      <c r="G1187" s="31" t="n">
        <f aca="false">IFERROR(VLOOKUP(C1187,Ingredients!$B$6:$I$206,6,FALSE()),0)</f>
        <v>0.005</v>
      </c>
      <c r="H1187" s="32" t="n">
        <f aca="false">IFERROR(D1187*G1187,0)</f>
        <v>0.15</v>
      </c>
    </row>
    <row r="1188" customFormat="false" ht="15" hidden="false" customHeight="true" outlineLevel="0" collapsed="false">
      <c r="B1188" s="14" t="n">
        <v>204</v>
      </c>
      <c r="C1188" s="11" t="s">
        <v>138</v>
      </c>
      <c r="D1188" s="17" t="n">
        <v>1</v>
      </c>
      <c r="E1188" s="11" t="s">
        <v>112</v>
      </c>
      <c r="F1188" s="14" t="str">
        <f aca="false">IFERROR(VLOOKUP(C1188,Ingredients!$B$6:$I$206,7,FALSE()),"?")</f>
        <v>unit</v>
      </c>
      <c r="G1188" s="31" t="n">
        <f aca="false">IFERROR(VLOOKUP(C1188,Ingredients!$B$6:$I$206,6,FALSE()),0)</f>
        <v>0.11</v>
      </c>
      <c r="H1188" s="32" t="n">
        <f aca="false">IFERROR(D1188*G1188,0)</f>
        <v>0.11</v>
      </c>
    </row>
    <row r="1189" customFormat="false" ht="15" hidden="false" customHeight="true" outlineLevel="0" collapsed="false">
      <c r="B1189" s="14" t="n">
        <v>204</v>
      </c>
      <c r="C1189" s="11" t="s">
        <v>140</v>
      </c>
      <c r="D1189" s="17" t="n">
        <v>1</v>
      </c>
      <c r="E1189" s="11" t="s">
        <v>112</v>
      </c>
      <c r="F1189" s="14" t="str">
        <f aca="false">IFERROR(VLOOKUP(C1189,Ingredients!$B$6:$I$206,7,FALSE()),"?")</f>
        <v>unit</v>
      </c>
      <c r="G1189" s="31" t="n">
        <f aca="false">IFERROR(VLOOKUP(C1189,Ingredients!$B$6:$I$206,6,FALSE()),0)</f>
        <v>0.03</v>
      </c>
      <c r="H1189" s="32" t="n">
        <f aca="false">IFERROR(D1189*G1189,0)</f>
        <v>0.03</v>
      </c>
    </row>
    <row r="1190" customFormat="false" ht="15" hidden="false" customHeight="true" outlineLevel="0" collapsed="false">
      <c r="B1190" s="14" t="n">
        <v>205</v>
      </c>
      <c r="C1190" s="11" t="s">
        <v>77</v>
      </c>
      <c r="D1190" s="17" t="n">
        <v>0.036</v>
      </c>
      <c r="E1190" s="11" t="s">
        <v>79</v>
      </c>
      <c r="F1190" s="14" t="str">
        <f aca="false">IFERROR(VLOOKUP(C1190,Ingredients!$B$6:$I$206,7,FALSE()),"?")</f>
        <v>kg</v>
      </c>
      <c r="G1190" s="31" t="n">
        <f aca="false">IFERROR(VLOOKUP(C1190,Ingredients!$B$6:$I$206,6,FALSE()),0)</f>
        <v>16.25</v>
      </c>
      <c r="H1190" s="32" t="n">
        <f aca="false">IFERROR(D1190*G1190,0)</f>
        <v>0.585</v>
      </c>
    </row>
    <row r="1191" customFormat="false" ht="15" hidden="false" customHeight="true" outlineLevel="0" collapsed="false">
      <c r="B1191" s="14" t="n">
        <v>205</v>
      </c>
      <c r="C1191" s="11" t="s">
        <v>63</v>
      </c>
      <c r="D1191" s="17" t="n">
        <v>0.18</v>
      </c>
      <c r="E1191" s="11" t="s">
        <v>65</v>
      </c>
      <c r="F1191" s="14" t="str">
        <f aca="false">IFERROR(VLOOKUP(C1191,Ingredients!$B$6:$I$206,7,FALSE()),"?")</f>
        <v>L</v>
      </c>
      <c r="G1191" s="31" t="n">
        <f aca="false">IFERROR(VLOOKUP(C1191,Ingredients!$B$6:$I$206,6,FALSE()),0)</f>
        <v>0.732745961820852</v>
      </c>
      <c r="H1191" s="32" t="n">
        <f aca="false">IFERROR(D1191*G1191,0)</f>
        <v>0.131894273127753</v>
      </c>
    </row>
    <row r="1192" customFormat="false" ht="15" hidden="false" customHeight="true" outlineLevel="0" collapsed="false">
      <c r="B1192" s="14" t="n">
        <v>205</v>
      </c>
      <c r="C1192" s="11" t="s">
        <v>96</v>
      </c>
      <c r="D1192" s="17" t="n">
        <v>30</v>
      </c>
      <c r="E1192" s="11" t="s">
        <v>84</v>
      </c>
      <c r="F1192" s="14" t="str">
        <f aca="false">IFERROR(VLOOKUP(C1192,Ingredients!$B$6:$I$206,7,FALSE()),"?")</f>
        <v>ml</v>
      </c>
      <c r="G1192" s="31" t="n">
        <f aca="false">IFERROR(VLOOKUP(C1192,Ingredients!$B$6:$I$206,6,FALSE()),0)</f>
        <v>0.005</v>
      </c>
      <c r="H1192" s="32" t="n">
        <f aca="false">IFERROR(D1192*G1192,0)</f>
        <v>0.15</v>
      </c>
    </row>
    <row r="1193" customFormat="false" ht="15" hidden="false" customHeight="true" outlineLevel="0" collapsed="false">
      <c r="B1193" s="14" t="n">
        <v>205</v>
      </c>
      <c r="C1193" s="11" t="s">
        <v>134</v>
      </c>
      <c r="D1193" s="17" t="n">
        <v>1</v>
      </c>
      <c r="E1193" s="11" t="s">
        <v>112</v>
      </c>
      <c r="F1193" s="14" t="str">
        <f aca="false">IFERROR(VLOOKUP(C1193,Ingredients!$B$6:$I$206,7,FALSE()),"?")</f>
        <v>unit</v>
      </c>
      <c r="G1193" s="31" t="n">
        <f aca="false">IFERROR(VLOOKUP(C1193,Ingredients!$B$6:$I$206,6,FALSE()),0)</f>
        <v>0.09</v>
      </c>
      <c r="H1193" s="32" t="n">
        <f aca="false">IFERROR(D1193*G1193,0)</f>
        <v>0.09</v>
      </c>
    </row>
    <row r="1194" customFormat="false" ht="15" hidden="false" customHeight="true" outlineLevel="0" collapsed="false">
      <c r="B1194" s="14" t="n">
        <v>205</v>
      </c>
      <c r="C1194" s="11" t="s">
        <v>136</v>
      </c>
      <c r="D1194" s="17" t="n">
        <v>1</v>
      </c>
      <c r="E1194" s="11" t="s">
        <v>112</v>
      </c>
      <c r="F1194" s="14" t="str">
        <f aca="false">IFERROR(VLOOKUP(C1194,Ingredients!$B$6:$I$206,7,FALSE()),"?")</f>
        <v>unit</v>
      </c>
      <c r="G1194" s="31" t="n">
        <f aca="false">IFERROR(VLOOKUP(C1194,Ingredients!$B$6:$I$206,6,FALSE()),0)</f>
        <v>0.03</v>
      </c>
      <c r="H1194" s="32" t="n">
        <f aca="false">IFERROR(D1194*G1194,0)</f>
        <v>0.03</v>
      </c>
    </row>
    <row r="1195" customFormat="false" ht="15" hidden="false" customHeight="true" outlineLevel="0" collapsed="false">
      <c r="B1195" s="14" t="n">
        <v>206</v>
      </c>
      <c r="C1195" s="11" t="s">
        <v>77</v>
      </c>
      <c r="D1195" s="17" t="n">
        <v>0.072</v>
      </c>
      <c r="E1195" s="11" t="s">
        <v>79</v>
      </c>
      <c r="F1195" s="14" t="str">
        <f aca="false">IFERROR(VLOOKUP(C1195,Ingredients!$B$6:$I$206,7,FALSE()),"?")</f>
        <v>kg</v>
      </c>
      <c r="G1195" s="31" t="n">
        <f aca="false">IFERROR(VLOOKUP(C1195,Ingredients!$B$6:$I$206,6,FALSE()),0)</f>
        <v>16.25</v>
      </c>
      <c r="H1195" s="32" t="n">
        <f aca="false">IFERROR(D1195*G1195,0)</f>
        <v>1.17</v>
      </c>
    </row>
    <row r="1196" customFormat="false" ht="15" hidden="false" customHeight="true" outlineLevel="0" collapsed="false">
      <c r="B1196" s="14" t="n">
        <v>206</v>
      </c>
      <c r="C1196" s="11" t="s">
        <v>63</v>
      </c>
      <c r="D1196" s="17" t="n">
        <v>0.36</v>
      </c>
      <c r="E1196" s="11" t="s">
        <v>65</v>
      </c>
      <c r="F1196" s="14" t="str">
        <f aca="false">IFERROR(VLOOKUP(C1196,Ingredients!$B$6:$I$206,7,FALSE()),"?")</f>
        <v>L</v>
      </c>
      <c r="G1196" s="31" t="n">
        <f aca="false">IFERROR(VLOOKUP(C1196,Ingredients!$B$6:$I$206,6,FALSE()),0)</f>
        <v>0.732745961820852</v>
      </c>
      <c r="H1196" s="32" t="n">
        <f aca="false">IFERROR(D1196*G1196,0)</f>
        <v>0.263788546255507</v>
      </c>
    </row>
    <row r="1197" customFormat="false" ht="15" hidden="false" customHeight="true" outlineLevel="0" collapsed="false">
      <c r="B1197" s="14" t="n">
        <v>206</v>
      </c>
      <c r="C1197" s="11" t="s">
        <v>96</v>
      </c>
      <c r="D1197" s="17" t="n">
        <v>30</v>
      </c>
      <c r="E1197" s="11" t="s">
        <v>84</v>
      </c>
      <c r="F1197" s="14" t="str">
        <f aca="false">IFERROR(VLOOKUP(C1197,Ingredients!$B$6:$I$206,7,FALSE()),"?")</f>
        <v>ml</v>
      </c>
      <c r="G1197" s="31" t="n">
        <f aca="false">IFERROR(VLOOKUP(C1197,Ingredients!$B$6:$I$206,6,FALSE()),0)</f>
        <v>0.005</v>
      </c>
      <c r="H1197" s="32" t="n">
        <f aca="false">IFERROR(D1197*G1197,0)</f>
        <v>0.15</v>
      </c>
    </row>
    <row r="1198" customFormat="false" ht="15" hidden="false" customHeight="true" outlineLevel="0" collapsed="false">
      <c r="B1198" s="14" t="n">
        <v>206</v>
      </c>
      <c r="C1198" s="11" t="s">
        <v>142</v>
      </c>
      <c r="D1198" s="17" t="n">
        <v>1</v>
      </c>
      <c r="E1198" s="11" t="s">
        <v>112</v>
      </c>
      <c r="F1198" s="14" t="str">
        <f aca="false">IFERROR(VLOOKUP(C1198,Ingredients!$B$6:$I$206,7,FALSE()),"?")</f>
        <v>unit</v>
      </c>
      <c r="G1198" s="31" t="n">
        <f aca="false">IFERROR(VLOOKUP(C1198,Ingredients!$B$6:$I$206,6,FALSE()),0)</f>
        <v>0.14</v>
      </c>
      <c r="H1198" s="32" t="n">
        <f aca="false">IFERROR(D1198*G1198,0)</f>
        <v>0.14</v>
      </c>
    </row>
    <row r="1199" customFormat="false" ht="15" hidden="false" customHeight="true" outlineLevel="0" collapsed="false">
      <c r="B1199" s="14" t="n">
        <v>206</v>
      </c>
      <c r="C1199" s="11" t="s">
        <v>144</v>
      </c>
      <c r="D1199" s="17" t="n">
        <v>1</v>
      </c>
      <c r="E1199" s="11" t="s">
        <v>112</v>
      </c>
      <c r="F1199" s="14" t="str">
        <f aca="false">IFERROR(VLOOKUP(C1199,Ingredients!$B$6:$I$206,7,FALSE()),"?")</f>
        <v>unit</v>
      </c>
      <c r="G1199" s="31" t="n">
        <f aca="false">IFERROR(VLOOKUP(C1199,Ingredients!$B$6:$I$206,6,FALSE()),0)</f>
        <v>0.03</v>
      </c>
      <c r="H1199" s="32" t="n">
        <f aca="false">IFERROR(D1199*G1199,0)</f>
        <v>0.03</v>
      </c>
    </row>
    <row r="1200" customFormat="false" ht="15" hidden="false" customHeight="true" outlineLevel="0" collapsed="false">
      <c r="B1200" s="14" t="n">
        <v>207</v>
      </c>
      <c r="C1200" s="11" t="s">
        <v>116</v>
      </c>
      <c r="D1200" s="17" t="n">
        <v>0.03</v>
      </c>
      <c r="E1200" s="11" t="s">
        <v>79</v>
      </c>
      <c r="F1200" s="14" t="str">
        <f aca="false">IFERROR(VLOOKUP(C1200,Ingredients!$B$6:$I$206,7,FALSE()),"?")</f>
        <v>kg</v>
      </c>
      <c r="G1200" s="31" t="n">
        <f aca="false">IFERROR(VLOOKUP(C1200,Ingredients!$B$6:$I$206,6,FALSE()),0)</f>
        <v>7</v>
      </c>
      <c r="H1200" s="32" t="n">
        <f aca="false">IFERROR(D1200*G1200,0)</f>
        <v>0.21</v>
      </c>
    </row>
    <row r="1201" customFormat="false" ht="15" hidden="false" customHeight="true" outlineLevel="0" collapsed="false">
      <c r="B1201" s="14" t="n">
        <v>207</v>
      </c>
      <c r="C1201" s="11" t="s">
        <v>63</v>
      </c>
      <c r="D1201" s="17" t="n">
        <v>0.34</v>
      </c>
      <c r="E1201" s="11" t="s">
        <v>65</v>
      </c>
      <c r="F1201" s="14" t="str">
        <f aca="false">IFERROR(VLOOKUP(C1201,Ingredients!$B$6:$I$206,7,FALSE()),"?")</f>
        <v>L</v>
      </c>
      <c r="G1201" s="31" t="n">
        <f aca="false">IFERROR(VLOOKUP(C1201,Ingredients!$B$6:$I$206,6,FALSE()),0)</f>
        <v>0.732745961820852</v>
      </c>
      <c r="H1201" s="32" t="n">
        <f aca="false">IFERROR(D1201*G1201,0)</f>
        <v>0.24913362701909</v>
      </c>
    </row>
    <row r="1202" customFormat="false" ht="15" hidden="false" customHeight="true" outlineLevel="0" collapsed="false">
      <c r="B1202" s="14" t="n">
        <v>207</v>
      </c>
      <c r="C1202" s="11" t="s">
        <v>138</v>
      </c>
      <c r="D1202" s="17" t="n">
        <v>1</v>
      </c>
      <c r="E1202" s="11" t="s">
        <v>112</v>
      </c>
      <c r="F1202" s="14" t="str">
        <f aca="false">IFERROR(VLOOKUP(C1202,Ingredients!$B$6:$I$206,7,FALSE()),"?")</f>
        <v>unit</v>
      </c>
      <c r="G1202" s="31" t="n">
        <f aca="false">IFERROR(VLOOKUP(C1202,Ingredients!$B$6:$I$206,6,FALSE()),0)</f>
        <v>0.11</v>
      </c>
      <c r="H1202" s="32" t="n">
        <f aca="false">IFERROR(D1202*G1202,0)</f>
        <v>0.11</v>
      </c>
    </row>
    <row r="1203" customFormat="false" ht="15" hidden="false" customHeight="true" outlineLevel="0" collapsed="false">
      <c r="B1203" s="14" t="n">
        <v>207</v>
      </c>
      <c r="C1203" s="11" t="s">
        <v>140</v>
      </c>
      <c r="D1203" s="17" t="n">
        <v>1</v>
      </c>
      <c r="E1203" s="11" t="s">
        <v>112</v>
      </c>
      <c r="F1203" s="14" t="str">
        <f aca="false">IFERROR(VLOOKUP(C1203,Ingredients!$B$6:$I$206,7,FALSE()),"?")</f>
        <v>unit</v>
      </c>
      <c r="G1203" s="31" t="n">
        <f aca="false">IFERROR(VLOOKUP(C1203,Ingredients!$B$6:$I$206,6,FALSE()),0)</f>
        <v>0.03</v>
      </c>
      <c r="H1203" s="32" t="n">
        <f aca="false">IFERROR(D1203*G1203,0)</f>
        <v>0.03</v>
      </c>
    </row>
    <row r="1204" customFormat="false" ht="15" hidden="false" customHeight="true" outlineLevel="0" collapsed="false">
      <c r="B1204" s="14" t="n">
        <v>208</v>
      </c>
      <c r="C1204" s="11" t="s">
        <v>116</v>
      </c>
      <c r="D1204" s="17" t="n">
        <v>0.02</v>
      </c>
      <c r="E1204" s="11" t="s">
        <v>79</v>
      </c>
      <c r="F1204" s="14" t="str">
        <f aca="false">IFERROR(VLOOKUP(C1204,Ingredients!$B$6:$I$206,7,FALSE()),"?")</f>
        <v>kg</v>
      </c>
      <c r="G1204" s="31" t="n">
        <f aca="false">IFERROR(VLOOKUP(C1204,Ingredients!$B$6:$I$206,6,FALSE()),0)</f>
        <v>7</v>
      </c>
      <c r="H1204" s="32" t="n">
        <f aca="false">IFERROR(D1204*G1204,0)</f>
        <v>0.14</v>
      </c>
    </row>
    <row r="1205" customFormat="false" ht="15" hidden="false" customHeight="true" outlineLevel="0" collapsed="false">
      <c r="B1205" s="14" t="n">
        <v>208</v>
      </c>
      <c r="C1205" s="11" t="s">
        <v>63</v>
      </c>
      <c r="D1205" s="17" t="n">
        <v>0.22</v>
      </c>
      <c r="E1205" s="11" t="s">
        <v>65</v>
      </c>
      <c r="F1205" s="14" t="str">
        <f aca="false">IFERROR(VLOOKUP(C1205,Ingredients!$B$6:$I$206,7,FALSE()),"?")</f>
        <v>L</v>
      </c>
      <c r="G1205" s="31" t="n">
        <f aca="false">IFERROR(VLOOKUP(C1205,Ingredients!$B$6:$I$206,6,FALSE()),0)</f>
        <v>0.732745961820852</v>
      </c>
      <c r="H1205" s="32" t="n">
        <f aca="false">IFERROR(D1205*G1205,0)</f>
        <v>0.161204111600587</v>
      </c>
    </row>
    <row r="1206" customFormat="false" ht="15" hidden="false" customHeight="true" outlineLevel="0" collapsed="false">
      <c r="B1206" s="14" t="n">
        <v>208</v>
      </c>
      <c r="C1206" s="11" t="s">
        <v>134</v>
      </c>
      <c r="D1206" s="17" t="n">
        <v>1</v>
      </c>
      <c r="E1206" s="11" t="s">
        <v>112</v>
      </c>
      <c r="F1206" s="14" t="str">
        <f aca="false">IFERROR(VLOOKUP(C1206,Ingredients!$B$6:$I$206,7,FALSE()),"?")</f>
        <v>unit</v>
      </c>
      <c r="G1206" s="31" t="n">
        <f aca="false">IFERROR(VLOOKUP(C1206,Ingredients!$B$6:$I$206,6,FALSE()),0)</f>
        <v>0.09</v>
      </c>
      <c r="H1206" s="32" t="n">
        <f aca="false">IFERROR(D1206*G1206,0)</f>
        <v>0.09</v>
      </c>
    </row>
    <row r="1207" customFormat="false" ht="15" hidden="false" customHeight="true" outlineLevel="0" collapsed="false">
      <c r="B1207" s="14" t="n">
        <v>208</v>
      </c>
      <c r="C1207" s="11" t="s">
        <v>136</v>
      </c>
      <c r="D1207" s="17" t="n">
        <v>1</v>
      </c>
      <c r="E1207" s="11" t="s">
        <v>112</v>
      </c>
      <c r="F1207" s="14" t="str">
        <f aca="false">IFERROR(VLOOKUP(C1207,Ingredients!$B$6:$I$206,7,FALSE()),"?")</f>
        <v>unit</v>
      </c>
      <c r="G1207" s="31" t="n">
        <f aca="false">IFERROR(VLOOKUP(C1207,Ingredients!$B$6:$I$206,6,FALSE()),0)</f>
        <v>0.03</v>
      </c>
      <c r="H1207" s="32" t="n">
        <f aca="false">IFERROR(D1207*G1207,0)</f>
        <v>0.03</v>
      </c>
    </row>
    <row r="1208" customFormat="false" ht="15" hidden="false" customHeight="true" outlineLevel="0" collapsed="false">
      <c r="B1208" s="14" t="n">
        <v>209</v>
      </c>
      <c r="C1208" s="11" t="s">
        <v>116</v>
      </c>
      <c r="D1208" s="17" t="n">
        <v>0.04</v>
      </c>
      <c r="E1208" s="11" t="s">
        <v>79</v>
      </c>
      <c r="F1208" s="14" t="str">
        <f aca="false">IFERROR(VLOOKUP(C1208,Ingredients!$B$6:$I$206,7,FALSE()),"?")</f>
        <v>kg</v>
      </c>
      <c r="G1208" s="31" t="n">
        <f aca="false">IFERROR(VLOOKUP(C1208,Ingredients!$B$6:$I$206,6,FALSE()),0)</f>
        <v>7</v>
      </c>
      <c r="H1208" s="32" t="n">
        <f aca="false">IFERROR(D1208*G1208,0)</f>
        <v>0.28</v>
      </c>
    </row>
    <row r="1209" customFormat="false" ht="15" hidden="false" customHeight="true" outlineLevel="0" collapsed="false">
      <c r="B1209" s="14" t="n">
        <v>209</v>
      </c>
      <c r="C1209" s="11" t="s">
        <v>63</v>
      </c>
      <c r="D1209" s="17" t="n">
        <v>0.46</v>
      </c>
      <c r="E1209" s="11" t="s">
        <v>65</v>
      </c>
      <c r="F1209" s="14" t="str">
        <f aca="false">IFERROR(VLOOKUP(C1209,Ingredients!$B$6:$I$206,7,FALSE()),"?")</f>
        <v>L</v>
      </c>
      <c r="G1209" s="31" t="n">
        <f aca="false">IFERROR(VLOOKUP(C1209,Ingredients!$B$6:$I$206,6,FALSE()),0)</f>
        <v>0.732745961820852</v>
      </c>
      <c r="H1209" s="32" t="n">
        <f aca="false">IFERROR(D1209*G1209,0)</f>
        <v>0.337063142437592</v>
      </c>
    </row>
    <row r="1210" customFormat="false" ht="15" hidden="false" customHeight="true" outlineLevel="0" collapsed="false">
      <c r="B1210" s="14" t="n">
        <v>209</v>
      </c>
      <c r="C1210" s="11" t="s">
        <v>142</v>
      </c>
      <c r="D1210" s="17" t="n">
        <v>1</v>
      </c>
      <c r="E1210" s="11" t="s">
        <v>112</v>
      </c>
      <c r="F1210" s="14" t="str">
        <f aca="false">IFERROR(VLOOKUP(C1210,Ingredients!$B$6:$I$206,7,FALSE()),"?")</f>
        <v>unit</v>
      </c>
      <c r="G1210" s="31" t="n">
        <f aca="false">IFERROR(VLOOKUP(C1210,Ingredients!$B$6:$I$206,6,FALSE()),0)</f>
        <v>0.14</v>
      </c>
      <c r="H1210" s="32" t="n">
        <f aca="false">IFERROR(D1210*G1210,0)</f>
        <v>0.14</v>
      </c>
    </row>
    <row r="1211" customFormat="false" ht="15" hidden="false" customHeight="true" outlineLevel="0" collapsed="false">
      <c r="B1211" s="14" t="n">
        <v>209</v>
      </c>
      <c r="C1211" s="11" t="s">
        <v>144</v>
      </c>
      <c r="D1211" s="17" t="n">
        <v>1</v>
      </c>
      <c r="E1211" s="11" t="s">
        <v>112</v>
      </c>
      <c r="F1211" s="14" t="str">
        <f aca="false">IFERROR(VLOOKUP(C1211,Ingredients!$B$6:$I$206,7,FALSE()),"?")</f>
        <v>unit</v>
      </c>
      <c r="G1211" s="31" t="n">
        <f aca="false">IFERROR(VLOOKUP(C1211,Ingredients!$B$6:$I$206,6,FALSE()),0)</f>
        <v>0.03</v>
      </c>
      <c r="H1211" s="32" t="n">
        <f aca="false">IFERROR(D1211*G1211,0)</f>
        <v>0.03</v>
      </c>
    </row>
    <row r="1212" customFormat="false" ht="15" hidden="false" customHeight="true" outlineLevel="0" collapsed="false">
      <c r="B1212" s="14" t="n">
        <v>210</v>
      </c>
      <c r="C1212" s="11" t="s">
        <v>77</v>
      </c>
      <c r="D1212" s="17" t="n">
        <v>0.036</v>
      </c>
      <c r="E1212" s="11" t="s">
        <v>79</v>
      </c>
      <c r="F1212" s="14" t="str">
        <f aca="false">IFERROR(VLOOKUP(C1212,Ingredients!$B$6:$I$206,7,FALSE()),"?")</f>
        <v>kg</v>
      </c>
      <c r="G1212" s="31" t="n">
        <f aca="false">IFERROR(VLOOKUP(C1212,Ingredients!$B$6:$I$206,6,FALSE()),0)</f>
        <v>16.25</v>
      </c>
      <c r="H1212" s="32" t="n">
        <f aca="false">IFERROR(D1212*G1212,0)</f>
        <v>0.585</v>
      </c>
    </row>
    <row r="1213" customFormat="false" ht="15" hidden="false" customHeight="true" outlineLevel="0" collapsed="false">
      <c r="B1213" s="14" t="n">
        <v>210</v>
      </c>
      <c r="C1213" s="11" t="s">
        <v>63</v>
      </c>
      <c r="D1213" s="17" t="n">
        <v>0.3</v>
      </c>
      <c r="E1213" s="11" t="s">
        <v>65</v>
      </c>
      <c r="F1213" s="14" t="str">
        <f aca="false">IFERROR(VLOOKUP(C1213,Ingredients!$B$6:$I$206,7,FALSE()),"?")</f>
        <v>L</v>
      </c>
      <c r="G1213" s="31" t="n">
        <f aca="false">IFERROR(VLOOKUP(C1213,Ingredients!$B$6:$I$206,6,FALSE()),0)</f>
        <v>0.732745961820852</v>
      </c>
      <c r="H1213" s="32" t="n">
        <f aca="false">IFERROR(D1213*G1213,0)</f>
        <v>0.219823788546256</v>
      </c>
    </row>
    <row r="1214" customFormat="false" ht="15" hidden="false" customHeight="true" outlineLevel="0" collapsed="false">
      <c r="B1214" s="14" t="n">
        <v>210</v>
      </c>
      <c r="C1214" s="11" t="s">
        <v>138</v>
      </c>
      <c r="D1214" s="17" t="n">
        <v>1</v>
      </c>
      <c r="E1214" s="11" t="s">
        <v>112</v>
      </c>
      <c r="F1214" s="14" t="str">
        <f aca="false">IFERROR(VLOOKUP(C1214,Ingredients!$B$6:$I$206,7,FALSE()),"?")</f>
        <v>unit</v>
      </c>
      <c r="G1214" s="31" t="n">
        <f aca="false">IFERROR(VLOOKUP(C1214,Ingredients!$B$6:$I$206,6,FALSE()),0)</f>
        <v>0.11</v>
      </c>
      <c r="H1214" s="32" t="n">
        <f aca="false">IFERROR(D1214*G1214,0)</f>
        <v>0.11</v>
      </c>
    </row>
    <row r="1215" customFormat="false" ht="15" hidden="false" customHeight="true" outlineLevel="0" collapsed="false">
      <c r="B1215" s="14" t="n">
        <v>210</v>
      </c>
      <c r="C1215" s="11" t="s">
        <v>140</v>
      </c>
      <c r="D1215" s="17" t="n">
        <v>1</v>
      </c>
      <c r="E1215" s="11" t="s">
        <v>112</v>
      </c>
      <c r="F1215" s="14" t="str">
        <f aca="false">IFERROR(VLOOKUP(C1215,Ingredients!$B$6:$I$206,7,FALSE()),"?")</f>
        <v>unit</v>
      </c>
      <c r="G1215" s="31" t="n">
        <f aca="false">IFERROR(VLOOKUP(C1215,Ingredients!$B$6:$I$206,6,FALSE()),0)</f>
        <v>0.03</v>
      </c>
      <c r="H1215" s="32" t="n">
        <f aca="false">IFERROR(D1215*G1215,0)</f>
        <v>0.03</v>
      </c>
    </row>
    <row r="1216" customFormat="false" ht="15" hidden="false" customHeight="true" outlineLevel="0" collapsed="false">
      <c r="B1216" s="14" t="n">
        <v>211</v>
      </c>
      <c r="C1216" s="11" t="s">
        <v>77</v>
      </c>
      <c r="D1216" s="17" t="n">
        <v>0.036</v>
      </c>
      <c r="E1216" s="11" t="s">
        <v>79</v>
      </c>
      <c r="F1216" s="14" t="str">
        <f aca="false">IFERROR(VLOOKUP(C1216,Ingredients!$B$6:$I$206,7,FALSE()),"?")</f>
        <v>kg</v>
      </c>
      <c r="G1216" s="31" t="n">
        <f aca="false">IFERROR(VLOOKUP(C1216,Ingredients!$B$6:$I$206,6,FALSE()),0)</f>
        <v>16.25</v>
      </c>
      <c r="H1216" s="32" t="n">
        <f aca="false">IFERROR(D1216*G1216,0)</f>
        <v>0.585</v>
      </c>
    </row>
    <row r="1217" customFormat="false" ht="15" hidden="false" customHeight="true" outlineLevel="0" collapsed="false">
      <c r="B1217" s="14" t="n">
        <v>211</v>
      </c>
      <c r="C1217" s="11" t="s">
        <v>63</v>
      </c>
      <c r="D1217" s="17" t="n">
        <v>0.18</v>
      </c>
      <c r="E1217" s="11" t="s">
        <v>65</v>
      </c>
      <c r="F1217" s="14" t="str">
        <f aca="false">IFERROR(VLOOKUP(C1217,Ingredients!$B$6:$I$206,7,FALSE()),"?")</f>
        <v>L</v>
      </c>
      <c r="G1217" s="31" t="n">
        <f aca="false">IFERROR(VLOOKUP(C1217,Ingredients!$B$6:$I$206,6,FALSE()),0)</f>
        <v>0.732745961820852</v>
      </c>
      <c r="H1217" s="32" t="n">
        <f aca="false">IFERROR(D1217*G1217,0)</f>
        <v>0.131894273127753</v>
      </c>
    </row>
    <row r="1218" customFormat="false" ht="15" hidden="false" customHeight="true" outlineLevel="0" collapsed="false">
      <c r="B1218" s="14" t="n">
        <v>211</v>
      </c>
      <c r="C1218" s="11" t="s">
        <v>134</v>
      </c>
      <c r="D1218" s="17" t="n">
        <v>1</v>
      </c>
      <c r="E1218" s="11" t="s">
        <v>112</v>
      </c>
      <c r="F1218" s="14" t="str">
        <f aca="false">IFERROR(VLOOKUP(C1218,Ingredients!$B$6:$I$206,7,FALSE()),"?")</f>
        <v>unit</v>
      </c>
      <c r="G1218" s="31" t="n">
        <f aca="false">IFERROR(VLOOKUP(C1218,Ingredients!$B$6:$I$206,6,FALSE()),0)</f>
        <v>0.09</v>
      </c>
      <c r="H1218" s="32" t="n">
        <f aca="false">IFERROR(D1218*G1218,0)</f>
        <v>0.09</v>
      </c>
    </row>
    <row r="1219" customFormat="false" ht="15" hidden="false" customHeight="true" outlineLevel="0" collapsed="false">
      <c r="B1219" s="14" t="n">
        <v>211</v>
      </c>
      <c r="C1219" s="11" t="s">
        <v>136</v>
      </c>
      <c r="D1219" s="17" t="n">
        <v>1</v>
      </c>
      <c r="E1219" s="11" t="s">
        <v>112</v>
      </c>
      <c r="F1219" s="14" t="str">
        <f aca="false">IFERROR(VLOOKUP(C1219,Ingredients!$B$6:$I$206,7,FALSE()),"?")</f>
        <v>unit</v>
      </c>
      <c r="G1219" s="31" t="n">
        <f aca="false">IFERROR(VLOOKUP(C1219,Ingredients!$B$6:$I$206,6,FALSE()),0)</f>
        <v>0.03</v>
      </c>
      <c r="H1219" s="32" t="n">
        <f aca="false">IFERROR(D1219*G1219,0)</f>
        <v>0.03</v>
      </c>
    </row>
    <row r="1220" customFormat="false" ht="15" hidden="false" customHeight="true" outlineLevel="0" collapsed="false">
      <c r="B1220" s="14" t="n">
        <v>212</v>
      </c>
      <c r="C1220" s="11" t="s">
        <v>77</v>
      </c>
      <c r="D1220" s="17" t="n">
        <v>0.072</v>
      </c>
      <c r="E1220" s="11" t="s">
        <v>79</v>
      </c>
      <c r="F1220" s="14" t="str">
        <f aca="false">IFERROR(VLOOKUP(C1220,Ingredients!$B$6:$I$206,7,FALSE()),"?")</f>
        <v>kg</v>
      </c>
      <c r="G1220" s="31" t="n">
        <f aca="false">IFERROR(VLOOKUP(C1220,Ingredients!$B$6:$I$206,6,FALSE()),0)</f>
        <v>16.25</v>
      </c>
      <c r="H1220" s="32" t="n">
        <f aca="false">IFERROR(D1220*G1220,0)</f>
        <v>1.17</v>
      </c>
    </row>
    <row r="1221" customFormat="false" ht="15" hidden="false" customHeight="true" outlineLevel="0" collapsed="false">
      <c r="B1221" s="14" t="n">
        <v>212</v>
      </c>
      <c r="C1221" s="11" t="s">
        <v>63</v>
      </c>
      <c r="D1221" s="17" t="n">
        <v>0.36</v>
      </c>
      <c r="E1221" s="11" t="s">
        <v>65</v>
      </c>
      <c r="F1221" s="14" t="str">
        <f aca="false">IFERROR(VLOOKUP(C1221,Ingredients!$B$6:$I$206,7,FALSE()),"?")</f>
        <v>L</v>
      </c>
      <c r="G1221" s="31" t="n">
        <f aca="false">IFERROR(VLOOKUP(C1221,Ingredients!$B$6:$I$206,6,FALSE()),0)</f>
        <v>0.732745961820852</v>
      </c>
      <c r="H1221" s="32" t="n">
        <f aca="false">IFERROR(D1221*G1221,0)</f>
        <v>0.263788546255507</v>
      </c>
    </row>
    <row r="1222" customFormat="false" ht="15" hidden="false" customHeight="true" outlineLevel="0" collapsed="false">
      <c r="B1222" s="14" t="n">
        <v>212</v>
      </c>
      <c r="C1222" s="11" t="s">
        <v>142</v>
      </c>
      <c r="D1222" s="17" t="n">
        <v>1</v>
      </c>
      <c r="E1222" s="11" t="s">
        <v>112</v>
      </c>
      <c r="F1222" s="14" t="str">
        <f aca="false">IFERROR(VLOOKUP(C1222,Ingredients!$B$6:$I$206,7,FALSE()),"?")</f>
        <v>unit</v>
      </c>
      <c r="G1222" s="31" t="n">
        <f aca="false">IFERROR(VLOOKUP(C1222,Ingredients!$B$6:$I$206,6,FALSE()),0)</f>
        <v>0.14</v>
      </c>
      <c r="H1222" s="32" t="n">
        <f aca="false">IFERROR(D1222*G1222,0)</f>
        <v>0.14</v>
      </c>
    </row>
    <row r="1223" customFormat="false" ht="15" hidden="false" customHeight="true" outlineLevel="0" collapsed="false">
      <c r="B1223" s="14" t="n">
        <v>212</v>
      </c>
      <c r="C1223" s="11" t="s">
        <v>144</v>
      </c>
      <c r="D1223" s="17" t="n">
        <v>1</v>
      </c>
      <c r="E1223" s="11" t="s">
        <v>112</v>
      </c>
      <c r="F1223" s="14" t="str">
        <f aca="false">IFERROR(VLOOKUP(C1223,Ingredients!$B$6:$I$206,7,FALSE()),"?")</f>
        <v>unit</v>
      </c>
      <c r="G1223" s="31" t="n">
        <f aca="false">IFERROR(VLOOKUP(C1223,Ingredients!$B$6:$I$206,6,FALSE()),0)</f>
        <v>0.03</v>
      </c>
      <c r="H1223" s="32" t="n">
        <f aca="false">IFERROR(D1223*G1223,0)</f>
        <v>0.03</v>
      </c>
    </row>
    <row r="1224" customFormat="false" ht="15" hidden="false" customHeight="true" outlineLevel="0" collapsed="false">
      <c r="B1224" s="14" t="n">
        <v>213</v>
      </c>
      <c r="C1224" s="11" t="s">
        <v>77</v>
      </c>
      <c r="D1224" s="17" t="n">
        <v>0.036</v>
      </c>
      <c r="E1224" s="11" t="s">
        <v>79</v>
      </c>
      <c r="F1224" s="14" t="str">
        <f aca="false">IFERROR(VLOOKUP(C1224,Ingredients!$B$6:$I$206,7,FALSE()),"?")</f>
        <v>kg</v>
      </c>
      <c r="G1224" s="31" t="n">
        <f aca="false">IFERROR(VLOOKUP(C1224,Ingredients!$B$6:$I$206,6,FALSE()),0)</f>
        <v>16.25</v>
      </c>
      <c r="H1224" s="32" t="n">
        <f aca="false">IFERROR(D1224*G1224,0)</f>
        <v>0.585</v>
      </c>
    </row>
    <row r="1225" customFormat="false" ht="15" hidden="false" customHeight="true" outlineLevel="0" collapsed="false">
      <c r="B1225" s="14" t="n">
        <v>213</v>
      </c>
      <c r="C1225" s="11" t="s">
        <v>63</v>
      </c>
      <c r="D1225" s="17" t="n">
        <v>0.24</v>
      </c>
      <c r="E1225" s="11" t="s">
        <v>65</v>
      </c>
      <c r="F1225" s="14" t="str">
        <f aca="false">IFERROR(VLOOKUP(C1225,Ingredients!$B$6:$I$206,7,FALSE()),"?")</f>
        <v>L</v>
      </c>
      <c r="G1225" s="31" t="n">
        <f aca="false">IFERROR(VLOOKUP(C1225,Ingredients!$B$6:$I$206,6,FALSE()),0)</f>
        <v>0.732745961820852</v>
      </c>
      <c r="H1225" s="32" t="n">
        <f aca="false">IFERROR(D1225*G1225,0)</f>
        <v>0.175859030837004</v>
      </c>
    </row>
    <row r="1226" customFormat="false" ht="15" hidden="false" customHeight="true" outlineLevel="0" collapsed="false">
      <c r="B1226" s="14" t="n">
        <v>213</v>
      </c>
      <c r="C1226" s="11" t="s">
        <v>75</v>
      </c>
      <c r="D1226" s="17" t="n">
        <v>0.08</v>
      </c>
      <c r="E1226" s="11" t="s">
        <v>65</v>
      </c>
      <c r="F1226" s="14" t="str">
        <f aca="false">IFERROR(VLOOKUP(C1226,Ingredients!$B$6:$I$206,7,FALSE()),"?")</f>
        <v>L</v>
      </c>
      <c r="G1226" s="31" t="n">
        <f aca="false">IFERROR(VLOOKUP(C1226,Ingredients!$B$6:$I$206,6,FALSE()),0)</f>
        <v>6.8</v>
      </c>
      <c r="H1226" s="32" t="n">
        <f aca="false">IFERROR(D1226*G1226,0)</f>
        <v>0.544</v>
      </c>
    </row>
    <row r="1227" customFormat="false" ht="15" hidden="false" customHeight="true" outlineLevel="0" collapsed="false">
      <c r="B1227" s="14" t="n">
        <v>213</v>
      </c>
      <c r="C1227" s="11" t="s">
        <v>138</v>
      </c>
      <c r="D1227" s="17" t="n">
        <v>1</v>
      </c>
      <c r="E1227" s="11" t="s">
        <v>112</v>
      </c>
      <c r="F1227" s="14" t="str">
        <f aca="false">IFERROR(VLOOKUP(C1227,Ingredients!$B$6:$I$206,7,FALSE()),"?")</f>
        <v>unit</v>
      </c>
      <c r="G1227" s="31" t="n">
        <f aca="false">IFERROR(VLOOKUP(C1227,Ingredients!$B$6:$I$206,6,FALSE()),0)</f>
        <v>0.11</v>
      </c>
      <c r="H1227" s="32" t="n">
        <f aca="false">IFERROR(D1227*G1227,0)</f>
        <v>0.11</v>
      </c>
    </row>
    <row r="1228" customFormat="false" ht="15" hidden="false" customHeight="true" outlineLevel="0" collapsed="false">
      <c r="B1228" s="14" t="n">
        <v>213</v>
      </c>
      <c r="C1228" s="11" t="s">
        <v>140</v>
      </c>
      <c r="D1228" s="17" t="n">
        <v>1</v>
      </c>
      <c r="E1228" s="11" t="s">
        <v>112</v>
      </c>
      <c r="F1228" s="14" t="str">
        <f aca="false">IFERROR(VLOOKUP(C1228,Ingredients!$B$6:$I$206,7,FALSE()),"?")</f>
        <v>unit</v>
      </c>
      <c r="G1228" s="31" t="n">
        <f aca="false">IFERROR(VLOOKUP(C1228,Ingredients!$B$6:$I$206,6,FALSE()),0)</f>
        <v>0.03</v>
      </c>
      <c r="H1228" s="32" t="n">
        <f aca="false">IFERROR(D1228*G1228,0)</f>
        <v>0.03</v>
      </c>
    </row>
    <row r="1229" customFormat="false" ht="15" hidden="false" customHeight="true" outlineLevel="0" collapsed="false">
      <c r="B1229" s="14" t="n">
        <v>214</v>
      </c>
      <c r="C1229" s="11" t="s">
        <v>77</v>
      </c>
      <c r="D1229" s="17" t="n">
        <v>0.036</v>
      </c>
      <c r="E1229" s="11" t="s">
        <v>79</v>
      </c>
      <c r="F1229" s="14" t="str">
        <f aca="false">IFERROR(VLOOKUP(C1229,Ingredients!$B$6:$I$206,7,FALSE()),"?")</f>
        <v>kg</v>
      </c>
      <c r="G1229" s="31" t="n">
        <f aca="false">IFERROR(VLOOKUP(C1229,Ingredients!$B$6:$I$206,6,FALSE()),0)</f>
        <v>16.25</v>
      </c>
      <c r="H1229" s="32" t="n">
        <f aca="false">IFERROR(D1229*G1229,0)</f>
        <v>0.585</v>
      </c>
    </row>
    <row r="1230" customFormat="false" ht="15" hidden="false" customHeight="true" outlineLevel="0" collapsed="false">
      <c r="B1230" s="14" t="n">
        <v>214</v>
      </c>
      <c r="C1230" s="11" t="s">
        <v>63</v>
      </c>
      <c r="D1230" s="17" t="n">
        <v>0.14</v>
      </c>
      <c r="E1230" s="11" t="s">
        <v>65</v>
      </c>
      <c r="F1230" s="14" t="str">
        <f aca="false">IFERROR(VLOOKUP(C1230,Ingredients!$B$6:$I$206,7,FALSE()),"?")</f>
        <v>L</v>
      </c>
      <c r="G1230" s="31" t="n">
        <f aca="false">IFERROR(VLOOKUP(C1230,Ingredients!$B$6:$I$206,6,FALSE()),0)</f>
        <v>0.732745961820852</v>
      </c>
      <c r="H1230" s="32" t="n">
        <f aca="false">IFERROR(D1230*G1230,0)</f>
        <v>0.102584434654919</v>
      </c>
    </row>
    <row r="1231" customFormat="false" ht="15" hidden="false" customHeight="true" outlineLevel="0" collapsed="false">
      <c r="B1231" s="14" t="n">
        <v>214</v>
      </c>
      <c r="C1231" s="11" t="s">
        <v>75</v>
      </c>
      <c r="D1231" s="17" t="n">
        <v>0.05</v>
      </c>
      <c r="E1231" s="11" t="s">
        <v>65</v>
      </c>
      <c r="F1231" s="14" t="str">
        <f aca="false">IFERROR(VLOOKUP(C1231,Ingredients!$B$6:$I$206,7,FALSE()),"?")</f>
        <v>L</v>
      </c>
      <c r="G1231" s="31" t="n">
        <f aca="false">IFERROR(VLOOKUP(C1231,Ingredients!$B$6:$I$206,6,FALSE()),0)</f>
        <v>6.8</v>
      </c>
      <c r="H1231" s="32" t="n">
        <f aca="false">IFERROR(D1231*G1231,0)</f>
        <v>0.34</v>
      </c>
    </row>
    <row r="1232" customFormat="false" ht="15" hidden="false" customHeight="true" outlineLevel="0" collapsed="false">
      <c r="B1232" s="14" t="n">
        <v>214</v>
      </c>
      <c r="C1232" s="11" t="s">
        <v>134</v>
      </c>
      <c r="D1232" s="17" t="n">
        <v>1</v>
      </c>
      <c r="E1232" s="11" t="s">
        <v>112</v>
      </c>
      <c r="F1232" s="14" t="str">
        <f aca="false">IFERROR(VLOOKUP(C1232,Ingredients!$B$6:$I$206,7,FALSE()),"?")</f>
        <v>unit</v>
      </c>
      <c r="G1232" s="31" t="n">
        <f aca="false">IFERROR(VLOOKUP(C1232,Ingredients!$B$6:$I$206,6,FALSE()),0)</f>
        <v>0.09</v>
      </c>
      <c r="H1232" s="32" t="n">
        <f aca="false">IFERROR(D1232*G1232,0)</f>
        <v>0.09</v>
      </c>
    </row>
    <row r="1233" customFormat="false" ht="15" hidden="false" customHeight="true" outlineLevel="0" collapsed="false">
      <c r="B1233" s="14" t="n">
        <v>214</v>
      </c>
      <c r="C1233" s="11" t="s">
        <v>136</v>
      </c>
      <c r="D1233" s="17" t="n">
        <v>1</v>
      </c>
      <c r="E1233" s="11" t="s">
        <v>112</v>
      </c>
      <c r="F1233" s="14" t="str">
        <f aca="false">IFERROR(VLOOKUP(C1233,Ingredients!$B$6:$I$206,7,FALSE()),"?")</f>
        <v>unit</v>
      </c>
      <c r="G1233" s="31" t="n">
        <f aca="false">IFERROR(VLOOKUP(C1233,Ingredients!$B$6:$I$206,6,FALSE()),0)</f>
        <v>0.03</v>
      </c>
      <c r="H1233" s="32" t="n">
        <f aca="false">IFERROR(D1233*G1233,0)</f>
        <v>0.03</v>
      </c>
    </row>
    <row r="1234" customFormat="false" ht="15" hidden="false" customHeight="true" outlineLevel="0" collapsed="false">
      <c r="B1234" s="14" t="n">
        <v>215</v>
      </c>
      <c r="C1234" s="11" t="s">
        <v>77</v>
      </c>
      <c r="D1234" s="17" t="n">
        <v>0.072</v>
      </c>
      <c r="E1234" s="11" t="s">
        <v>79</v>
      </c>
      <c r="F1234" s="14" t="str">
        <f aca="false">IFERROR(VLOOKUP(C1234,Ingredients!$B$6:$I$206,7,FALSE()),"?")</f>
        <v>kg</v>
      </c>
      <c r="G1234" s="31" t="n">
        <f aca="false">IFERROR(VLOOKUP(C1234,Ingredients!$B$6:$I$206,6,FALSE()),0)</f>
        <v>16.25</v>
      </c>
      <c r="H1234" s="32" t="n">
        <f aca="false">IFERROR(D1234*G1234,0)</f>
        <v>1.17</v>
      </c>
    </row>
    <row r="1235" customFormat="false" ht="15" hidden="false" customHeight="true" outlineLevel="0" collapsed="false">
      <c r="B1235" s="14" t="n">
        <v>215</v>
      </c>
      <c r="C1235" s="11" t="s">
        <v>63</v>
      </c>
      <c r="D1235" s="17" t="n">
        <v>0.3</v>
      </c>
      <c r="E1235" s="11" t="s">
        <v>65</v>
      </c>
      <c r="F1235" s="14" t="str">
        <f aca="false">IFERROR(VLOOKUP(C1235,Ingredients!$B$6:$I$206,7,FALSE()),"?")</f>
        <v>L</v>
      </c>
      <c r="G1235" s="31" t="n">
        <f aca="false">IFERROR(VLOOKUP(C1235,Ingredients!$B$6:$I$206,6,FALSE()),0)</f>
        <v>0.732745961820852</v>
      </c>
      <c r="H1235" s="32" t="n">
        <f aca="false">IFERROR(D1235*G1235,0)</f>
        <v>0.219823788546256</v>
      </c>
    </row>
    <row r="1236" customFormat="false" ht="15" hidden="false" customHeight="true" outlineLevel="0" collapsed="false">
      <c r="B1236" s="14" t="n">
        <v>215</v>
      </c>
      <c r="C1236" s="11" t="s">
        <v>75</v>
      </c>
      <c r="D1236" s="17" t="n">
        <v>0.12</v>
      </c>
      <c r="E1236" s="11" t="s">
        <v>65</v>
      </c>
      <c r="F1236" s="14" t="str">
        <f aca="false">IFERROR(VLOOKUP(C1236,Ingredients!$B$6:$I$206,7,FALSE()),"?")</f>
        <v>L</v>
      </c>
      <c r="G1236" s="31" t="n">
        <f aca="false">IFERROR(VLOOKUP(C1236,Ingredients!$B$6:$I$206,6,FALSE()),0)</f>
        <v>6.8</v>
      </c>
      <c r="H1236" s="32" t="n">
        <f aca="false">IFERROR(D1236*G1236,0)</f>
        <v>0.816</v>
      </c>
    </row>
    <row r="1237" customFormat="false" ht="15" hidden="false" customHeight="true" outlineLevel="0" collapsed="false">
      <c r="B1237" s="14" t="n">
        <v>215</v>
      </c>
      <c r="C1237" s="11" t="s">
        <v>142</v>
      </c>
      <c r="D1237" s="17" t="n">
        <v>1</v>
      </c>
      <c r="E1237" s="11" t="s">
        <v>112</v>
      </c>
      <c r="F1237" s="14" t="str">
        <f aca="false">IFERROR(VLOOKUP(C1237,Ingredients!$B$6:$I$206,7,FALSE()),"?")</f>
        <v>unit</v>
      </c>
      <c r="G1237" s="31" t="n">
        <f aca="false">IFERROR(VLOOKUP(C1237,Ingredients!$B$6:$I$206,6,FALSE()),0)</f>
        <v>0.14</v>
      </c>
      <c r="H1237" s="32" t="n">
        <f aca="false">IFERROR(D1237*G1237,0)</f>
        <v>0.14</v>
      </c>
    </row>
    <row r="1238" customFormat="false" ht="15" hidden="false" customHeight="true" outlineLevel="0" collapsed="false">
      <c r="B1238" s="14" t="n">
        <v>215</v>
      </c>
      <c r="C1238" s="11" t="s">
        <v>144</v>
      </c>
      <c r="D1238" s="17" t="n">
        <v>1</v>
      </c>
      <c r="E1238" s="11" t="s">
        <v>112</v>
      </c>
      <c r="F1238" s="14" t="str">
        <f aca="false">IFERROR(VLOOKUP(C1238,Ingredients!$B$6:$I$206,7,FALSE()),"?")</f>
        <v>unit</v>
      </c>
      <c r="G1238" s="31" t="n">
        <f aca="false">IFERROR(VLOOKUP(C1238,Ingredients!$B$6:$I$206,6,FALSE()),0)</f>
        <v>0.03</v>
      </c>
      <c r="H1238" s="32" t="n">
        <f aca="false">IFERROR(D1238*G1238,0)</f>
        <v>0.03</v>
      </c>
    </row>
    <row r="1239" customFormat="false" ht="15" hidden="false" customHeight="true" outlineLevel="0" collapsed="false">
      <c r="B1239" s="14" t="n">
        <v>216</v>
      </c>
      <c r="C1239" s="11" t="s">
        <v>116</v>
      </c>
      <c r="D1239" s="17" t="n">
        <v>0.03</v>
      </c>
      <c r="E1239" s="11" t="s">
        <v>79</v>
      </c>
      <c r="F1239" s="14" t="str">
        <f aca="false">IFERROR(VLOOKUP(C1239,Ingredients!$B$6:$I$206,7,FALSE()),"?")</f>
        <v>kg</v>
      </c>
      <c r="G1239" s="31" t="n">
        <f aca="false">IFERROR(VLOOKUP(C1239,Ingredients!$B$6:$I$206,6,FALSE()),0)</f>
        <v>7</v>
      </c>
      <c r="H1239" s="32" t="n">
        <f aca="false">IFERROR(D1239*G1239,0)</f>
        <v>0.21</v>
      </c>
    </row>
    <row r="1240" customFormat="false" ht="15" hidden="false" customHeight="true" outlineLevel="0" collapsed="false">
      <c r="B1240" s="14" t="n">
        <v>216</v>
      </c>
      <c r="C1240" s="11" t="s">
        <v>63</v>
      </c>
      <c r="D1240" s="17" t="n">
        <v>0.34</v>
      </c>
      <c r="E1240" s="11" t="s">
        <v>65</v>
      </c>
      <c r="F1240" s="14" t="str">
        <f aca="false">IFERROR(VLOOKUP(C1240,Ingredients!$B$6:$I$206,7,FALSE()),"?")</f>
        <v>L</v>
      </c>
      <c r="G1240" s="31" t="n">
        <f aca="false">IFERROR(VLOOKUP(C1240,Ingredients!$B$6:$I$206,6,FALSE()),0)</f>
        <v>0.732745961820852</v>
      </c>
      <c r="H1240" s="32" t="n">
        <f aca="false">IFERROR(D1240*G1240,0)</f>
        <v>0.24913362701909</v>
      </c>
    </row>
    <row r="1241" customFormat="false" ht="15" hidden="false" customHeight="true" outlineLevel="0" collapsed="false">
      <c r="B1241" s="14" t="n">
        <v>216</v>
      </c>
      <c r="C1241" s="11" t="s">
        <v>138</v>
      </c>
      <c r="D1241" s="17" t="n">
        <v>1</v>
      </c>
      <c r="E1241" s="11" t="s">
        <v>112</v>
      </c>
      <c r="F1241" s="14" t="str">
        <f aca="false">IFERROR(VLOOKUP(C1241,Ingredients!$B$6:$I$206,7,FALSE()),"?")</f>
        <v>unit</v>
      </c>
      <c r="G1241" s="31" t="n">
        <f aca="false">IFERROR(VLOOKUP(C1241,Ingredients!$B$6:$I$206,6,FALSE()),0)</f>
        <v>0.11</v>
      </c>
      <c r="H1241" s="32" t="n">
        <f aca="false">IFERROR(D1241*G1241,0)</f>
        <v>0.11</v>
      </c>
    </row>
    <row r="1242" customFormat="false" ht="15" hidden="false" customHeight="true" outlineLevel="0" collapsed="false">
      <c r="B1242" s="14" t="n">
        <v>216</v>
      </c>
      <c r="C1242" s="11" t="s">
        <v>140</v>
      </c>
      <c r="D1242" s="17" t="n">
        <v>1</v>
      </c>
      <c r="E1242" s="11" t="s">
        <v>112</v>
      </c>
      <c r="F1242" s="14" t="str">
        <f aca="false">IFERROR(VLOOKUP(C1242,Ingredients!$B$6:$I$206,7,FALSE()),"?")</f>
        <v>unit</v>
      </c>
      <c r="G1242" s="31" t="n">
        <f aca="false">IFERROR(VLOOKUP(C1242,Ingredients!$B$6:$I$206,6,FALSE()),0)</f>
        <v>0.03</v>
      </c>
      <c r="H1242" s="32" t="n">
        <f aca="false">IFERROR(D1242*G1242,0)</f>
        <v>0.03</v>
      </c>
    </row>
    <row r="1243" customFormat="false" ht="15" hidden="false" customHeight="true" outlineLevel="0" collapsed="false">
      <c r="B1243" s="14" t="n">
        <v>216</v>
      </c>
      <c r="C1243" s="11" t="s">
        <v>89</v>
      </c>
      <c r="D1243" s="17" t="n">
        <v>30</v>
      </c>
      <c r="E1243" s="11" t="s">
        <v>84</v>
      </c>
      <c r="F1243" s="14" t="str">
        <f aca="false">IFERROR(VLOOKUP(C1243,Ingredients!$B$6:$I$206,7,FALSE()),"?")</f>
        <v>ml</v>
      </c>
      <c r="G1243" s="31" t="n">
        <f aca="false">IFERROR(VLOOKUP(C1243,Ingredients!$B$6:$I$206,6,FALSE()),0)</f>
        <v>0.005</v>
      </c>
      <c r="H1243" s="32" t="n">
        <f aca="false">IFERROR(D1243*G1243,0)</f>
        <v>0.15</v>
      </c>
    </row>
    <row r="1244" customFormat="false" ht="15" hidden="false" customHeight="true" outlineLevel="0" collapsed="false">
      <c r="B1244" s="14" t="n">
        <v>217</v>
      </c>
      <c r="C1244" s="11" t="s">
        <v>116</v>
      </c>
      <c r="D1244" s="17" t="n">
        <v>0.02</v>
      </c>
      <c r="E1244" s="11" t="s">
        <v>79</v>
      </c>
      <c r="F1244" s="14" t="str">
        <f aca="false">IFERROR(VLOOKUP(C1244,Ingredients!$B$6:$I$206,7,FALSE()),"?")</f>
        <v>kg</v>
      </c>
      <c r="G1244" s="31" t="n">
        <f aca="false">IFERROR(VLOOKUP(C1244,Ingredients!$B$6:$I$206,6,FALSE()),0)</f>
        <v>7</v>
      </c>
      <c r="H1244" s="32" t="n">
        <f aca="false">IFERROR(D1244*G1244,0)</f>
        <v>0.14</v>
      </c>
    </row>
    <row r="1245" customFormat="false" ht="15" hidden="false" customHeight="true" outlineLevel="0" collapsed="false">
      <c r="B1245" s="14" t="n">
        <v>217</v>
      </c>
      <c r="C1245" s="11" t="s">
        <v>63</v>
      </c>
      <c r="D1245" s="17" t="n">
        <v>0.22</v>
      </c>
      <c r="E1245" s="11" t="s">
        <v>65</v>
      </c>
      <c r="F1245" s="14" t="str">
        <f aca="false">IFERROR(VLOOKUP(C1245,Ingredients!$B$6:$I$206,7,FALSE()),"?")</f>
        <v>L</v>
      </c>
      <c r="G1245" s="31" t="n">
        <f aca="false">IFERROR(VLOOKUP(C1245,Ingredients!$B$6:$I$206,6,FALSE()),0)</f>
        <v>0.732745961820852</v>
      </c>
      <c r="H1245" s="32" t="n">
        <f aca="false">IFERROR(D1245*G1245,0)</f>
        <v>0.161204111600587</v>
      </c>
    </row>
    <row r="1246" customFormat="false" ht="15" hidden="false" customHeight="true" outlineLevel="0" collapsed="false">
      <c r="B1246" s="14" t="n">
        <v>217</v>
      </c>
      <c r="C1246" s="11" t="s">
        <v>134</v>
      </c>
      <c r="D1246" s="17" t="n">
        <v>1</v>
      </c>
      <c r="E1246" s="11" t="s">
        <v>112</v>
      </c>
      <c r="F1246" s="14" t="str">
        <f aca="false">IFERROR(VLOOKUP(C1246,Ingredients!$B$6:$I$206,7,FALSE()),"?")</f>
        <v>unit</v>
      </c>
      <c r="G1246" s="31" t="n">
        <f aca="false">IFERROR(VLOOKUP(C1246,Ingredients!$B$6:$I$206,6,FALSE()),0)</f>
        <v>0.09</v>
      </c>
      <c r="H1246" s="32" t="n">
        <f aca="false">IFERROR(D1246*G1246,0)</f>
        <v>0.09</v>
      </c>
    </row>
    <row r="1247" customFormat="false" ht="15" hidden="false" customHeight="true" outlineLevel="0" collapsed="false">
      <c r="B1247" s="14" t="n">
        <v>217</v>
      </c>
      <c r="C1247" s="11" t="s">
        <v>136</v>
      </c>
      <c r="D1247" s="17" t="n">
        <v>1</v>
      </c>
      <c r="E1247" s="11" t="s">
        <v>112</v>
      </c>
      <c r="F1247" s="14" t="str">
        <f aca="false">IFERROR(VLOOKUP(C1247,Ingredients!$B$6:$I$206,7,FALSE()),"?")</f>
        <v>unit</v>
      </c>
      <c r="G1247" s="31" t="n">
        <f aca="false">IFERROR(VLOOKUP(C1247,Ingredients!$B$6:$I$206,6,FALSE()),0)</f>
        <v>0.03</v>
      </c>
      <c r="H1247" s="32" t="n">
        <f aca="false">IFERROR(D1247*G1247,0)</f>
        <v>0.03</v>
      </c>
    </row>
    <row r="1248" customFormat="false" ht="15" hidden="false" customHeight="true" outlineLevel="0" collapsed="false">
      <c r="B1248" s="14" t="n">
        <v>217</v>
      </c>
      <c r="C1248" s="11" t="s">
        <v>89</v>
      </c>
      <c r="D1248" s="17" t="n">
        <v>30</v>
      </c>
      <c r="E1248" s="11" t="s">
        <v>84</v>
      </c>
      <c r="F1248" s="14" t="str">
        <f aca="false">IFERROR(VLOOKUP(C1248,Ingredients!$B$6:$I$206,7,FALSE()),"?")</f>
        <v>ml</v>
      </c>
      <c r="G1248" s="31" t="n">
        <f aca="false">IFERROR(VLOOKUP(C1248,Ingredients!$B$6:$I$206,6,FALSE()),0)</f>
        <v>0.005</v>
      </c>
      <c r="H1248" s="32" t="n">
        <f aca="false">IFERROR(D1248*G1248,0)</f>
        <v>0.15</v>
      </c>
    </row>
    <row r="1249" customFormat="false" ht="15" hidden="false" customHeight="true" outlineLevel="0" collapsed="false">
      <c r="B1249" s="14" t="n">
        <v>218</v>
      </c>
      <c r="C1249" s="11" t="s">
        <v>116</v>
      </c>
      <c r="D1249" s="17" t="n">
        <v>0.04</v>
      </c>
      <c r="E1249" s="11" t="s">
        <v>79</v>
      </c>
      <c r="F1249" s="14" t="str">
        <f aca="false">IFERROR(VLOOKUP(C1249,Ingredients!$B$6:$I$206,7,FALSE()),"?")</f>
        <v>kg</v>
      </c>
      <c r="G1249" s="31" t="n">
        <f aca="false">IFERROR(VLOOKUP(C1249,Ingredients!$B$6:$I$206,6,FALSE()),0)</f>
        <v>7</v>
      </c>
      <c r="H1249" s="32" t="n">
        <f aca="false">IFERROR(D1249*G1249,0)</f>
        <v>0.28</v>
      </c>
    </row>
    <row r="1250" customFormat="false" ht="15" hidden="false" customHeight="true" outlineLevel="0" collapsed="false">
      <c r="B1250" s="14" t="n">
        <v>218</v>
      </c>
      <c r="C1250" s="11" t="s">
        <v>63</v>
      </c>
      <c r="D1250" s="17" t="n">
        <v>0.46</v>
      </c>
      <c r="E1250" s="11" t="s">
        <v>65</v>
      </c>
      <c r="F1250" s="14" t="str">
        <f aca="false">IFERROR(VLOOKUP(C1250,Ingredients!$B$6:$I$206,7,FALSE()),"?")</f>
        <v>L</v>
      </c>
      <c r="G1250" s="31" t="n">
        <f aca="false">IFERROR(VLOOKUP(C1250,Ingredients!$B$6:$I$206,6,FALSE()),0)</f>
        <v>0.732745961820852</v>
      </c>
      <c r="H1250" s="32" t="n">
        <f aca="false">IFERROR(D1250*G1250,0)</f>
        <v>0.337063142437592</v>
      </c>
    </row>
    <row r="1251" customFormat="false" ht="15" hidden="false" customHeight="true" outlineLevel="0" collapsed="false">
      <c r="B1251" s="14" t="n">
        <v>218</v>
      </c>
      <c r="C1251" s="11" t="s">
        <v>142</v>
      </c>
      <c r="D1251" s="17" t="n">
        <v>1</v>
      </c>
      <c r="E1251" s="11" t="s">
        <v>112</v>
      </c>
      <c r="F1251" s="14" t="str">
        <f aca="false">IFERROR(VLOOKUP(C1251,Ingredients!$B$6:$I$206,7,FALSE()),"?")</f>
        <v>unit</v>
      </c>
      <c r="G1251" s="31" t="n">
        <f aca="false">IFERROR(VLOOKUP(C1251,Ingredients!$B$6:$I$206,6,FALSE()),0)</f>
        <v>0.14</v>
      </c>
      <c r="H1251" s="32" t="n">
        <f aca="false">IFERROR(D1251*G1251,0)</f>
        <v>0.14</v>
      </c>
    </row>
    <row r="1252" customFormat="false" ht="15" hidden="false" customHeight="true" outlineLevel="0" collapsed="false">
      <c r="B1252" s="14" t="n">
        <v>218</v>
      </c>
      <c r="C1252" s="11" t="s">
        <v>144</v>
      </c>
      <c r="D1252" s="17" t="n">
        <v>1</v>
      </c>
      <c r="E1252" s="11" t="s">
        <v>112</v>
      </c>
      <c r="F1252" s="14" t="str">
        <f aca="false">IFERROR(VLOOKUP(C1252,Ingredients!$B$6:$I$206,7,FALSE()),"?")</f>
        <v>unit</v>
      </c>
      <c r="G1252" s="31" t="n">
        <f aca="false">IFERROR(VLOOKUP(C1252,Ingredients!$B$6:$I$206,6,FALSE()),0)</f>
        <v>0.03</v>
      </c>
      <c r="H1252" s="32" t="n">
        <f aca="false">IFERROR(D1252*G1252,0)</f>
        <v>0.03</v>
      </c>
    </row>
    <row r="1253" customFormat="false" ht="15" hidden="false" customHeight="true" outlineLevel="0" collapsed="false">
      <c r="B1253" s="14" t="n">
        <v>218</v>
      </c>
      <c r="C1253" s="11" t="s">
        <v>89</v>
      </c>
      <c r="D1253" s="17" t="n">
        <v>30</v>
      </c>
      <c r="E1253" s="11" t="s">
        <v>84</v>
      </c>
      <c r="F1253" s="14" t="str">
        <f aca="false">IFERROR(VLOOKUP(C1253,Ingredients!$B$6:$I$206,7,FALSE()),"?")</f>
        <v>ml</v>
      </c>
      <c r="G1253" s="31" t="n">
        <f aca="false">IFERROR(VLOOKUP(C1253,Ingredients!$B$6:$I$206,6,FALSE()),0)</f>
        <v>0.005</v>
      </c>
      <c r="H1253" s="32" t="n">
        <f aca="false">IFERROR(D1253*G1253,0)</f>
        <v>0.15</v>
      </c>
    </row>
    <row r="1254" customFormat="false" ht="15" hidden="false" customHeight="true" outlineLevel="0" collapsed="false">
      <c r="B1254" s="14" t="n">
        <v>219</v>
      </c>
      <c r="C1254" s="11" t="s">
        <v>116</v>
      </c>
      <c r="D1254" s="17" t="n">
        <v>0.03</v>
      </c>
      <c r="E1254" s="11" t="s">
        <v>79</v>
      </c>
      <c r="F1254" s="14" t="str">
        <f aca="false">IFERROR(VLOOKUP(C1254,Ingredients!$B$6:$I$206,7,FALSE()),"?")</f>
        <v>kg</v>
      </c>
      <c r="G1254" s="31" t="n">
        <f aca="false">IFERROR(VLOOKUP(C1254,Ingredients!$B$6:$I$206,6,FALSE()),0)</f>
        <v>7</v>
      </c>
      <c r="H1254" s="32" t="n">
        <f aca="false">IFERROR(D1254*G1254,0)</f>
        <v>0.21</v>
      </c>
    </row>
    <row r="1255" customFormat="false" ht="15" hidden="false" customHeight="true" outlineLevel="0" collapsed="false">
      <c r="B1255" s="14" t="n">
        <v>219</v>
      </c>
      <c r="C1255" s="11" t="s">
        <v>63</v>
      </c>
      <c r="D1255" s="17" t="n">
        <v>0.34</v>
      </c>
      <c r="E1255" s="11" t="s">
        <v>65</v>
      </c>
      <c r="F1255" s="14" t="str">
        <f aca="false">IFERROR(VLOOKUP(C1255,Ingredients!$B$6:$I$206,7,FALSE()),"?")</f>
        <v>L</v>
      </c>
      <c r="G1255" s="31" t="n">
        <f aca="false">IFERROR(VLOOKUP(C1255,Ingredients!$B$6:$I$206,6,FALSE()),0)</f>
        <v>0.732745961820852</v>
      </c>
      <c r="H1255" s="32" t="n">
        <f aca="false">IFERROR(D1255*G1255,0)</f>
        <v>0.24913362701909</v>
      </c>
    </row>
    <row r="1256" customFormat="false" ht="15" hidden="false" customHeight="true" outlineLevel="0" collapsed="false">
      <c r="B1256" s="14" t="n">
        <v>219</v>
      </c>
      <c r="C1256" s="11" t="s">
        <v>138</v>
      </c>
      <c r="D1256" s="17" t="n">
        <v>1</v>
      </c>
      <c r="E1256" s="11" t="s">
        <v>112</v>
      </c>
      <c r="F1256" s="14" t="str">
        <f aca="false">IFERROR(VLOOKUP(C1256,Ingredients!$B$6:$I$206,7,FALSE()),"?")</f>
        <v>unit</v>
      </c>
      <c r="G1256" s="31" t="n">
        <f aca="false">IFERROR(VLOOKUP(C1256,Ingredients!$B$6:$I$206,6,FALSE()),0)</f>
        <v>0.11</v>
      </c>
      <c r="H1256" s="32" t="n">
        <f aca="false">IFERROR(D1256*G1256,0)</f>
        <v>0.11</v>
      </c>
    </row>
    <row r="1257" customFormat="false" ht="15" hidden="false" customHeight="true" outlineLevel="0" collapsed="false">
      <c r="B1257" s="14" t="n">
        <v>219</v>
      </c>
      <c r="C1257" s="11" t="s">
        <v>140</v>
      </c>
      <c r="D1257" s="17" t="n">
        <v>1</v>
      </c>
      <c r="E1257" s="11" t="s">
        <v>112</v>
      </c>
      <c r="F1257" s="14" t="str">
        <f aca="false">IFERROR(VLOOKUP(C1257,Ingredients!$B$6:$I$206,7,FALSE()),"?")</f>
        <v>unit</v>
      </c>
      <c r="G1257" s="31" t="n">
        <f aca="false">IFERROR(VLOOKUP(C1257,Ingredients!$B$6:$I$206,6,FALSE()),0)</f>
        <v>0.03</v>
      </c>
      <c r="H1257" s="32" t="n">
        <f aca="false">IFERROR(D1257*G1257,0)</f>
        <v>0.03</v>
      </c>
    </row>
    <row r="1258" customFormat="false" ht="15" hidden="false" customHeight="true" outlineLevel="0" collapsed="false">
      <c r="B1258" s="14" t="n">
        <v>219</v>
      </c>
      <c r="C1258" s="11" t="s">
        <v>88</v>
      </c>
      <c r="D1258" s="17" t="n">
        <v>30</v>
      </c>
      <c r="E1258" s="11" t="s">
        <v>84</v>
      </c>
      <c r="F1258" s="14" t="str">
        <f aca="false">IFERROR(VLOOKUP(C1258,Ingredients!$B$6:$I$206,7,FALSE()),"?")</f>
        <v>ml</v>
      </c>
      <c r="G1258" s="31" t="n">
        <f aca="false">IFERROR(VLOOKUP(C1258,Ingredients!$B$6:$I$206,6,FALSE()),0)</f>
        <v>0.005</v>
      </c>
      <c r="H1258" s="32" t="n">
        <f aca="false">IFERROR(D1258*G1258,0)</f>
        <v>0.15</v>
      </c>
    </row>
    <row r="1259" customFormat="false" ht="15" hidden="false" customHeight="true" outlineLevel="0" collapsed="false">
      <c r="B1259" s="14" t="n">
        <v>220</v>
      </c>
      <c r="C1259" s="11" t="s">
        <v>116</v>
      </c>
      <c r="D1259" s="17" t="n">
        <v>0.02</v>
      </c>
      <c r="E1259" s="11" t="s">
        <v>79</v>
      </c>
      <c r="F1259" s="14" t="str">
        <f aca="false">IFERROR(VLOOKUP(C1259,Ingredients!$B$6:$I$206,7,FALSE()),"?")</f>
        <v>kg</v>
      </c>
      <c r="G1259" s="31" t="n">
        <f aca="false">IFERROR(VLOOKUP(C1259,Ingredients!$B$6:$I$206,6,FALSE()),0)</f>
        <v>7</v>
      </c>
      <c r="H1259" s="32" t="n">
        <f aca="false">IFERROR(D1259*G1259,0)</f>
        <v>0.14</v>
      </c>
    </row>
    <row r="1260" customFormat="false" ht="15" hidden="false" customHeight="true" outlineLevel="0" collapsed="false">
      <c r="B1260" s="14" t="n">
        <v>220</v>
      </c>
      <c r="C1260" s="11" t="s">
        <v>63</v>
      </c>
      <c r="D1260" s="17" t="n">
        <v>0.22</v>
      </c>
      <c r="E1260" s="11" t="s">
        <v>65</v>
      </c>
      <c r="F1260" s="14" t="str">
        <f aca="false">IFERROR(VLOOKUP(C1260,Ingredients!$B$6:$I$206,7,FALSE()),"?")</f>
        <v>L</v>
      </c>
      <c r="G1260" s="31" t="n">
        <f aca="false">IFERROR(VLOOKUP(C1260,Ingredients!$B$6:$I$206,6,FALSE()),0)</f>
        <v>0.732745961820852</v>
      </c>
      <c r="H1260" s="32" t="n">
        <f aca="false">IFERROR(D1260*G1260,0)</f>
        <v>0.161204111600587</v>
      </c>
    </row>
    <row r="1261" customFormat="false" ht="15" hidden="false" customHeight="true" outlineLevel="0" collapsed="false">
      <c r="B1261" s="14" t="n">
        <v>220</v>
      </c>
      <c r="C1261" s="11" t="s">
        <v>134</v>
      </c>
      <c r="D1261" s="17" t="n">
        <v>1</v>
      </c>
      <c r="E1261" s="11" t="s">
        <v>112</v>
      </c>
      <c r="F1261" s="14" t="str">
        <f aca="false">IFERROR(VLOOKUP(C1261,Ingredients!$B$6:$I$206,7,FALSE()),"?")</f>
        <v>unit</v>
      </c>
      <c r="G1261" s="31" t="n">
        <f aca="false">IFERROR(VLOOKUP(C1261,Ingredients!$B$6:$I$206,6,FALSE()),0)</f>
        <v>0.09</v>
      </c>
      <c r="H1261" s="32" t="n">
        <f aca="false">IFERROR(D1261*G1261,0)</f>
        <v>0.09</v>
      </c>
    </row>
    <row r="1262" customFormat="false" ht="15" hidden="false" customHeight="true" outlineLevel="0" collapsed="false">
      <c r="B1262" s="14" t="n">
        <v>220</v>
      </c>
      <c r="C1262" s="11" t="s">
        <v>136</v>
      </c>
      <c r="D1262" s="17" t="n">
        <v>1</v>
      </c>
      <c r="E1262" s="11" t="s">
        <v>112</v>
      </c>
      <c r="F1262" s="14" t="str">
        <f aca="false">IFERROR(VLOOKUP(C1262,Ingredients!$B$6:$I$206,7,FALSE()),"?")</f>
        <v>unit</v>
      </c>
      <c r="G1262" s="31" t="n">
        <f aca="false">IFERROR(VLOOKUP(C1262,Ingredients!$B$6:$I$206,6,FALSE()),0)</f>
        <v>0.03</v>
      </c>
      <c r="H1262" s="32" t="n">
        <f aca="false">IFERROR(D1262*G1262,0)</f>
        <v>0.03</v>
      </c>
    </row>
    <row r="1263" customFormat="false" ht="15" hidden="false" customHeight="true" outlineLevel="0" collapsed="false">
      <c r="B1263" s="14" t="n">
        <v>220</v>
      </c>
      <c r="C1263" s="11" t="s">
        <v>88</v>
      </c>
      <c r="D1263" s="17" t="n">
        <v>30</v>
      </c>
      <c r="E1263" s="11" t="s">
        <v>84</v>
      </c>
      <c r="F1263" s="14" t="str">
        <f aca="false">IFERROR(VLOOKUP(C1263,Ingredients!$B$6:$I$206,7,FALSE()),"?")</f>
        <v>ml</v>
      </c>
      <c r="G1263" s="31" t="n">
        <f aca="false">IFERROR(VLOOKUP(C1263,Ingredients!$B$6:$I$206,6,FALSE()),0)</f>
        <v>0.005</v>
      </c>
      <c r="H1263" s="32" t="n">
        <f aca="false">IFERROR(D1263*G1263,0)</f>
        <v>0.15</v>
      </c>
    </row>
    <row r="1264" customFormat="false" ht="15" hidden="false" customHeight="true" outlineLevel="0" collapsed="false">
      <c r="B1264" s="14" t="n">
        <v>221</v>
      </c>
      <c r="C1264" s="11" t="s">
        <v>116</v>
      </c>
      <c r="D1264" s="17" t="n">
        <v>0.04</v>
      </c>
      <c r="E1264" s="11" t="s">
        <v>79</v>
      </c>
      <c r="F1264" s="14" t="str">
        <f aca="false">IFERROR(VLOOKUP(C1264,Ingredients!$B$6:$I$206,7,FALSE()),"?")</f>
        <v>kg</v>
      </c>
      <c r="G1264" s="31" t="n">
        <f aca="false">IFERROR(VLOOKUP(C1264,Ingredients!$B$6:$I$206,6,FALSE()),0)</f>
        <v>7</v>
      </c>
      <c r="H1264" s="32" t="n">
        <f aca="false">IFERROR(D1264*G1264,0)</f>
        <v>0.28</v>
      </c>
    </row>
    <row r="1265" customFormat="false" ht="15" hidden="false" customHeight="true" outlineLevel="0" collapsed="false">
      <c r="B1265" s="14" t="n">
        <v>221</v>
      </c>
      <c r="C1265" s="11" t="s">
        <v>63</v>
      </c>
      <c r="D1265" s="17" t="n">
        <v>0.46</v>
      </c>
      <c r="E1265" s="11" t="s">
        <v>65</v>
      </c>
      <c r="F1265" s="14" t="str">
        <f aca="false">IFERROR(VLOOKUP(C1265,Ingredients!$B$6:$I$206,7,FALSE()),"?")</f>
        <v>L</v>
      </c>
      <c r="G1265" s="31" t="n">
        <f aca="false">IFERROR(VLOOKUP(C1265,Ingredients!$B$6:$I$206,6,FALSE()),0)</f>
        <v>0.732745961820852</v>
      </c>
      <c r="H1265" s="32" t="n">
        <f aca="false">IFERROR(D1265*G1265,0)</f>
        <v>0.337063142437592</v>
      </c>
    </row>
    <row r="1266" customFormat="false" ht="15" hidden="false" customHeight="true" outlineLevel="0" collapsed="false">
      <c r="B1266" s="14" t="n">
        <v>221</v>
      </c>
      <c r="C1266" s="11" t="s">
        <v>142</v>
      </c>
      <c r="D1266" s="17" t="n">
        <v>1</v>
      </c>
      <c r="E1266" s="11" t="s">
        <v>112</v>
      </c>
      <c r="F1266" s="14" t="str">
        <f aca="false">IFERROR(VLOOKUP(C1266,Ingredients!$B$6:$I$206,7,FALSE()),"?")</f>
        <v>unit</v>
      </c>
      <c r="G1266" s="31" t="n">
        <f aca="false">IFERROR(VLOOKUP(C1266,Ingredients!$B$6:$I$206,6,FALSE()),0)</f>
        <v>0.14</v>
      </c>
      <c r="H1266" s="32" t="n">
        <f aca="false">IFERROR(D1266*G1266,0)</f>
        <v>0.14</v>
      </c>
    </row>
    <row r="1267" customFormat="false" ht="15" hidden="false" customHeight="true" outlineLevel="0" collapsed="false">
      <c r="B1267" s="14" t="n">
        <v>221</v>
      </c>
      <c r="C1267" s="11" t="s">
        <v>144</v>
      </c>
      <c r="D1267" s="17" t="n">
        <v>1</v>
      </c>
      <c r="E1267" s="11" t="s">
        <v>112</v>
      </c>
      <c r="F1267" s="14" t="str">
        <f aca="false">IFERROR(VLOOKUP(C1267,Ingredients!$B$6:$I$206,7,FALSE()),"?")</f>
        <v>unit</v>
      </c>
      <c r="G1267" s="31" t="n">
        <f aca="false">IFERROR(VLOOKUP(C1267,Ingredients!$B$6:$I$206,6,FALSE()),0)</f>
        <v>0.03</v>
      </c>
      <c r="H1267" s="32" t="n">
        <f aca="false">IFERROR(D1267*G1267,0)</f>
        <v>0.03</v>
      </c>
    </row>
    <row r="1268" customFormat="false" ht="15" hidden="false" customHeight="true" outlineLevel="0" collapsed="false">
      <c r="B1268" s="14" t="n">
        <v>221</v>
      </c>
      <c r="C1268" s="11" t="s">
        <v>88</v>
      </c>
      <c r="D1268" s="17" t="n">
        <v>30</v>
      </c>
      <c r="E1268" s="11" t="s">
        <v>84</v>
      </c>
      <c r="F1268" s="14" t="str">
        <f aca="false">IFERROR(VLOOKUP(C1268,Ingredients!$B$6:$I$206,7,FALSE()),"?")</f>
        <v>ml</v>
      </c>
      <c r="G1268" s="31" t="n">
        <f aca="false">IFERROR(VLOOKUP(C1268,Ingredients!$B$6:$I$206,6,FALSE()),0)</f>
        <v>0.005</v>
      </c>
      <c r="H1268" s="32" t="n">
        <f aca="false">IFERROR(D1268*G1268,0)</f>
        <v>0.15</v>
      </c>
    </row>
    <row r="1269" customFormat="false" ht="15" hidden="false" customHeight="true" outlineLevel="0" collapsed="false">
      <c r="B1269" s="14" t="n">
        <v>222</v>
      </c>
      <c r="C1269" s="11" t="s">
        <v>77</v>
      </c>
      <c r="D1269" s="17" t="n">
        <v>0.036</v>
      </c>
      <c r="E1269" s="11" t="s">
        <v>79</v>
      </c>
      <c r="F1269" s="14" t="str">
        <f aca="false">IFERROR(VLOOKUP(C1269,Ingredients!$B$6:$I$206,7,FALSE()),"?")</f>
        <v>kg</v>
      </c>
      <c r="G1269" s="31" t="n">
        <f aca="false">IFERROR(VLOOKUP(C1269,Ingredients!$B$6:$I$206,6,FALSE()),0)</f>
        <v>16.25</v>
      </c>
      <c r="H1269" s="32" t="n">
        <f aca="false">IFERROR(D1269*G1269,0)</f>
        <v>0.585</v>
      </c>
    </row>
    <row r="1270" customFormat="false" ht="15" hidden="false" customHeight="true" outlineLevel="0" collapsed="false">
      <c r="B1270" s="14" t="n">
        <v>222</v>
      </c>
      <c r="C1270" s="11" t="s">
        <v>63</v>
      </c>
      <c r="D1270" s="17" t="n">
        <v>0.3</v>
      </c>
      <c r="E1270" s="11" t="s">
        <v>65</v>
      </c>
      <c r="F1270" s="14" t="str">
        <f aca="false">IFERROR(VLOOKUP(C1270,Ingredients!$B$6:$I$206,7,FALSE()),"?")</f>
        <v>L</v>
      </c>
      <c r="G1270" s="31" t="n">
        <f aca="false">IFERROR(VLOOKUP(C1270,Ingredients!$B$6:$I$206,6,FALSE()),0)</f>
        <v>0.732745961820852</v>
      </c>
      <c r="H1270" s="32" t="n">
        <f aca="false">IFERROR(D1270*G1270,0)</f>
        <v>0.219823788546256</v>
      </c>
    </row>
    <row r="1271" customFormat="false" ht="15" hidden="false" customHeight="true" outlineLevel="0" collapsed="false">
      <c r="B1271" s="14" t="n">
        <v>222</v>
      </c>
      <c r="C1271" s="11" t="s">
        <v>88</v>
      </c>
      <c r="D1271" s="17" t="n">
        <v>30</v>
      </c>
      <c r="E1271" s="11" t="s">
        <v>84</v>
      </c>
      <c r="F1271" s="14" t="str">
        <f aca="false">IFERROR(VLOOKUP(C1271,Ingredients!$B$6:$I$206,7,FALSE()),"?")</f>
        <v>ml</v>
      </c>
      <c r="G1271" s="31" t="n">
        <f aca="false">IFERROR(VLOOKUP(C1271,Ingredients!$B$6:$I$206,6,FALSE()),0)</f>
        <v>0.005</v>
      </c>
      <c r="H1271" s="32" t="n">
        <f aca="false">IFERROR(D1271*G1271,0)</f>
        <v>0.15</v>
      </c>
    </row>
    <row r="1272" customFormat="false" ht="15" hidden="false" customHeight="true" outlineLevel="0" collapsed="false">
      <c r="B1272" s="14" t="n">
        <v>222</v>
      </c>
      <c r="C1272" s="11" t="s">
        <v>138</v>
      </c>
      <c r="D1272" s="17" t="n">
        <v>1</v>
      </c>
      <c r="E1272" s="11" t="s">
        <v>112</v>
      </c>
      <c r="F1272" s="14" t="str">
        <f aca="false">IFERROR(VLOOKUP(C1272,Ingredients!$B$6:$I$206,7,FALSE()),"?")</f>
        <v>unit</v>
      </c>
      <c r="G1272" s="31" t="n">
        <f aca="false">IFERROR(VLOOKUP(C1272,Ingredients!$B$6:$I$206,6,FALSE()),0)</f>
        <v>0.11</v>
      </c>
      <c r="H1272" s="32" t="n">
        <f aca="false">IFERROR(D1272*G1272,0)</f>
        <v>0.11</v>
      </c>
    </row>
    <row r="1273" customFormat="false" ht="15" hidden="false" customHeight="true" outlineLevel="0" collapsed="false">
      <c r="B1273" s="14" t="n">
        <v>222</v>
      </c>
      <c r="C1273" s="11" t="s">
        <v>140</v>
      </c>
      <c r="D1273" s="17" t="n">
        <v>1</v>
      </c>
      <c r="E1273" s="11" t="s">
        <v>112</v>
      </c>
      <c r="F1273" s="14" t="str">
        <f aca="false">IFERROR(VLOOKUP(C1273,Ingredients!$B$6:$I$206,7,FALSE()),"?")</f>
        <v>unit</v>
      </c>
      <c r="G1273" s="31" t="n">
        <f aca="false">IFERROR(VLOOKUP(C1273,Ingredients!$B$6:$I$206,6,FALSE()),0)</f>
        <v>0.03</v>
      </c>
      <c r="H1273" s="32" t="n">
        <f aca="false">IFERROR(D1273*G1273,0)</f>
        <v>0.03</v>
      </c>
    </row>
    <row r="1274" customFormat="false" ht="15" hidden="false" customHeight="true" outlineLevel="0" collapsed="false">
      <c r="B1274" s="14" t="n">
        <v>223</v>
      </c>
      <c r="C1274" s="11" t="s">
        <v>77</v>
      </c>
      <c r="D1274" s="17" t="n">
        <v>0.036</v>
      </c>
      <c r="E1274" s="11" t="s">
        <v>79</v>
      </c>
      <c r="F1274" s="14" t="str">
        <f aca="false">IFERROR(VLOOKUP(C1274,Ingredients!$B$6:$I$206,7,FALSE()),"?")</f>
        <v>kg</v>
      </c>
      <c r="G1274" s="31" t="n">
        <f aca="false">IFERROR(VLOOKUP(C1274,Ingredients!$B$6:$I$206,6,FALSE()),0)</f>
        <v>16.25</v>
      </c>
      <c r="H1274" s="32" t="n">
        <f aca="false">IFERROR(D1274*G1274,0)</f>
        <v>0.585</v>
      </c>
    </row>
    <row r="1275" customFormat="false" ht="15" hidden="false" customHeight="true" outlineLevel="0" collapsed="false">
      <c r="B1275" s="14" t="n">
        <v>223</v>
      </c>
      <c r="C1275" s="11" t="s">
        <v>63</v>
      </c>
      <c r="D1275" s="17" t="n">
        <v>0.18</v>
      </c>
      <c r="E1275" s="11" t="s">
        <v>65</v>
      </c>
      <c r="F1275" s="14" t="str">
        <f aca="false">IFERROR(VLOOKUP(C1275,Ingredients!$B$6:$I$206,7,FALSE()),"?")</f>
        <v>L</v>
      </c>
      <c r="G1275" s="31" t="n">
        <f aca="false">IFERROR(VLOOKUP(C1275,Ingredients!$B$6:$I$206,6,FALSE()),0)</f>
        <v>0.732745961820852</v>
      </c>
      <c r="H1275" s="32" t="n">
        <f aca="false">IFERROR(D1275*G1275,0)</f>
        <v>0.131894273127753</v>
      </c>
    </row>
    <row r="1276" customFormat="false" ht="15" hidden="false" customHeight="true" outlineLevel="0" collapsed="false">
      <c r="B1276" s="14" t="n">
        <v>223</v>
      </c>
      <c r="C1276" s="11" t="s">
        <v>88</v>
      </c>
      <c r="D1276" s="17" t="n">
        <v>30</v>
      </c>
      <c r="E1276" s="11" t="s">
        <v>84</v>
      </c>
      <c r="F1276" s="14" t="str">
        <f aca="false">IFERROR(VLOOKUP(C1276,Ingredients!$B$6:$I$206,7,FALSE()),"?")</f>
        <v>ml</v>
      </c>
      <c r="G1276" s="31" t="n">
        <f aca="false">IFERROR(VLOOKUP(C1276,Ingredients!$B$6:$I$206,6,FALSE()),0)</f>
        <v>0.005</v>
      </c>
      <c r="H1276" s="32" t="n">
        <f aca="false">IFERROR(D1276*G1276,0)</f>
        <v>0.15</v>
      </c>
    </row>
    <row r="1277" customFormat="false" ht="15" hidden="false" customHeight="true" outlineLevel="0" collapsed="false">
      <c r="B1277" s="14" t="n">
        <v>223</v>
      </c>
      <c r="C1277" s="11" t="s">
        <v>134</v>
      </c>
      <c r="D1277" s="17" t="n">
        <v>1</v>
      </c>
      <c r="E1277" s="11" t="s">
        <v>112</v>
      </c>
      <c r="F1277" s="14" t="str">
        <f aca="false">IFERROR(VLOOKUP(C1277,Ingredients!$B$6:$I$206,7,FALSE()),"?")</f>
        <v>unit</v>
      </c>
      <c r="G1277" s="31" t="n">
        <f aca="false">IFERROR(VLOOKUP(C1277,Ingredients!$B$6:$I$206,6,FALSE()),0)</f>
        <v>0.09</v>
      </c>
      <c r="H1277" s="32" t="n">
        <f aca="false">IFERROR(D1277*G1277,0)</f>
        <v>0.09</v>
      </c>
    </row>
    <row r="1278" customFormat="false" ht="15" hidden="false" customHeight="true" outlineLevel="0" collapsed="false">
      <c r="B1278" s="14" t="n">
        <v>223</v>
      </c>
      <c r="C1278" s="11" t="s">
        <v>136</v>
      </c>
      <c r="D1278" s="17" t="n">
        <v>1</v>
      </c>
      <c r="E1278" s="11" t="s">
        <v>112</v>
      </c>
      <c r="F1278" s="14" t="str">
        <f aca="false">IFERROR(VLOOKUP(C1278,Ingredients!$B$6:$I$206,7,FALSE()),"?")</f>
        <v>unit</v>
      </c>
      <c r="G1278" s="31" t="n">
        <f aca="false">IFERROR(VLOOKUP(C1278,Ingredients!$B$6:$I$206,6,FALSE()),0)</f>
        <v>0.03</v>
      </c>
      <c r="H1278" s="32" t="n">
        <f aca="false">IFERROR(D1278*G1278,0)</f>
        <v>0.03</v>
      </c>
    </row>
    <row r="1279" customFormat="false" ht="15" hidden="false" customHeight="true" outlineLevel="0" collapsed="false">
      <c r="B1279" s="14" t="n">
        <v>224</v>
      </c>
      <c r="C1279" s="11" t="s">
        <v>77</v>
      </c>
      <c r="D1279" s="17" t="n">
        <v>0.072</v>
      </c>
      <c r="E1279" s="11" t="s">
        <v>79</v>
      </c>
      <c r="F1279" s="14" t="str">
        <f aca="false">IFERROR(VLOOKUP(C1279,Ingredients!$B$6:$I$206,7,FALSE()),"?")</f>
        <v>kg</v>
      </c>
      <c r="G1279" s="31" t="n">
        <f aca="false">IFERROR(VLOOKUP(C1279,Ingredients!$B$6:$I$206,6,FALSE()),0)</f>
        <v>16.25</v>
      </c>
      <c r="H1279" s="32" t="n">
        <f aca="false">IFERROR(D1279*G1279,0)</f>
        <v>1.17</v>
      </c>
    </row>
    <row r="1280" customFormat="false" ht="15" hidden="false" customHeight="true" outlineLevel="0" collapsed="false">
      <c r="B1280" s="14" t="n">
        <v>224</v>
      </c>
      <c r="C1280" s="11" t="s">
        <v>63</v>
      </c>
      <c r="D1280" s="17" t="n">
        <v>0.36</v>
      </c>
      <c r="E1280" s="11" t="s">
        <v>65</v>
      </c>
      <c r="F1280" s="14" t="str">
        <f aca="false">IFERROR(VLOOKUP(C1280,Ingredients!$B$6:$I$206,7,FALSE()),"?")</f>
        <v>L</v>
      </c>
      <c r="G1280" s="31" t="n">
        <f aca="false">IFERROR(VLOOKUP(C1280,Ingredients!$B$6:$I$206,6,FALSE()),0)</f>
        <v>0.732745961820852</v>
      </c>
      <c r="H1280" s="32" t="n">
        <f aca="false">IFERROR(D1280*G1280,0)</f>
        <v>0.263788546255507</v>
      </c>
    </row>
    <row r="1281" customFormat="false" ht="15" hidden="false" customHeight="true" outlineLevel="0" collapsed="false">
      <c r="B1281" s="14" t="n">
        <v>224</v>
      </c>
      <c r="C1281" s="11" t="s">
        <v>88</v>
      </c>
      <c r="D1281" s="17" t="n">
        <v>30</v>
      </c>
      <c r="E1281" s="11" t="s">
        <v>84</v>
      </c>
      <c r="F1281" s="14" t="str">
        <f aca="false">IFERROR(VLOOKUP(C1281,Ingredients!$B$6:$I$206,7,FALSE()),"?")</f>
        <v>ml</v>
      </c>
      <c r="G1281" s="31" t="n">
        <f aca="false">IFERROR(VLOOKUP(C1281,Ingredients!$B$6:$I$206,6,FALSE()),0)</f>
        <v>0.005</v>
      </c>
      <c r="H1281" s="32" t="n">
        <f aca="false">IFERROR(D1281*G1281,0)</f>
        <v>0.15</v>
      </c>
    </row>
    <row r="1282" customFormat="false" ht="15" hidden="false" customHeight="true" outlineLevel="0" collapsed="false">
      <c r="B1282" s="14" t="n">
        <v>224</v>
      </c>
      <c r="C1282" s="11" t="s">
        <v>142</v>
      </c>
      <c r="D1282" s="17" t="n">
        <v>1</v>
      </c>
      <c r="E1282" s="11" t="s">
        <v>112</v>
      </c>
      <c r="F1282" s="14" t="str">
        <f aca="false">IFERROR(VLOOKUP(C1282,Ingredients!$B$6:$I$206,7,FALSE()),"?")</f>
        <v>unit</v>
      </c>
      <c r="G1282" s="31" t="n">
        <f aca="false">IFERROR(VLOOKUP(C1282,Ingredients!$B$6:$I$206,6,FALSE()),0)</f>
        <v>0.14</v>
      </c>
      <c r="H1282" s="32" t="n">
        <f aca="false">IFERROR(D1282*G1282,0)</f>
        <v>0.14</v>
      </c>
    </row>
    <row r="1283" customFormat="false" ht="15" hidden="false" customHeight="true" outlineLevel="0" collapsed="false">
      <c r="B1283" s="14" t="n">
        <v>224</v>
      </c>
      <c r="C1283" s="11" t="s">
        <v>144</v>
      </c>
      <c r="D1283" s="17" t="n">
        <v>1</v>
      </c>
      <c r="E1283" s="11" t="s">
        <v>112</v>
      </c>
      <c r="F1283" s="14" t="str">
        <f aca="false">IFERROR(VLOOKUP(C1283,Ingredients!$B$6:$I$206,7,FALSE()),"?")</f>
        <v>unit</v>
      </c>
      <c r="G1283" s="31" t="n">
        <f aca="false">IFERROR(VLOOKUP(C1283,Ingredients!$B$6:$I$206,6,FALSE()),0)</f>
        <v>0.03</v>
      </c>
      <c r="H1283" s="32" t="n">
        <f aca="false">IFERROR(D1283*G1283,0)</f>
        <v>0.03</v>
      </c>
    </row>
    <row r="1284" customFormat="false" ht="15" hidden="false" customHeight="true" outlineLevel="0" collapsed="false">
      <c r="B1284" s="14" t="n">
        <v>225</v>
      </c>
      <c r="C1284" s="11" t="s">
        <v>116</v>
      </c>
      <c r="D1284" s="17" t="n">
        <v>0.03</v>
      </c>
      <c r="E1284" s="11" t="s">
        <v>79</v>
      </c>
      <c r="F1284" s="14" t="str">
        <f aca="false">IFERROR(VLOOKUP(C1284,Ingredients!$B$6:$I$206,7,FALSE()),"?")</f>
        <v>kg</v>
      </c>
      <c r="G1284" s="31" t="n">
        <f aca="false">IFERROR(VLOOKUP(C1284,Ingredients!$B$6:$I$206,6,FALSE()),0)</f>
        <v>7</v>
      </c>
      <c r="H1284" s="32" t="n">
        <f aca="false">IFERROR(D1284*G1284,0)</f>
        <v>0.21</v>
      </c>
    </row>
    <row r="1285" customFormat="false" ht="15" hidden="false" customHeight="true" outlineLevel="0" collapsed="false">
      <c r="B1285" s="14" t="n">
        <v>225</v>
      </c>
      <c r="C1285" s="11" t="s">
        <v>63</v>
      </c>
      <c r="D1285" s="17" t="n">
        <v>0.34</v>
      </c>
      <c r="E1285" s="11" t="s">
        <v>65</v>
      </c>
      <c r="F1285" s="14" t="str">
        <f aca="false">IFERROR(VLOOKUP(C1285,Ingredients!$B$6:$I$206,7,FALSE()),"?")</f>
        <v>L</v>
      </c>
      <c r="G1285" s="31" t="n">
        <f aca="false">IFERROR(VLOOKUP(C1285,Ingredients!$B$6:$I$206,6,FALSE()),0)</f>
        <v>0.732745961820852</v>
      </c>
      <c r="H1285" s="32" t="n">
        <f aca="false">IFERROR(D1285*G1285,0)</f>
        <v>0.24913362701909</v>
      </c>
    </row>
    <row r="1286" customFormat="false" ht="15" hidden="false" customHeight="true" outlineLevel="0" collapsed="false">
      <c r="B1286" s="14" t="n">
        <v>225</v>
      </c>
      <c r="C1286" s="11" t="s">
        <v>138</v>
      </c>
      <c r="D1286" s="17" t="n">
        <v>1</v>
      </c>
      <c r="E1286" s="11" t="s">
        <v>112</v>
      </c>
      <c r="F1286" s="14" t="str">
        <f aca="false">IFERROR(VLOOKUP(C1286,Ingredients!$B$6:$I$206,7,FALSE()),"?")</f>
        <v>unit</v>
      </c>
      <c r="G1286" s="31" t="n">
        <f aca="false">IFERROR(VLOOKUP(C1286,Ingredients!$B$6:$I$206,6,FALSE()),0)</f>
        <v>0.11</v>
      </c>
      <c r="H1286" s="32" t="n">
        <f aca="false">IFERROR(D1286*G1286,0)</f>
        <v>0.11</v>
      </c>
    </row>
    <row r="1287" customFormat="false" ht="15" hidden="false" customHeight="true" outlineLevel="0" collapsed="false">
      <c r="B1287" s="14" t="n">
        <v>225</v>
      </c>
      <c r="C1287" s="11" t="s">
        <v>140</v>
      </c>
      <c r="D1287" s="17" t="n">
        <v>1</v>
      </c>
      <c r="E1287" s="11" t="s">
        <v>112</v>
      </c>
      <c r="F1287" s="14" t="str">
        <f aca="false">IFERROR(VLOOKUP(C1287,Ingredients!$B$6:$I$206,7,FALSE()),"?")</f>
        <v>unit</v>
      </c>
      <c r="G1287" s="31" t="n">
        <f aca="false">IFERROR(VLOOKUP(C1287,Ingredients!$B$6:$I$206,6,FALSE()),0)</f>
        <v>0.03</v>
      </c>
      <c r="H1287" s="32" t="n">
        <f aca="false">IFERROR(D1287*G1287,0)</f>
        <v>0.03</v>
      </c>
    </row>
    <row r="1288" customFormat="false" ht="15" hidden="false" customHeight="true" outlineLevel="0" collapsed="false">
      <c r="B1288" s="14" t="n">
        <v>225</v>
      </c>
      <c r="C1288" s="11" t="s">
        <v>88</v>
      </c>
      <c r="D1288" s="17" t="n">
        <v>30</v>
      </c>
      <c r="E1288" s="11" t="s">
        <v>84</v>
      </c>
      <c r="F1288" s="14" t="str">
        <f aca="false">IFERROR(VLOOKUP(C1288,Ingredients!$B$6:$I$206,7,FALSE()),"?")</f>
        <v>ml</v>
      </c>
      <c r="G1288" s="31" t="n">
        <f aca="false">IFERROR(VLOOKUP(C1288,Ingredients!$B$6:$I$206,6,FALSE()),0)</f>
        <v>0.005</v>
      </c>
      <c r="H1288" s="32" t="n">
        <f aca="false">IFERROR(D1288*G1288,0)</f>
        <v>0.15</v>
      </c>
    </row>
    <row r="1289" customFormat="false" ht="15" hidden="false" customHeight="true" outlineLevel="0" collapsed="false">
      <c r="B1289" s="14" t="n">
        <v>226</v>
      </c>
      <c r="C1289" s="11" t="s">
        <v>116</v>
      </c>
      <c r="D1289" s="17" t="n">
        <v>0.02</v>
      </c>
      <c r="E1289" s="11" t="s">
        <v>79</v>
      </c>
      <c r="F1289" s="14" t="str">
        <f aca="false">IFERROR(VLOOKUP(C1289,Ingredients!$B$6:$I$206,7,FALSE()),"?")</f>
        <v>kg</v>
      </c>
      <c r="G1289" s="31" t="n">
        <f aca="false">IFERROR(VLOOKUP(C1289,Ingredients!$B$6:$I$206,6,FALSE()),0)</f>
        <v>7</v>
      </c>
      <c r="H1289" s="32" t="n">
        <f aca="false">IFERROR(D1289*G1289,0)</f>
        <v>0.14</v>
      </c>
    </row>
    <row r="1290" customFormat="false" ht="15" hidden="false" customHeight="true" outlineLevel="0" collapsed="false">
      <c r="B1290" s="14" t="n">
        <v>226</v>
      </c>
      <c r="C1290" s="11" t="s">
        <v>63</v>
      </c>
      <c r="D1290" s="17" t="n">
        <v>0.22</v>
      </c>
      <c r="E1290" s="11" t="s">
        <v>65</v>
      </c>
      <c r="F1290" s="14" t="str">
        <f aca="false">IFERROR(VLOOKUP(C1290,Ingredients!$B$6:$I$206,7,FALSE()),"?")</f>
        <v>L</v>
      </c>
      <c r="G1290" s="31" t="n">
        <f aca="false">IFERROR(VLOOKUP(C1290,Ingredients!$B$6:$I$206,6,FALSE()),0)</f>
        <v>0.732745961820852</v>
      </c>
      <c r="H1290" s="32" t="n">
        <f aca="false">IFERROR(D1290*G1290,0)</f>
        <v>0.161204111600587</v>
      </c>
    </row>
    <row r="1291" customFormat="false" ht="15" hidden="false" customHeight="true" outlineLevel="0" collapsed="false">
      <c r="B1291" s="14" t="n">
        <v>226</v>
      </c>
      <c r="C1291" s="11" t="s">
        <v>134</v>
      </c>
      <c r="D1291" s="17" t="n">
        <v>1</v>
      </c>
      <c r="E1291" s="11" t="s">
        <v>112</v>
      </c>
      <c r="F1291" s="14" t="str">
        <f aca="false">IFERROR(VLOOKUP(C1291,Ingredients!$B$6:$I$206,7,FALSE()),"?")</f>
        <v>unit</v>
      </c>
      <c r="G1291" s="31" t="n">
        <f aca="false">IFERROR(VLOOKUP(C1291,Ingredients!$B$6:$I$206,6,FALSE()),0)</f>
        <v>0.09</v>
      </c>
      <c r="H1291" s="32" t="n">
        <f aca="false">IFERROR(D1291*G1291,0)</f>
        <v>0.09</v>
      </c>
    </row>
    <row r="1292" customFormat="false" ht="15" hidden="false" customHeight="true" outlineLevel="0" collapsed="false">
      <c r="B1292" s="14" t="n">
        <v>226</v>
      </c>
      <c r="C1292" s="11" t="s">
        <v>136</v>
      </c>
      <c r="D1292" s="17" t="n">
        <v>1</v>
      </c>
      <c r="E1292" s="11" t="s">
        <v>112</v>
      </c>
      <c r="F1292" s="14" t="str">
        <f aca="false">IFERROR(VLOOKUP(C1292,Ingredients!$B$6:$I$206,7,FALSE()),"?")</f>
        <v>unit</v>
      </c>
      <c r="G1292" s="31" t="n">
        <f aca="false">IFERROR(VLOOKUP(C1292,Ingredients!$B$6:$I$206,6,FALSE()),0)</f>
        <v>0.03</v>
      </c>
      <c r="H1292" s="32" t="n">
        <f aca="false">IFERROR(D1292*G1292,0)</f>
        <v>0.03</v>
      </c>
    </row>
    <row r="1293" customFormat="false" ht="15" hidden="false" customHeight="true" outlineLevel="0" collapsed="false">
      <c r="B1293" s="14" t="n">
        <v>226</v>
      </c>
      <c r="C1293" s="11" t="s">
        <v>88</v>
      </c>
      <c r="D1293" s="17" t="n">
        <v>30</v>
      </c>
      <c r="E1293" s="11" t="s">
        <v>84</v>
      </c>
      <c r="F1293" s="14" t="str">
        <f aca="false">IFERROR(VLOOKUP(C1293,Ingredients!$B$6:$I$206,7,FALSE()),"?")</f>
        <v>ml</v>
      </c>
      <c r="G1293" s="31" t="n">
        <f aca="false">IFERROR(VLOOKUP(C1293,Ingredients!$B$6:$I$206,6,FALSE()),0)</f>
        <v>0.005</v>
      </c>
      <c r="H1293" s="32" t="n">
        <f aca="false">IFERROR(D1293*G1293,0)</f>
        <v>0.15</v>
      </c>
    </row>
    <row r="1294" customFormat="false" ht="15" hidden="false" customHeight="true" outlineLevel="0" collapsed="false">
      <c r="B1294" s="14" t="n">
        <v>227</v>
      </c>
      <c r="C1294" s="11" t="s">
        <v>116</v>
      </c>
      <c r="D1294" s="17" t="n">
        <v>0.04</v>
      </c>
      <c r="E1294" s="11" t="s">
        <v>79</v>
      </c>
      <c r="F1294" s="14" t="str">
        <f aca="false">IFERROR(VLOOKUP(C1294,Ingredients!$B$6:$I$206,7,FALSE()),"?")</f>
        <v>kg</v>
      </c>
      <c r="G1294" s="31" t="n">
        <f aca="false">IFERROR(VLOOKUP(C1294,Ingredients!$B$6:$I$206,6,FALSE()),0)</f>
        <v>7</v>
      </c>
      <c r="H1294" s="32" t="n">
        <f aca="false">IFERROR(D1294*G1294,0)</f>
        <v>0.28</v>
      </c>
    </row>
    <row r="1295" customFormat="false" ht="15" hidden="false" customHeight="true" outlineLevel="0" collapsed="false">
      <c r="B1295" s="14" t="n">
        <v>227</v>
      </c>
      <c r="C1295" s="11" t="s">
        <v>63</v>
      </c>
      <c r="D1295" s="17" t="n">
        <v>0.46</v>
      </c>
      <c r="E1295" s="11" t="s">
        <v>65</v>
      </c>
      <c r="F1295" s="14" t="str">
        <f aca="false">IFERROR(VLOOKUP(C1295,Ingredients!$B$6:$I$206,7,FALSE()),"?")</f>
        <v>L</v>
      </c>
      <c r="G1295" s="31" t="n">
        <f aca="false">IFERROR(VLOOKUP(C1295,Ingredients!$B$6:$I$206,6,FALSE()),0)</f>
        <v>0.732745961820852</v>
      </c>
      <c r="H1295" s="32" t="n">
        <f aca="false">IFERROR(D1295*G1295,0)</f>
        <v>0.337063142437592</v>
      </c>
    </row>
    <row r="1296" customFormat="false" ht="15" hidden="false" customHeight="true" outlineLevel="0" collapsed="false">
      <c r="B1296" s="14" t="n">
        <v>227</v>
      </c>
      <c r="C1296" s="11" t="s">
        <v>142</v>
      </c>
      <c r="D1296" s="17" t="n">
        <v>1</v>
      </c>
      <c r="E1296" s="11" t="s">
        <v>112</v>
      </c>
      <c r="F1296" s="14" t="str">
        <f aca="false">IFERROR(VLOOKUP(C1296,Ingredients!$B$6:$I$206,7,FALSE()),"?")</f>
        <v>unit</v>
      </c>
      <c r="G1296" s="31" t="n">
        <f aca="false">IFERROR(VLOOKUP(C1296,Ingredients!$B$6:$I$206,6,FALSE()),0)</f>
        <v>0.14</v>
      </c>
      <c r="H1296" s="32" t="n">
        <f aca="false">IFERROR(D1296*G1296,0)</f>
        <v>0.14</v>
      </c>
    </row>
    <row r="1297" customFormat="false" ht="15" hidden="false" customHeight="true" outlineLevel="0" collapsed="false">
      <c r="B1297" s="14" t="n">
        <v>227</v>
      </c>
      <c r="C1297" s="11" t="s">
        <v>144</v>
      </c>
      <c r="D1297" s="17" t="n">
        <v>1</v>
      </c>
      <c r="E1297" s="11" t="s">
        <v>112</v>
      </c>
      <c r="F1297" s="14" t="str">
        <f aca="false">IFERROR(VLOOKUP(C1297,Ingredients!$B$6:$I$206,7,FALSE()),"?")</f>
        <v>unit</v>
      </c>
      <c r="G1297" s="31" t="n">
        <f aca="false">IFERROR(VLOOKUP(C1297,Ingredients!$B$6:$I$206,6,FALSE()),0)</f>
        <v>0.03</v>
      </c>
      <c r="H1297" s="32" t="n">
        <f aca="false">IFERROR(D1297*G1297,0)</f>
        <v>0.03</v>
      </c>
    </row>
    <row r="1298" customFormat="false" ht="15" hidden="false" customHeight="true" outlineLevel="0" collapsed="false">
      <c r="B1298" s="14" t="n">
        <v>227</v>
      </c>
      <c r="C1298" s="11" t="s">
        <v>88</v>
      </c>
      <c r="D1298" s="17" t="n">
        <v>30</v>
      </c>
      <c r="E1298" s="11" t="s">
        <v>84</v>
      </c>
      <c r="F1298" s="14" t="str">
        <f aca="false">IFERROR(VLOOKUP(C1298,Ingredients!$B$6:$I$206,7,FALSE()),"?")</f>
        <v>ml</v>
      </c>
      <c r="G1298" s="31" t="n">
        <f aca="false">IFERROR(VLOOKUP(C1298,Ingredients!$B$6:$I$206,6,FALSE()),0)</f>
        <v>0.005</v>
      </c>
      <c r="H1298" s="32" t="n">
        <f aca="false">IFERROR(D1298*G1298,0)</f>
        <v>0.15</v>
      </c>
    </row>
    <row r="1299" customFormat="false" ht="15" hidden="false" customHeight="true" outlineLevel="0" collapsed="false">
      <c r="B1299" s="14" t="n">
        <v>228</v>
      </c>
      <c r="C1299" s="11" t="s">
        <v>77</v>
      </c>
      <c r="D1299" s="17" t="n">
        <v>0.036</v>
      </c>
      <c r="E1299" s="11" t="s">
        <v>79</v>
      </c>
      <c r="F1299" s="14" t="str">
        <f aca="false">IFERROR(VLOOKUP(C1299,Ingredients!$B$6:$I$206,7,FALSE()),"?")</f>
        <v>kg</v>
      </c>
      <c r="G1299" s="31" t="n">
        <f aca="false">IFERROR(VLOOKUP(C1299,Ingredients!$B$6:$I$206,6,FALSE()),0)</f>
        <v>16.25</v>
      </c>
      <c r="H1299" s="32" t="n">
        <f aca="false">IFERROR(D1299*G1299,0)</f>
        <v>0.585</v>
      </c>
    </row>
    <row r="1300" customFormat="false" ht="15" hidden="false" customHeight="true" outlineLevel="0" collapsed="false">
      <c r="B1300" s="14" t="n">
        <v>228</v>
      </c>
      <c r="C1300" s="11" t="s">
        <v>63</v>
      </c>
      <c r="D1300" s="17" t="n">
        <v>0.3</v>
      </c>
      <c r="E1300" s="11" t="s">
        <v>65</v>
      </c>
      <c r="F1300" s="14" t="str">
        <f aca="false">IFERROR(VLOOKUP(C1300,Ingredients!$B$6:$I$206,7,FALSE()),"?")</f>
        <v>L</v>
      </c>
      <c r="G1300" s="31" t="n">
        <f aca="false">IFERROR(VLOOKUP(C1300,Ingredients!$B$6:$I$206,6,FALSE()),0)</f>
        <v>0.732745961820852</v>
      </c>
      <c r="H1300" s="32" t="n">
        <f aca="false">IFERROR(D1300*G1300,0)</f>
        <v>0.219823788546256</v>
      </c>
    </row>
    <row r="1301" customFormat="false" ht="15" hidden="false" customHeight="true" outlineLevel="0" collapsed="false">
      <c r="B1301" s="14" t="n">
        <v>228</v>
      </c>
      <c r="C1301" s="11" t="s">
        <v>119</v>
      </c>
      <c r="D1301" s="17" t="n">
        <v>0.03</v>
      </c>
      <c r="E1301" s="11" t="s">
        <v>79</v>
      </c>
      <c r="F1301" s="14" t="str">
        <f aca="false">IFERROR(VLOOKUP(C1301,Ingredients!$B$6:$I$206,7,FALSE()),"?")</f>
        <v>ml</v>
      </c>
      <c r="G1301" s="31" t="n">
        <f aca="false">IFERROR(VLOOKUP(C1301,Ingredients!$B$6:$I$206,6,FALSE()),0)</f>
        <v>6</v>
      </c>
      <c r="H1301" s="32" t="n">
        <f aca="false">IFERROR(D1301*G1301,0)</f>
        <v>0.18</v>
      </c>
    </row>
    <row r="1302" customFormat="false" ht="15" hidden="false" customHeight="true" outlineLevel="0" collapsed="false">
      <c r="B1302" s="14" t="n">
        <v>228</v>
      </c>
      <c r="C1302" s="11" t="s">
        <v>138</v>
      </c>
      <c r="D1302" s="17" t="n">
        <v>1</v>
      </c>
      <c r="E1302" s="11" t="s">
        <v>112</v>
      </c>
      <c r="F1302" s="14" t="str">
        <f aca="false">IFERROR(VLOOKUP(C1302,Ingredients!$B$6:$I$206,7,FALSE()),"?")</f>
        <v>unit</v>
      </c>
      <c r="G1302" s="31" t="n">
        <f aca="false">IFERROR(VLOOKUP(C1302,Ingredients!$B$6:$I$206,6,FALSE()),0)</f>
        <v>0.11</v>
      </c>
      <c r="H1302" s="32" t="n">
        <f aca="false">IFERROR(D1302*G1302,0)</f>
        <v>0.11</v>
      </c>
    </row>
    <row r="1303" customFormat="false" ht="15" hidden="false" customHeight="true" outlineLevel="0" collapsed="false">
      <c r="B1303" s="14" t="n">
        <v>228</v>
      </c>
      <c r="C1303" s="11" t="s">
        <v>140</v>
      </c>
      <c r="D1303" s="17" t="n">
        <v>1</v>
      </c>
      <c r="E1303" s="11" t="s">
        <v>112</v>
      </c>
      <c r="F1303" s="14" t="str">
        <f aca="false">IFERROR(VLOOKUP(C1303,Ingredients!$B$6:$I$206,7,FALSE()),"?")</f>
        <v>unit</v>
      </c>
      <c r="G1303" s="31" t="n">
        <f aca="false">IFERROR(VLOOKUP(C1303,Ingredients!$B$6:$I$206,6,FALSE()),0)</f>
        <v>0.03</v>
      </c>
      <c r="H1303" s="32" t="n">
        <f aca="false">IFERROR(D1303*G1303,0)</f>
        <v>0.03</v>
      </c>
    </row>
    <row r="1304" customFormat="false" ht="15" hidden="false" customHeight="true" outlineLevel="0" collapsed="false">
      <c r="B1304" s="14" t="n">
        <v>228</v>
      </c>
      <c r="C1304" s="11" t="s">
        <v>88</v>
      </c>
      <c r="D1304" s="17" t="n">
        <v>30</v>
      </c>
      <c r="E1304" s="11" t="s">
        <v>84</v>
      </c>
      <c r="F1304" s="14" t="str">
        <f aca="false">IFERROR(VLOOKUP(C1304,Ingredients!$B$6:$I$206,7,FALSE()),"?")</f>
        <v>ml</v>
      </c>
      <c r="G1304" s="31" t="n">
        <f aca="false">IFERROR(VLOOKUP(C1304,Ingredients!$B$6:$I$206,6,FALSE()),0)</f>
        <v>0.005</v>
      </c>
      <c r="H1304" s="32" t="n">
        <f aca="false">IFERROR(D1304*G1304,0)</f>
        <v>0.15</v>
      </c>
    </row>
    <row r="1305" customFormat="false" ht="15" hidden="false" customHeight="true" outlineLevel="0" collapsed="false">
      <c r="B1305" s="14" t="n">
        <v>229</v>
      </c>
      <c r="C1305" s="11" t="s">
        <v>77</v>
      </c>
      <c r="D1305" s="17" t="n">
        <v>0.036</v>
      </c>
      <c r="E1305" s="11" t="s">
        <v>79</v>
      </c>
      <c r="F1305" s="14" t="str">
        <f aca="false">IFERROR(VLOOKUP(C1305,Ingredients!$B$6:$I$206,7,FALSE()),"?")</f>
        <v>kg</v>
      </c>
      <c r="G1305" s="31" t="n">
        <f aca="false">IFERROR(VLOOKUP(C1305,Ingredients!$B$6:$I$206,6,FALSE()),0)</f>
        <v>16.25</v>
      </c>
      <c r="H1305" s="32" t="n">
        <f aca="false">IFERROR(D1305*G1305,0)</f>
        <v>0.585</v>
      </c>
    </row>
    <row r="1306" customFormat="false" ht="15" hidden="false" customHeight="true" outlineLevel="0" collapsed="false">
      <c r="B1306" s="14" t="n">
        <v>229</v>
      </c>
      <c r="C1306" s="11" t="s">
        <v>63</v>
      </c>
      <c r="D1306" s="17" t="n">
        <v>0.18</v>
      </c>
      <c r="E1306" s="11" t="s">
        <v>65</v>
      </c>
      <c r="F1306" s="14" t="str">
        <f aca="false">IFERROR(VLOOKUP(C1306,Ingredients!$B$6:$I$206,7,FALSE()),"?")</f>
        <v>L</v>
      </c>
      <c r="G1306" s="31" t="n">
        <f aca="false">IFERROR(VLOOKUP(C1306,Ingredients!$B$6:$I$206,6,FALSE()),0)</f>
        <v>0.732745961820852</v>
      </c>
      <c r="H1306" s="32" t="n">
        <f aca="false">IFERROR(D1306*G1306,0)</f>
        <v>0.131894273127753</v>
      </c>
    </row>
    <row r="1307" customFormat="false" ht="15" hidden="false" customHeight="true" outlineLevel="0" collapsed="false">
      <c r="B1307" s="14" t="n">
        <v>229</v>
      </c>
      <c r="C1307" s="11" t="s">
        <v>119</v>
      </c>
      <c r="D1307" s="17" t="n">
        <v>0.02</v>
      </c>
      <c r="E1307" s="11" t="s">
        <v>79</v>
      </c>
      <c r="F1307" s="14" t="str">
        <f aca="false">IFERROR(VLOOKUP(C1307,Ingredients!$B$6:$I$206,7,FALSE()),"?")</f>
        <v>ml</v>
      </c>
      <c r="G1307" s="31" t="n">
        <f aca="false">IFERROR(VLOOKUP(C1307,Ingredients!$B$6:$I$206,6,FALSE()),0)</f>
        <v>6</v>
      </c>
      <c r="H1307" s="32" t="n">
        <f aca="false">IFERROR(D1307*G1307,0)</f>
        <v>0.12</v>
      </c>
    </row>
    <row r="1308" customFormat="false" ht="15" hidden="false" customHeight="true" outlineLevel="0" collapsed="false">
      <c r="B1308" s="14" t="n">
        <v>229</v>
      </c>
      <c r="C1308" s="11" t="s">
        <v>134</v>
      </c>
      <c r="D1308" s="17" t="n">
        <v>1</v>
      </c>
      <c r="E1308" s="11" t="s">
        <v>112</v>
      </c>
      <c r="F1308" s="14" t="str">
        <f aca="false">IFERROR(VLOOKUP(C1308,Ingredients!$B$6:$I$206,7,FALSE()),"?")</f>
        <v>unit</v>
      </c>
      <c r="G1308" s="31" t="n">
        <f aca="false">IFERROR(VLOOKUP(C1308,Ingredients!$B$6:$I$206,6,FALSE()),0)</f>
        <v>0.09</v>
      </c>
      <c r="H1308" s="32" t="n">
        <f aca="false">IFERROR(D1308*G1308,0)</f>
        <v>0.09</v>
      </c>
    </row>
    <row r="1309" customFormat="false" ht="15" hidden="false" customHeight="true" outlineLevel="0" collapsed="false">
      <c r="B1309" s="14" t="n">
        <v>229</v>
      </c>
      <c r="C1309" s="11" t="s">
        <v>136</v>
      </c>
      <c r="D1309" s="17" t="n">
        <v>1</v>
      </c>
      <c r="E1309" s="11" t="s">
        <v>112</v>
      </c>
      <c r="F1309" s="14" t="str">
        <f aca="false">IFERROR(VLOOKUP(C1309,Ingredients!$B$6:$I$206,7,FALSE()),"?")</f>
        <v>unit</v>
      </c>
      <c r="G1309" s="31" t="n">
        <f aca="false">IFERROR(VLOOKUP(C1309,Ingredients!$B$6:$I$206,6,FALSE()),0)</f>
        <v>0.03</v>
      </c>
      <c r="H1309" s="32" t="n">
        <f aca="false">IFERROR(D1309*G1309,0)</f>
        <v>0.03</v>
      </c>
    </row>
    <row r="1310" customFormat="false" ht="15" hidden="false" customHeight="true" outlineLevel="0" collapsed="false">
      <c r="B1310" s="14" t="n">
        <v>229</v>
      </c>
      <c r="C1310" s="11" t="s">
        <v>88</v>
      </c>
      <c r="D1310" s="17" t="n">
        <v>30</v>
      </c>
      <c r="E1310" s="11" t="s">
        <v>84</v>
      </c>
      <c r="F1310" s="14" t="str">
        <f aca="false">IFERROR(VLOOKUP(C1310,Ingredients!$B$6:$I$206,7,FALSE()),"?")</f>
        <v>ml</v>
      </c>
      <c r="G1310" s="31" t="n">
        <f aca="false">IFERROR(VLOOKUP(C1310,Ingredients!$B$6:$I$206,6,FALSE()),0)</f>
        <v>0.005</v>
      </c>
      <c r="H1310" s="32" t="n">
        <f aca="false">IFERROR(D1310*G1310,0)</f>
        <v>0.15</v>
      </c>
    </row>
    <row r="1311" customFormat="false" ht="15" hidden="false" customHeight="true" outlineLevel="0" collapsed="false">
      <c r="B1311" s="14" t="n">
        <v>230</v>
      </c>
      <c r="C1311" s="11" t="s">
        <v>77</v>
      </c>
      <c r="D1311" s="17" t="n">
        <v>0.072</v>
      </c>
      <c r="E1311" s="11" t="s">
        <v>79</v>
      </c>
      <c r="F1311" s="14" t="str">
        <f aca="false">IFERROR(VLOOKUP(C1311,Ingredients!$B$6:$I$206,7,FALSE()),"?")</f>
        <v>kg</v>
      </c>
      <c r="G1311" s="31" t="n">
        <f aca="false">IFERROR(VLOOKUP(C1311,Ingredients!$B$6:$I$206,6,FALSE()),0)</f>
        <v>16.25</v>
      </c>
      <c r="H1311" s="32" t="n">
        <f aca="false">IFERROR(D1311*G1311,0)</f>
        <v>1.17</v>
      </c>
    </row>
    <row r="1312" customFormat="false" ht="15" hidden="false" customHeight="true" outlineLevel="0" collapsed="false">
      <c r="B1312" s="14" t="n">
        <v>230</v>
      </c>
      <c r="C1312" s="11" t="s">
        <v>63</v>
      </c>
      <c r="D1312" s="17" t="n">
        <v>0.36</v>
      </c>
      <c r="E1312" s="11" t="s">
        <v>65</v>
      </c>
      <c r="F1312" s="14" t="str">
        <f aca="false">IFERROR(VLOOKUP(C1312,Ingredients!$B$6:$I$206,7,FALSE()),"?")</f>
        <v>L</v>
      </c>
      <c r="G1312" s="31" t="n">
        <f aca="false">IFERROR(VLOOKUP(C1312,Ingredients!$B$6:$I$206,6,FALSE()),0)</f>
        <v>0.732745961820852</v>
      </c>
      <c r="H1312" s="32" t="n">
        <f aca="false">IFERROR(D1312*G1312,0)</f>
        <v>0.263788546255507</v>
      </c>
    </row>
    <row r="1313" customFormat="false" ht="15" hidden="false" customHeight="true" outlineLevel="0" collapsed="false">
      <c r="B1313" s="14" t="n">
        <v>230</v>
      </c>
      <c r="C1313" s="11" t="s">
        <v>119</v>
      </c>
      <c r="D1313" s="17" t="n">
        <v>0.04</v>
      </c>
      <c r="E1313" s="11" t="s">
        <v>79</v>
      </c>
      <c r="F1313" s="14" t="str">
        <f aca="false">IFERROR(VLOOKUP(C1313,Ingredients!$B$6:$I$206,7,FALSE()),"?")</f>
        <v>ml</v>
      </c>
      <c r="G1313" s="31" t="n">
        <f aca="false">IFERROR(VLOOKUP(C1313,Ingredients!$B$6:$I$206,6,FALSE()),0)</f>
        <v>6</v>
      </c>
      <c r="H1313" s="32" t="n">
        <f aca="false">IFERROR(D1313*G1313,0)</f>
        <v>0.24</v>
      </c>
    </row>
    <row r="1314" customFormat="false" ht="15" hidden="false" customHeight="true" outlineLevel="0" collapsed="false">
      <c r="B1314" s="14" t="n">
        <v>230</v>
      </c>
      <c r="C1314" s="11" t="s">
        <v>142</v>
      </c>
      <c r="D1314" s="17" t="n">
        <v>1</v>
      </c>
      <c r="E1314" s="11" t="s">
        <v>112</v>
      </c>
      <c r="F1314" s="14" t="str">
        <f aca="false">IFERROR(VLOOKUP(C1314,Ingredients!$B$6:$I$206,7,FALSE()),"?")</f>
        <v>unit</v>
      </c>
      <c r="G1314" s="31" t="n">
        <f aca="false">IFERROR(VLOOKUP(C1314,Ingredients!$B$6:$I$206,6,FALSE()),0)</f>
        <v>0.14</v>
      </c>
      <c r="H1314" s="32" t="n">
        <f aca="false">IFERROR(D1314*G1314,0)</f>
        <v>0.14</v>
      </c>
    </row>
    <row r="1315" customFormat="false" ht="15" hidden="false" customHeight="true" outlineLevel="0" collapsed="false">
      <c r="B1315" s="14" t="n">
        <v>230</v>
      </c>
      <c r="C1315" s="11" t="s">
        <v>144</v>
      </c>
      <c r="D1315" s="17" t="n">
        <v>1</v>
      </c>
      <c r="E1315" s="11" t="s">
        <v>112</v>
      </c>
      <c r="F1315" s="14" t="str">
        <f aca="false">IFERROR(VLOOKUP(C1315,Ingredients!$B$6:$I$206,7,FALSE()),"?")</f>
        <v>unit</v>
      </c>
      <c r="G1315" s="31" t="n">
        <f aca="false">IFERROR(VLOOKUP(C1315,Ingredients!$B$6:$I$206,6,FALSE()),0)</f>
        <v>0.03</v>
      </c>
      <c r="H1315" s="32" t="n">
        <f aca="false">IFERROR(D1315*G1315,0)</f>
        <v>0.03</v>
      </c>
    </row>
    <row r="1316" customFormat="false" ht="15" hidden="false" customHeight="true" outlineLevel="0" collapsed="false">
      <c r="B1316" s="14" t="n">
        <v>230</v>
      </c>
      <c r="C1316" s="11" t="s">
        <v>88</v>
      </c>
      <c r="D1316" s="17" t="n">
        <v>30</v>
      </c>
      <c r="E1316" s="11" t="s">
        <v>84</v>
      </c>
      <c r="F1316" s="14" t="str">
        <f aca="false">IFERROR(VLOOKUP(C1316,Ingredients!$B$6:$I$206,7,FALSE()),"?")</f>
        <v>ml</v>
      </c>
      <c r="G1316" s="31" t="n">
        <f aca="false">IFERROR(VLOOKUP(C1316,Ingredients!$B$6:$I$206,6,FALSE()),0)</f>
        <v>0.005</v>
      </c>
      <c r="H1316" s="32" t="n">
        <f aca="false">IFERROR(D1316*G1316,0)</f>
        <v>0.15</v>
      </c>
    </row>
    <row r="1317" customFormat="false" ht="15" hidden="false" customHeight="true" outlineLevel="0" collapsed="false">
      <c r="B1317" s="14" t="n">
        <v>232</v>
      </c>
      <c r="C1317" s="11" t="s">
        <v>248</v>
      </c>
      <c r="D1317" s="17" t="n">
        <v>0.06</v>
      </c>
      <c r="E1317" s="11" t="s">
        <v>79</v>
      </c>
      <c r="F1317" s="14" t="str">
        <f aca="false">IFERROR(VLOOKUP(C1317,Ingredients!$B$6:$I$206,7,FALSE()),"?")</f>
        <v>For milkshakes (60g per drink)</v>
      </c>
      <c r="G1317" s="31" t="n">
        <f aca="false">IFERROR(VLOOKUP(C1317,Ingredients!$B$6:$I$206,6,FALSE()),0)</f>
        <v>8.5</v>
      </c>
      <c r="H1317" s="32" t="n">
        <f aca="false">IFERROR(D1317*G1317,0)</f>
        <v>0.51</v>
      </c>
    </row>
    <row r="1318" customFormat="false" ht="15" hidden="false" customHeight="true" outlineLevel="0" collapsed="false">
      <c r="B1318" s="14" t="n">
        <v>232</v>
      </c>
      <c r="C1318" s="11" t="s">
        <v>63</v>
      </c>
      <c r="D1318" s="17" t="n">
        <v>0.15</v>
      </c>
      <c r="E1318" s="11" t="s">
        <v>65</v>
      </c>
      <c r="F1318" s="14" t="str">
        <f aca="false">IFERROR(VLOOKUP(C1318,Ingredients!$B$6:$I$206,7,FALSE()),"?")</f>
        <v>L</v>
      </c>
      <c r="G1318" s="31" t="n">
        <f aca="false">IFERROR(VLOOKUP(C1318,Ingredients!$B$6:$I$206,6,FALSE()),0)</f>
        <v>0.732745961820852</v>
      </c>
      <c r="H1318" s="32" t="n">
        <f aca="false">IFERROR(D1318*G1318,0)</f>
        <v>0.109911894273128</v>
      </c>
    </row>
    <row r="1319" customFormat="false" ht="15" hidden="false" customHeight="true" outlineLevel="0" collapsed="false">
      <c r="B1319" s="14" t="n">
        <v>232</v>
      </c>
      <c r="C1319" s="11" t="s">
        <v>87</v>
      </c>
      <c r="D1319" s="17" t="n">
        <v>30</v>
      </c>
      <c r="E1319" s="11" t="s">
        <v>84</v>
      </c>
      <c r="F1319" s="14" t="str">
        <f aca="false">IFERROR(VLOOKUP(C1319,Ingredients!$B$6:$I$206,7,FALSE()),"?")</f>
        <v>ml</v>
      </c>
      <c r="G1319" s="31" t="n">
        <f aca="false">IFERROR(VLOOKUP(C1319,Ingredients!$B$6:$I$206,6,FALSE()),0)</f>
        <v>0.005</v>
      </c>
      <c r="H1319" s="32" t="n">
        <f aca="false">IFERROR(D1319*G1319,0)</f>
        <v>0.15</v>
      </c>
    </row>
    <row r="1320" customFormat="false" ht="15" hidden="false" customHeight="true" outlineLevel="0" collapsed="false">
      <c r="B1320" s="14" t="n">
        <v>232</v>
      </c>
      <c r="C1320" s="11" t="s">
        <v>77</v>
      </c>
      <c r="D1320" s="17" t="n">
        <v>0.018</v>
      </c>
      <c r="E1320" s="11" t="s">
        <v>79</v>
      </c>
      <c r="F1320" s="14" t="str">
        <f aca="false">IFERROR(VLOOKUP(C1320,Ingredients!$B$6:$I$206,7,FALSE()),"?")</f>
        <v>kg</v>
      </c>
      <c r="G1320" s="31" t="n">
        <f aca="false">IFERROR(VLOOKUP(C1320,Ingredients!$B$6:$I$206,6,FALSE()),0)</f>
        <v>16.25</v>
      </c>
      <c r="H1320" s="32" t="n">
        <f aca="false">IFERROR(D1320*G1320,0)</f>
        <v>0.2925</v>
      </c>
    </row>
    <row r="1321" customFormat="false" ht="15" hidden="false" customHeight="true" outlineLevel="0" collapsed="false">
      <c r="B1321" s="14" t="n">
        <v>232</v>
      </c>
      <c r="C1321" s="11" t="s">
        <v>142</v>
      </c>
      <c r="D1321" s="17" t="n">
        <v>1</v>
      </c>
      <c r="E1321" s="11" t="s">
        <v>112</v>
      </c>
      <c r="F1321" s="14" t="str">
        <f aca="false">IFERROR(VLOOKUP(C1321,Ingredients!$B$6:$I$206,7,FALSE()),"?")</f>
        <v>unit</v>
      </c>
      <c r="G1321" s="31" t="n">
        <f aca="false">IFERROR(VLOOKUP(C1321,Ingredients!$B$6:$I$206,6,FALSE()),0)</f>
        <v>0.14</v>
      </c>
      <c r="H1321" s="32" t="n">
        <f aca="false">IFERROR(D1321*G1321,0)</f>
        <v>0.14</v>
      </c>
    </row>
    <row r="1322" customFormat="false" ht="15" hidden="false" customHeight="true" outlineLevel="0" collapsed="false">
      <c r="B1322" s="14" t="n">
        <v>232</v>
      </c>
      <c r="C1322" s="11" t="s">
        <v>144</v>
      </c>
      <c r="D1322" s="17" t="n">
        <v>1</v>
      </c>
      <c r="E1322" s="11" t="s">
        <v>112</v>
      </c>
      <c r="F1322" s="14" t="str">
        <f aca="false">IFERROR(VLOOKUP(C1322,Ingredients!$B$6:$I$206,7,FALSE()),"?")</f>
        <v>unit</v>
      </c>
      <c r="G1322" s="31" t="n">
        <f aca="false">IFERROR(VLOOKUP(C1322,Ingredients!$B$6:$I$206,6,FALSE()),0)</f>
        <v>0.03</v>
      </c>
      <c r="H1322" s="32" t="n">
        <f aca="false">IFERROR(D1322*G1322,0)</f>
        <v>0.03</v>
      </c>
    </row>
    <row r="1323" customFormat="false" ht="15" hidden="false" customHeight="true" outlineLevel="0" collapsed="false">
      <c r="B1323" s="14" t="n">
        <v>233</v>
      </c>
      <c r="C1323" s="11" t="s">
        <v>248</v>
      </c>
      <c r="D1323" s="17" t="n">
        <v>0.06</v>
      </c>
      <c r="E1323" s="11" t="s">
        <v>79</v>
      </c>
      <c r="F1323" s="14" t="str">
        <f aca="false">IFERROR(VLOOKUP(C1323,Ingredients!$B$6:$I$206,7,FALSE()),"?")</f>
        <v>For milkshakes (60g per drink)</v>
      </c>
      <c r="G1323" s="31" t="n">
        <f aca="false">IFERROR(VLOOKUP(C1323,Ingredients!$B$6:$I$206,6,FALSE()),0)</f>
        <v>8.5</v>
      </c>
      <c r="H1323" s="32" t="n">
        <f aca="false">IFERROR(D1323*G1323,0)</f>
        <v>0.51</v>
      </c>
    </row>
    <row r="1324" customFormat="false" ht="15" hidden="false" customHeight="true" outlineLevel="0" collapsed="false">
      <c r="B1324" s="14" t="n">
        <v>233</v>
      </c>
      <c r="C1324" s="11" t="s">
        <v>63</v>
      </c>
      <c r="D1324" s="17" t="n">
        <v>0.15</v>
      </c>
      <c r="E1324" s="11" t="s">
        <v>65</v>
      </c>
      <c r="F1324" s="14" t="str">
        <f aca="false">IFERROR(VLOOKUP(C1324,Ingredients!$B$6:$I$206,7,FALSE()),"?")</f>
        <v>L</v>
      </c>
      <c r="G1324" s="31" t="n">
        <f aca="false">IFERROR(VLOOKUP(C1324,Ingredients!$B$6:$I$206,6,FALSE()),0)</f>
        <v>0.732745961820852</v>
      </c>
      <c r="H1324" s="32" t="n">
        <f aca="false">IFERROR(D1324*G1324,0)</f>
        <v>0.109911894273128</v>
      </c>
    </row>
    <row r="1325" customFormat="false" ht="15" hidden="false" customHeight="true" outlineLevel="0" collapsed="false">
      <c r="B1325" s="14" t="n">
        <v>233</v>
      </c>
      <c r="C1325" s="11" t="s">
        <v>87</v>
      </c>
      <c r="D1325" s="17" t="n">
        <v>30</v>
      </c>
      <c r="E1325" s="11" t="s">
        <v>84</v>
      </c>
      <c r="F1325" s="14" t="str">
        <f aca="false">IFERROR(VLOOKUP(C1325,Ingredients!$B$6:$I$206,7,FALSE()),"?")</f>
        <v>ml</v>
      </c>
      <c r="G1325" s="31" t="n">
        <f aca="false">IFERROR(VLOOKUP(C1325,Ingredients!$B$6:$I$206,6,FALSE()),0)</f>
        <v>0.005</v>
      </c>
      <c r="H1325" s="32" t="n">
        <f aca="false">IFERROR(D1325*G1325,0)</f>
        <v>0.15</v>
      </c>
    </row>
    <row r="1326" customFormat="false" ht="15" hidden="false" customHeight="true" outlineLevel="0" collapsed="false">
      <c r="B1326" s="14" t="n">
        <v>233</v>
      </c>
      <c r="C1326" s="11" t="s">
        <v>77</v>
      </c>
      <c r="D1326" s="17" t="n">
        <v>0.018</v>
      </c>
      <c r="E1326" s="11" t="s">
        <v>79</v>
      </c>
      <c r="F1326" s="14" t="str">
        <f aca="false">IFERROR(VLOOKUP(C1326,Ingredients!$B$6:$I$206,7,FALSE()),"?")</f>
        <v>kg</v>
      </c>
      <c r="G1326" s="31" t="n">
        <f aca="false">IFERROR(VLOOKUP(C1326,Ingredients!$B$6:$I$206,6,FALSE()),0)</f>
        <v>16.25</v>
      </c>
      <c r="H1326" s="32" t="n">
        <f aca="false">IFERROR(D1326*G1326,0)</f>
        <v>0.2925</v>
      </c>
    </row>
    <row r="1327" customFormat="false" ht="15" hidden="false" customHeight="true" outlineLevel="0" collapsed="false">
      <c r="B1327" s="14" t="n">
        <v>233</v>
      </c>
      <c r="C1327" s="11" t="s">
        <v>138</v>
      </c>
      <c r="D1327" s="17" t="n">
        <v>1</v>
      </c>
      <c r="E1327" s="11" t="s">
        <v>112</v>
      </c>
      <c r="F1327" s="14" t="str">
        <f aca="false">IFERROR(VLOOKUP(C1327,Ingredients!$B$6:$I$206,7,FALSE()),"?")</f>
        <v>unit</v>
      </c>
      <c r="G1327" s="31" t="n">
        <f aca="false">IFERROR(VLOOKUP(C1327,Ingredients!$B$6:$I$206,6,FALSE()),0)</f>
        <v>0.11</v>
      </c>
      <c r="H1327" s="32" t="n">
        <f aca="false">IFERROR(D1327*G1327,0)</f>
        <v>0.11</v>
      </c>
    </row>
    <row r="1328" customFormat="false" ht="15" hidden="false" customHeight="true" outlineLevel="0" collapsed="false">
      <c r="B1328" s="14" t="n">
        <v>233</v>
      </c>
      <c r="C1328" s="11" t="s">
        <v>140</v>
      </c>
      <c r="D1328" s="17" t="n">
        <v>1</v>
      </c>
      <c r="E1328" s="11" t="s">
        <v>112</v>
      </c>
      <c r="F1328" s="14" t="str">
        <f aca="false">IFERROR(VLOOKUP(C1328,Ingredients!$B$6:$I$206,7,FALSE()),"?")</f>
        <v>unit</v>
      </c>
      <c r="G1328" s="31" t="n">
        <f aca="false">IFERROR(VLOOKUP(C1328,Ingredients!$B$6:$I$206,6,FALSE()),0)</f>
        <v>0.03</v>
      </c>
      <c r="H1328" s="32" t="n">
        <f aca="false">IFERROR(D1328*G1328,0)</f>
        <v>0.03</v>
      </c>
    </row>
    <row r="1329" customFormat="false" ht="15" hidden="false" customHeight="true" outlineLevel="0" collapsed="false">
      <c r="B1329" s="14" t="n">
        <v>234</v>
      </c>
      <c r="C1329" s="11" t="s">
        <v>116</v>
      </c>
      <c r="D1329" s="17" t="n">
        <v>0.03</v>
      </c>
      <c r="E1329" s="11" t="s">
        <v>79</v>
      </c>
      <c r="F1329" s="14" t="str">
        <f aca="false">IFERROR(VLOOKUP(C1329,Ingredients!$B$6:$I$206,7,FALSE()),"?")</f>
        <v>kg</v>
      </c>
      <c r="G1329" s="31" t="n">
        <f aca="false">IFERROR(VLOOKUP(C1329,Ingredients!$B$6:$I$206,6,FALSE()),0)</f>
        <v>7</v>
      </c>
      <c r="H1329" s="32" t="n">
        <f aca="false">IFERROR(D1329*G1329,0)</f>
        <v>0.21</v>
      </c>
    </row>
    <row r="1330" customFormat="false" ht="15" hidden="false" customHeight="true" outlineLevel="0" collapsed="false">
      <c r="B1330" s="14" t="n">
        <v>234</v>
      </c>
      <c r="C1330" s="11" t="s">
        <v>63</v>
      </c>
      <c r="D1330" s="17" t="n">
        <v>0.34</v>
      </c>
      <c r="E1330" s="11" t="s">
        <v>65</v>
      </c>
      <c r="F1330" s="14" t="str">
        <f aca="false">IFERROR(VLOOKUP(C1330,Ingredients!$B$6:$I$206,7,FALSE()),"?")</f>
        <v>L</v>
      </c>
      <c r="G1330" s="31" t="n">
        <f aca="false">IFERROR(VLOOKUP(C1330,Ingredients!$B$6:$I$206,6,FALSE()),0)</f>
        <v>0.732745961820852</v>
      </c>
      <c r="H1330" s="32" t="n">
        <f aca="false">IFERROR(D1330*G1330,0)</f>
        <v>0.24913362701909</v>
      </c>
    </row>
    <row r="1331" customFormat="false" ht="15" hidden="false" customHeight="true" outlineLevel="0" collapsed="false">
      <c r="B1331" s="14" t="n">
        <v>234</v>
      </c>
      <c r="C1331" s="11" t="s">
        <v>138</v>
      </c>
      <c r="D1331" s="17" t="n">
        <v>1</v>
      </c>
      <c r="E1331" s="11" t="s">
        <v>112</v>
      </c>
      <c r="F1331" s="14" t="str">
        <f aca="false">IFERROR(VLOOKUP(C1331,Ingredients!$B$6:$I$206,7,FALSE()),"?")</f>
        <v>unit</v>
      </c>
      <c r="G1331" s="31" t="n">
        <f aca="false">IFERROR(VLOOKUP(C1331,Ingredients!$B$6:$I$206,6,FALSE()),0)</f>
        <v>0.11</v>
      </c>
      <c r="H1331" s="32" t="n">
        <f aca="false">IFERROR(D1331*G1331,0)</f>
        <v>0.11</v>
      </c>
    </row>
    <row r="1332" customFormat="false" ht="15" hidden="false" customHeight="true" outlineLevel="0" collapsed="false">
      <c r="B1332" s="14" t="n">
        <v>234</v>
      </c>
      <c r="C1332" s="11" t="s">
        <v>140</v>
      </c>
      <c r="D1332" s="17" t="n">
        <v>1</v>
      </c>
      <c r="E1332" s="11" t="s">
        <v>112</v>
      </c>
      <c r="F1332" s="14" t="str">
        <f aca="false">IFERROR(VLOOKUP(C1332,Ingredients!$B$6:$I$206,7,FALSE()),"?")</f>
        <v>unit</v>
      </c>
      <c r="G1332" s="31" t="n">
        <f aca="false">IFERROR(VLOOKUP(C1332,Ingredients!$B$6:$I$206,6,FALSE()),0)</f>
        <v>0.03</v>
      </c>
      <c r="H1332" s="32" t="n">
        <f aca="false">IFERROR(D1332*G1332,0)</f>
        <v>0.03</v>
      </c>
    </row>
    <row r="1333" customFormat="false" ht="15" hidden="false" customHeight="true" outlineLevel="0" collapsed="false">
      <c r="B1333" s="14" t="n">
        <v>235</v>
      </c>
      <c r="C1333" s="11" t="s">
        <v>116</v>
      </c>
      <c r="D1333" s="17" t="n">
        <v>0.02</v>
      </c>
      <c r="E1333" s="11" t="s">
        <v>79</v>
      </c>
      <c r="F1333" s="14" t="str">
        <f aca="false">IFERROR(VLOOKUP(C1333,Ingredients!$B$6:$I$206,7,FALSE()),"?")</f>
        <v>kg</v>
      </c>
      <c r="G1333" s="31" t="n">
        <f aca="false">IFERROR(VLOOKUP(C1333,Ingredients!$B$6:$I$206,6,FALSE()),0)</f>
        <v>7</v>
      </c>
      <c r="H1333" s="32" t="n">
        <f aca="false">IFERROR(D1333*G1333,0)</f>
        <v>0.14</v>
      </c>
    </row>
    <row r="1334" customFormat="false" ht="15" hidden="false" customHeight="true" outlineLevel="0" collapsed="false">
      <c r="B1334" s="14" t="n">
        <v>235</v>
      </c>
      <c r="C1334" s="11" t="s">
        <v>63</v>
      </c>
      <c r="D1334" s="17" t="n">
        <v>0.22</v>
      </c>
      <c r="E1334" s="11" t="s">
        <v>65</v>
      </c>
      <c r="F1334" s="14" t="str">
        <f aca="false">IFERROR(VLOOKUP(C1334,Ingredients!$B$6:$I$206,7,FALSE()),"?")</f>
        <v>L</v>
      </c>
      <c r="G1334" s="31" t="n">
        <f aca="false">IFERROR(VLOOKUP(C1334,Ingredients!$B$6:$I$206,6,FALSE()),0)</f>
        <v>0.732745961820852</v>
      </c>
      <c r="H1334" s="32" t="n">
        <f aca="false">IFERROR(D1334*G1334,0)</f>
        <v>0.161204111600587</v>
      </c>
    </row>
    <row r="1335" customFormat="false" ht="15" hidden="false" customHeight="true" outlineLevel="0" collapsed="false">
      <c r="B1335" s="14" t="n">
        <v>235</v>
      </c>
      <c r="C1335" s="11" t="s">
        <v>134</v>
      </c>
      <c r="D1335" s="17" t="n">
        <v>1</v>
      </c>
      <c r="E1335" s="11" t="s">
        <v>112</v>
      </c>
      <c r="F1335" s="14" t="str">
        <f aca="false">IFERROR(VLOOKUP(C1335,Ingredients!$B$6:$I$206,7,FALSE()),"?")</f>
        <v>unit</v>
      </c>
      <c r="G1335" s="31" t="n">
        <f aca="false">IFERROR(VLOOKUP(C1335,Ingredients!$B$6:$I$206,6,FALSE()),0)</f>
        <v>0.09</v>
      </c>
      <c r="H1335" s="32" t="n">
        <f aca="false">IFERROR(D1335*G1335,0)</f>
        <v>0.09</v>
      </c>
    </row>
    <row r="1336" customFormat="false" ht="15" hidden="false" customHeight="true" outlineLevel="0" collapsed="false">
      <c r="B1336" s="14" t="n">
        <v>235</v>
      </c>
      <c r="C1336" s="11" t="s">
        <v>136</v>
      </c>
      <c r="D1336" s="17" t="n">
        <v>1</v>
      </c>
      <c r="E1336" s="11" t="s">
        <v>112</v>
      </c>
      <c r="F1336" s="14" t="str">
        <f aca="false">IFERROR(VLOOKUP(C1336,Ingredients!$B$6:$I$206,7,FALSE()),"?")</f>
        <v>unit</v>
      </c>
      <c r="G1336" s="31" t="n">
        <f aca="false">IFERROR(VLOOKUP(C1336,Ingredients!$B$6:$I$206,6,FALSE()),0)</f>
        <v>0.03</v>
      </c>
      <c r="H1336" s="32" t="n">
        <f aca="false">IFERROR(D1336*G1336,0)</f>
        <v>0.03</v>
      </c>
    </row>
    <row r="1337" customFormat="false" ht="15" hidden="false" customHeight="true" outlineLevel="0" collapsed="false">
      <c r="B1337" s="14" t="n">
        <v>236</v>
      </c>
      <c r="C1337" s="11" t="s">
        <v>116</v>
      </c>
      <c r="D1337" s="17" t="n">
        <v>0.04</v>
      </c>
      <c r="E1337" s="11" t="s">
        <v>79</v>
      </c>
      <c r="F1337" s="14" t="str">
        <f aca="false">IFERROR(VLOOKUP(C1337,Ingredients!$B$6:$I$206,7,FALSE()),"?")</f>
        <v>kg</v>
      </c>
      <c r="G1337" s="31" t="n">
        <f aca="false">IFERROR(VLOOKUP(C1337,Ingredients!$B$6:$I$206,6,FALSE()),0)</f>
        <v>7</v>
      </c>
      <c r="H1337" s="32" t="n">
        <f aca="false">IFERROR(D1337*G1337,0)</f>
        <v>0.28</v>
      </c>
    </row>
    <row r="1338" customFormat="false" ht="15" hidden="false" customHeight="true" outlineLevel="0" collapsed="false">
      <c r="B1338" s="14" t="n">
        <v>236</v>
      </c>
      <c r="C1338" s="11" t="s">
        <v>63</v>
      </c>
      <c r="D1338" s="17" t="n">
        <v>0.46</v>
      </c>
      <c r="E1338" s="11" t="s">
        <v>65</v>
      </c>
      <c r="F1338" s="14" t="str">
        <f aca="false">IFERROR(VLOOKUP(C1338,Ingredients!$B$6:$I$206,7,FALSE()),"?")</f>
        <v>L</v>
      </c>
      <c r="G1338" s="31" t="n">
        <f aca="false">IFERROR(VLOOKUP(C1338,Ingredients!$B$6:$I$206,6,FALSE()),0)</f>
        <v>0.732745961820852</v>
      </c>
      <c r="H1338" s="32" t="n">
        <f aca="false">IFERROR(D1338*G1338,0)</f>
        <v>0.337063142437592</v>
      </c>
    </row>
    <row r="1339" customFormat="false" ht="15" hidden="false" customHeight="true" outlineLevel="0" collapsed="false">
      <c r="B1339" s="14" t="n">
        <v>236</v>
      </c>
      <c r="C1339" s="11" t="s">
        <v>142</v>
      </c>
      <c r="D1339" s="17" t="n">
        <v>1</v>
      </c>
      <c r="E1339" s="11" t="s">
        <v>112</v>
      </c>
      <c r="F1339" s="14" t="str">
        <f aca="false">IFERROR(VLOOKUP(C1339,Ingredients!$B$6:$I$206,7,FALSE()),"?")</f>
        <v>unit</v>
      </c>
      <c r="G1339" s="31" t="n">
        <f aca="false">IFERROR(VLOOKUP(C1339,Ingredients!$B$6:$I$206,6,FALSE()),0)</f>
        <v>0.14</v>
      </c>
      <c r="H1339" s="32" t="n">
        <f aca="false">IFERROR(D1339*G1339,0)</f>
        <v>0.14</v>
      </c>
    </row>
    <row r="1340" customFormat="false" ht="15" hidden="false" customHeight="true" outlineLevel="0" collapsed="false">
      <c r="B1340" s="14" t="n">
        <v>236</v>
      </c>
      <c r="C1340" s="11" t="s">
        <v>144</v>
      </c>
      <c r="D1340" s="17" t="n">
        <v>1</v>
      </c>
      <c r="E1340" s="11" t="s">
        <v>112</v>
      </c>
      <c r="F1340" s="14" t="str">
        <f aca="false">IFERROR(VLOOKUP(C1340,Ingredients!$B$6:$I$206,7,FALSE()),"?")</f>
        <v>unit</v>
      </c>
      <c r="G1340" s="31" t="n">
        <f aca="false">IFERROR(VLOOKUP(C1340,Ingredients!$B$6:$I$206,6,FALSE()),0)</f>
        <v>0.03</v>
      </c>
      <c r="H1340" s="32" t="n">
        <f aca="false">IFERROR(D1340*G1340,0)</f>
        <v>0.03</v>
      </c>
    </row>
    <row r="1341" customFormat="false" ht="15" hidden="false" customHeight="true" outlineLevel="0" collapsed="false">
      <c r="B1341" s="14" t="n">
        <v>237</v>
      </c>
      <c r="C1341" s="11" t="s">
        <v>77</v>
      </c>
      <c r="D1341" s="17" t="n">
        <v>0.036</v>
      </c>
      <c r="E1341" s="11" t="s">
        <v>79</v>
      </c>
      <c r="F1341" s="14" t="str">
        <f aca="false">IFERROR(VLOOKUP(C1341,Ingredients!$B$6:$I$206,7,FALSE()),"?")</f>
        <v>kg</v>
      </c>
      <c r="G1341" s="31" t="n">
        <f aca="false">IFERROR(VLOOKUP(C1341,Ingredients!$B$6:$I$206,6,FALSE()),0)</f>
        <v>16.25</v>
      </c>
      <c r="H1341" s="32" t="n">
        <f aca="false">IFERROR(D1341*G1341,0)</f>
        <v>0.585</v>
      </c>
    </row>
    <row r="1342" customFormat="false" ht="15" hidden="false" customHeight="true" outlineLevel="0" collapsed="false">
      <c r="B1342" s="14" t="n">
        <v>237</v>
      </c>
      <c r="C1342" s="11" t="s">
        <v>63</v>
      </c>
      <c r="D1342" s="17" t="n">
        <v>0.3</v>
      </c>
      <c r="E1342" s="11" t="s">
        <v>65</v>
      </c>
      <c r="F1342" s="14" t="str">
        <f aca="false">IFERROR(VLOOKUP(C1342,Ingredients!$B$6:$I$206,7,FALSE()),"?")</f>
        <v>L</v>
      </c>
      <c r="G1342" s="31" t="n">
        <f aca="false">IFERROR(VLOOKUP(C1342,Ingredients!$B$6:$I$206,6,FALSE()),0)</f>
        <v>0.732745961820852</v>
      </c>
      <c r="H1342" s="32" t="n">
        <f aca="false">IFERROR(D1342*G1342,0)</f>
        <v>0.219823788546256</v>
      </c>
    </row>
    <row r="1343" customFormat="false" ht="15" hidden="false" customHeight="true" outlineLevel="0" collapsed="false">
      <c r="B1343" s="14" t="n">
        <v>237</v>
      </c>
      <c r="C1343" s="11" t="s">
        <v>86</v>
      </c>
      <c r="D1343" s="17" t="n">
        <v>30</v>
      </c>
      <c r="E1343" s="11" t="s">
        <v>84</v>
      </c>
      <c r="F1343" s="14" t="str">
        <f aca="false">IFERROR(VLOOKUP(C1343,Ingredients!$B$6:$I$206,7,FALSE()),"?")</f>
        <v>ml</v>
      </c>
      <c r="G1343" s="31" t="n">
        <f aca="false">IFERROR(VLOOKUP(C1343,Ingredients!$B$6:$I$206,6,FALSE()),0)</f>
        <v>0.005</v>
      </c>
      <c r="H1343" s="32" t="n">
        <f aca="false">IFERROR(D1343*G1343,0)</f>
        <v>0.15</v>
      </c>
    </row>
    <row r="1344" customFormat="false" ht="15" hidden="false" customHeight="true" outlineLevel="0" collapsed="false">
      <c r="B1344" s="14" t="n">
        <v>237</v>
      </c>
      <c r="C1344" s="11" t="s">
        <v>138</v>
      </c>
      <c r="D1344" s="17" t="n">
        <v>1</v>
      </c>
      <c r="E1344" s="11" t="s">
        <v>112</v>
      </c>
      <c r="F1344" s="14" t="str">
        <f aca="false">IFERROR(VLOOKUP(C1344,Ingredients!$B$6:$I$206,7,FALSE()),"?")</f>
        <v>unit</v>
      </c>
      <c r="G1344" s="31" t="n">
        <f aca="false">IFERROR(VLOOKUP(C1344,Ingredients!$B$6:$I$206,6,FALSE()),0)</f>
        <v>0.11</v>
      </c>
      <c r="H1344" s="32" t="n">
        <f aca="false">IFERROR(D1344*G1344,0)</f>
        <v>0.11</v>
      </c>
    </row>
    <row r="1345" customFormat="false" ht="15" hidden="false" customHeight="true" outlineLevel="0" collapsed="false">
      <c r="B1345" s="14" t="n">
        <v>237</v>
      </c>
      <c r="C1345" s="11" t="s">
        <v>140</v>
      </c>
      <c r="D1345" s="17" t="n">
        <v>1</v>
      </c>
      <c r="E1345" s="11" t="s">
        <v>112</v>
      </c>
      <c r="F1345" s="14" t="str">
        <f aca="false">IFERROR(VLOOKUP(C1345,Ingredients!$B$6:$I$206,7,FALSE()),"?")</f>
        <v>unit</v>
      </c>
      <c r="G1345" s="31" t="n">
        <f aca="false">IFERROR(VLOOKUP(C1345,Ingredients!$B$6:$I$206,6,FALSE()),0)</f>
        <v>0.03</v>
      </c>
      <c r="H1345" s="32" t="n">
        <f aca="false">IFERROR(D1345*G1345,0)</f>
        <v>0.03</v>
      </c>
    </row>
    <row r="1346" customFormat="false" ht="15" hidden="false" customHeight="true" outlineLevel="0" collapsed="false">
      <c r="B1346" s="14" t="n">
        <v>238</v>
      </c>
      <c r="C1346" s="11" t="s">
        <v>77</v>
      </c>
      <c r="D1346" s="17" t="n">
        <v>0.036</v>
      </c>
      <c r="E1346" s="11" t="s">
        <v>79</v>
      </c>
      <c r="F1346" s="14" t="str">
        <f aca="false">IFERROR(VLOOKUP(C1346,Ingredients!$B$6:$I$206,7,FALSE()),"?")</f>
        <v>kg</v>
      </c>
      <c r="G1346" s="31" t="n">
        <f aca="false">IFERROR(VLOOKUP(C1346,Ingredients!$B$6:$I$206,6,FALSE()),0)</f>
        <v>16.25</v>
      </c>
      <c r="H1346" s="32" t="n">
        <f aca="false">IFERROR(D1346*G1346,0)</f>
        <v>0.585</v>
      </c>
    </row>
    <row r="1347" customFormat="false" ht="15" hidden="false" customHeight="true" outlineLevel="0" collapsed="false">
      <c r="B1347" s="14" t="n">
        <v>238</v>
      </c>
      <c r="C1347" s="11" t="s">
        <v>63</v>
      </c>
      <c r="D1347" s="17" t="n">
        <v>0.18</v>
      </c>
      <c r="E1347" s="11" t="s">
        <v>65</v>
      </c>
      <c r="F1347" s="14" t="str">
        <f aca="false">IFERROR(VLOOKUP(C1347,Ingredients!$B$6:$I$206,7,FALSE()),"?")</f>
        <v>L</v>
      </c>
      <c r="G1347" s="31" t="n">
        <f aca="false">IFERROR(VLOOKUP(C1347,Ingredients!$B$6:$I$206,6,FALSE()),0)</f>
        <v>0.732745961820852</v>
      </c>
      <c r="H1347" s="32" t="n">
        <f aca="false">IFERROR(D1347*G1347,0)</f>
        <v>0.131894273127753</v>
      </c>
    </row>
    <row r="1348" customFormat="false" ht="15" hidden="false" customHeight="true" outlineLevel="0" collapsed="false">
      <c r="B1348" s="14" t="n">
        <v>238</v>
      </c>
      <c r="C1348" s="11" t="s">
        <v>86</v>
      </c>
      <c r="D1348" s="17" t="n">
        <v>30</v>
      </c>
      <c r="E1348" s="11" t="s">
        <v>84</v>
      </c>
      <c r="F1348" s="14" t="str">
        <f aca="false">IFERROR(VLOOKUP(C1348,Ingredients!$B$6:$I$206,7,FALSE()),"?")</f>
        <v>ml</v>
      </c>
      <c r="G1348" s="31" t="n">
        <f aca="false">IFERROR(VLOOKUP(C1348,Ingredients!$B$6:$I$206,6,FALSE()),0)</f>
        <v>0.005</v>
      </c>
      <c r="H1348" s="32" t="n">
        <f aca="false">IFERROR(D1348*G1348,0)</f>
        <v>0.15</v>
      </c>
    </row>
    <row r="1349" customFormat="false" ht="15" hidden="false" customHeight="true" outlineLevel="0" collapsed="false">
      <c r="B1349" s="14" t="n">
        <v>238</v>
      </c>
      <c r="C1349" s="11" t="s">
        <v>134</v>
      </c>
      <c r="D1349" s="17" t="n">
        <v>1</v>
      </c>
      <c r="E1349" s="11" t="s">
        <v>112</v>
      </c>
      <c r="F1349" s="14" t="str">
        <f aca="false">IFERROR(VLOOKUP(C1349,Ingredients!$B$6:$I$206,7,FALSE()),"?")</f>
        <v>unit</v>
      </c>
      <c r="G1349" s="31" t="n">
        <f aca="false">IFERROR(VLOOKUP(C1349,Ingredients!$B$6:$I$206,6,FALSE()),0)</f>
        <v>0.09</v>
      </c>
      <c r="H1349" s="32" t="n">
        <f aca="false">IFERROR(D1349*G1349,0)</f>
        <v>0.09</v>
      </c>
    </row>
    <row r="1350" customFormat="false" ht="15" hidden="false" customHeight="true" outlineLevel="0" collapsed="false">
      <c r="B1350" s="14" t="n">
        <v>238</v>
      </c>
      <c r="C1350" s="11" t="s">
        <v>136</v>
      </c>
      <c r="D1350" s="17" t="n">
        <v>1</v>
      </c>
      <c r="E1350" s="11" t="s">
        <v>112</v>
      </c>
      <c r="F1350" s="14" t="str">
        <f aca="false">IFERROR(VLOOKUP(C1350,Ingredients!$B$6:$I$206,7,FALSE()),"?")</f>
        <v>unit</v>
      </c>
      <c r="G1350" s="31" t="n">
        <f aca="false">IFERROR(VLOOKUP(C1350,Ingredients!$B$6:$I$206,6,FALSE()),0)</f>
        <v>0.03</v>
      </c>
      <c r="H1350" s="32" t="n">
        <f aca="false">IFERROR(D1350*G1350,0)</f>
        <v>0.03</v>
      </c>
    </row>
    <row r="1351" customFormat="false" ht="15" hidden="false" customHeight="true" outlineLevel="0" collapsed="false">
      <c r="B1351" s="14" t="n">
        <v>239</v>
      </c>
      <c r="C1351" s="11" t="s">
        <v>77</v>
      </c>
      <c r="D1351" s="17" t="n">
        <v>0.072</v>
      </c>
      <c r="E1351" s="11" t="s">
        <v>79</v>
      </c>
      <c r="F1351" s="14" t="str">
        <f aca="false">IFERROR(VLOOKUP(C1351,Ingredients!$B$6:$I$206,7,FALSE()),"?")</f>
        <v>kg</v>
      </c>
      <c r="G1351" s="31" t="n">
        <f aca="false">IFERROR(VLOOKUP(C1351,Ingredients!$B$6:$I$206,6,FALSE()),0)</f>
        <v>16.25</v>
      </c>
      <c r="H1351" s="32" t="n">
        <f aca="false">IFERROR(D1351*G1351,0)</f>
        <v>1.17</v>
      </c>
    </row>
    <row r="1352" customFormat="false" ht="15" hidden="false" customHeight="true" outlineLevel="0" collapsed="false">
      <c r="B1352" s="14" t="n">
        <v>239</v>
      </c>
      <c r="C1352" s="11" t="s">
        <v>63</v>
      </c>
      <c r="D1352" s="17" t="n">
        <v>0.36</v>
      </c>
      <c r="E1352" s="11" t="s">
        <v>65</v>
      </c>
      <c r="F1352" s="14" t="str">
        <f aca="false">IFERROR(VLOOKUP(C1352,Ingredients!$B$6:$I$206,7,FALSE()),"?")</f>
        <v>L</v>
      </c>
      <c r="G1352" s="31" t="n">
        <f aca="false">IFERROR(VLOOKUP(C1352,Ingredients!$B$6:$I$206,6,FALSE()),0)</f>
        <v>0.732745961820852</v>
      </c>
      <c r="H1352" s="32" t="n">
        <f aca="false">IFERROR(D1352*G1352,0)</f>
        <v>0.263788546255507</v>
      </c>
    </row>
    <row r="1353" customFormat="false" ht="15" hidden="false" customHeight="true" outlineLevel="0" collapsed="false">
      <c r="B1353" s="14" t="n">
        <v>239</v>
      </c>
      <c r="C1353" s="11" t="s">
        <v>86</v>
      </c>
      <c r="D1353" s="17" t="n">
        <v>30</v>
      </c>
      <c r="E1353" s="11" t="s">
        <v>84</v>
      </c>
      <c r="F1353" s="14" t="str">
        <f aca="false">IFERROR(VLOOKUP(C1353,Ingredients!$B$6:$I$206,7,FALSE()),"?")</f>
        <v>ml</v>
      </c>
      <c r="G1353" s="31" t="n">
        <f aca="false">IFERROR(VLOOKUP(C1353,Ingredients!$B$6:$I$206,6,FALSE()),0)</f>
        <v>0.005</v>
      </c>
      <c r="H1353" s="32" t="n">
        <f aca="false">IFERROR(D1353*G1353,0)</f>
        <v>0.15</v>
      </c>
    </row>
    <row r="1354" customFormat="false" ht="15" hidden="false" customHeight="true" outlineLevel="0" collapsed="false">
      <c r="B1354" s="14" t="n">
        <v>239</v>
      </c>
      <c r="C1354" s="11" t="s">
        <v>142</v>
      </c>
      <c r="D1354" s="17" t="n">
        <v>1</v>
      </c>
      <c r="E1354" s="11" t="s">
        <v>112</v>
      </c>
      <c r="F1354" s="14" t="str">
        <f aca="false">IFERROR(VLOOKUP(C1354,Ingredients!$B$6:$I$206,7,FALSE()),"?")</f>
        <v>unit</v>
      </c>
      <c r="G1354" s="31" t="n">
        <f aca="false">IFERROR(VLOOKUP(C1354,Ingredients!$B$6:$I$206,6,FALSE()),0)</f>
        <v>0.14</v>
      </c>
      <c r="H1354" s="32" t="n">
        <f aca="false">IFERROR(D1354*G1354,0)</f>
        <v>0.14</v>
      </c>
    </row>
    <row r="1355" customFormat="false" ht="15" hidden="false" customHeight="true" outlineLevel="0" collapsed="false">
      <c r="B1355" s="14" t="n">
        <v>239</v>
      </c>
      <c r="C1355" s="11" t="s">
        <v>144</v>
      </c>
      <c r="D1355" s="17" t="n">
        <v>1</v>
      </c>
      <c r="E1355" s="11" t="s">
        <v>112</v>
      </c>
      <c r="F1355" s="14" t="str">
        <f aca="false">IFERROR(VLOOKUP(C1355,Ingredients!$B$6:$I$206,7,FALSE()),"?")</f>
        <v>unit</v>
      </c>
      <c r="G1355" s="31" t="n">
        <f aca="false">IFERROR(VLOOKUP(C1355,Ingredients!$B$6:$I$206,6,FALSE()),0)</f>
        <v>0.03</v>
      </c>
      <c r="H1355" s="32" t="n">
        <f aca="false">IFERROR(D1355*G1355,0)</f>
        <v>0.03</v>
      </c>
    </row>
    <row r="1356" customFormat="false" ht="15" hidden="false" customHeight="true" outlineLevel="0" collapsed="false">
      <c r="B1356" s="14" t="n">
        <v>240</v>
      </c>
      <c r="C1356" s="11" t="s">
        <v>248</v>
      </c>
      <c r="D1356" s="17" t="n">
        <v>0.06</v>
      </c>
      <c r="E1356" s="11" t="s">
        <v>79</v>
      </c>
      <c r="F1356" s="14" t="str">
        <f aca="false">IFERROR(VLOOKUP(C1356,Ingredients!$B$6:$I$206,7,FALSE()),"?")</f>
        <v>For milkshakes (60g per drink)</v>
      </c>
      <c r="G1356" s="31" t="n">
        <f aca="false">IFERROR(VLOOKUP(C1356,Ingredients!$B$6:$I$206,6,FALSE()),0)</f>
        <v>8.5</v>
      </c>
      <c r="H1356" s="32" t="n">
        <f aca="false">IFERROR(D1356*G1356,0)</f>
        <v>0.51</v>
      </c>
    </row>
    <row r="1357" customFormat="false" ht="15" hidden="false" customHeight="true" outlineLevel="0" collapsed="false">
      <c r="B1357" s="14" t="n">
        <v>240</v>
      </c>
      <c r="C1357" s="11" t="s">
        <v>63</v>
      </c>
      <c r="D1357" s="17" t="n">
        <v>0.15</v>
      </c>
      <c r="E1357" s="11" t="s">
        <v>65</v>
      </c>
      <c r="F1357" s="14" t="str">
        <f aca="false">IFERROR(VLOOKUP(C1357,Ingredients!$B$6:$I$206,7,FALSE()),"?")</f>
        <v>L</v>
      </c>
      <c r="G1357" s="31" t="n">
        <f aca="false">IFERROR(VLOOKUP(C1357,Ingredients!$B$6:$I$206,6,FALSE()),0)</f>
        <v>0.732745961820852</v>
      </c>
      <c r="H1357" s="32" t="n">
        <f aca="false">IFERROR(D1357*G1357,0)</f>
        <v>0.109911894273128</v>
      </c>
    </row>
    <row r="1358" customFormat="false" ht="15" hidden="false" customHeight="true" outlineLevel="0" collapsed="false">
      <c r="B1358" s="14" t="n">
        <v>240</v>
      </c>
      <c r="C1358" s="11" t="s">
        <v>87</v>
      </c>
      <c r="D1358" s="17" t="n">
        <v>30</v>
      </c>
      <c r="E1358" s="11" t="s">
        <v>84</v>
      </c>
      <c r="F1358" s="14" t="str">
        <f aca="false">IFERROR(VLOOKUP(C1358,Ingredients!$B$6:$I$206,7,FALSE()),"?")</f>
        <v>ml</v>
      </c>
      <c r="G1358" s="31" t="n">
        <f aca="false">IFERROR(VLOOKUP(C1358,Ingredients!$B$6:$I$206,6,FALSE()),0)</f>
        <v>0.005</v>
      </c>
      <c r="H1358" s="32" t="n">
        <f aca="false">IFERROR(D1358*G1358,0)</f>
        <v>0.15</v>
      </c>
    </row>
    <row r="1359" customFormat="false" ht="15" hidden="false" customHeight="true" outlineLevel="0" collapsed="false">
      <c r="B1359" s="14" t="n">
        <v>240</v>
      </c>
      <c r="C1359" s="11" t="s">
        <v>142</v>
      </c>
      <c r="D1359" s="17" t="n">
        <v>1</v>
      </c>
      <c r="E1359" s="11" t="s">
        <v>112</v>
      </c>
      <c r="F1359" s="14" t="str">
        <f aca="false">IFERROR(VLOOKUP(C1359,Ingredients!$B$6:$I$206,7,FALSE()),"?")</f>
        <v>unit</v>
      </c>
      <c r="G1359" s="31" t="n">
        <f aca="false">IFERROR(VLOOKUP(C1359,Ingredients!$B$6:$I$206,6,FALSE()),0)</f>
        <v>0.14</v>
      </c>
      <c r="H1359" s="32" t="n">
        <f aca="false">IFERROR(D1359*G1359,0)</f>
        <v>0.14</v>
      </c>
    </row>
    <row r="1360" customFormat="false" ht="15" hidden="false" customHeight="true" outlineLevel="0" collapsed="false">
      <c r="B1360" s="14" t="n">
        <v>240</v>
      </c>
      <c r="C1360" s="11" t="s">
        <v>144</v>
      </c>
      <c r="D1360" s="17" t="n">
        <v>1</v>
      </c>
      <c r="E1360" s="11" t="s">
        <v>112</v>
      </c>
      <c r="F1360" s="14" t="str">
        <f aca="false">IFERROR(VLOOKUP(C1360,Ingredients!$B$6:$I$206,7,FALSE()),"?")</f>
        <v>unit</v>
      </c>
      <c r="G1360" s="31" t="n">
        <f aca="false">IFERROR(VLOOKUP(C1360,Ingredients!$B$6:$I$206,6,FALSE()),0)</f>
        <v>0.03</v>
      </c>
      <c r="H1360" s="32" t="n">
        <f aca="false">IFERROR(D1360*G1360,0)</f>
        <v>0.03</v>
      </c>
    </row>
    <row r="1361" customFormat="false" ht="15" hidden="false" customHeight="true" outlineLevel="0" collapsed="false">
      <c r="B1361" s="14" t="n">
        <v>241</v>
      </c>
      <c r="C1361" s="11" t="s">
        <v>248</v>
      </c>
      <c r="D1361" s="17" t="n">
        <v>0.06</v>
      </c>
      <c r="E1361" s="11" t="s">
        <v>79</v>
      </c>
      <c r="F1361" s="14" t="str">
        <f aca="false">IFERROR(VLOOKUP(C1361,Ingredients!$B$6:$I$206,7,FALSE()),"?")</f>
        <v>For milkshakes (60g per drink)</v>
      </c>
      <c r="G1361" s="31" t="n">
        <f aca="false">IFERROR(VLOOKUP(C1361,Ingredients!$B$6:$I$206,6,FALSE()),0)</f>
        <v>8.5</v>
      </c>
      <c r="H1361" s="32" t="n">
        <f aca="false">IFERROR(D1361*G1361,0)</f>
        <v>0.51</v>
      </c>
    </row>
    <row r="1362" customFormat="false" ht="15" hidden="false" customHeight="true" outlineLevel="0" collapsed="false">
      <c r="B1362" s="14" t="n">
        <v>241</v>
      </c>
      <c r="C1362" s="11" t="s">
        <v>63</v>
      </c>
      <c r="D1362" s="17" t="n">
        <v>0.15</v>
      </c>
      <c r="E1362" s="11" t="s">
        <v>65</v>
      </c>
      <c r="F1362" s="14" t="str">
        <f aca="false">IFERROR(VLOOKUP(C1362,Ingredients!$B$6:$I$206,7,FALSE()),"?")</f>
        <v>L</v>
      </c>
      <c r="G1362" s="31" t="n">
        <f aca="false">IFERROR(VLOOKUP(C1362,Ingredients!$B$6:$I$206,6,FALSE()),0)</f>
        <v>0.732745961820852</v>
      </c>
      <c r="H1362" s="32" t="n">
        <f aca="false">IFERROR(D1362*G1362,0)</f>
        <v>0.109911894273128</v>
      </c>
    </row>
    <row r="1363" customFormat="false" ht="15" hidden="false" customHeight="true" outlineLevel="0" collapsed="false">
      <c r="B1363" s="14" t="n">
        <v>241</v>
      </c>
      <c r="C1363" s="11" t="s">
        <v>87</v>
      </c>
      <c r="D1363" s="17" t="n">
        <v>30</v>
      </c>
      <c r="E1363" s="11" t="s">
        <v>84</v>
      </c>
      <c r="F1363" s="14" t="str">
        <f aca="false">IFERROR(VLOOKUP(C1363,Ingredients!$B$6:$I$206,7,FALSE()),"?")</f>
        <v>ml</v>
      </c>
      <c r="G1363" s="31" t="n">
        <f aca="false">IFERROR(VLOOKUP(C1363,Ingredients!$B$6:$I$206,6,FALSE()),0)</f>
        <v>0.005</v>
      </c>
      <c r="H1363" s="32" t="n">
        <f aca="false">IFERROR(D1363*G1363,0)</f>
        <v>0.15</v>
      </c>
    </row>
    <row r="1364" customFormat="false" ht="15" hidden="false" customHeight="true" outlineLevel="0" collapsed="false">
      <c r="B1364" s="14" t="n">
        <v>241</v>
      </c>
      <c r="C1364" s="11" t="s">
        <v>138</v>
      </c>
      <c r="D1364" s="17" t="n">
        <v>1</v>
      </c>
      <c r="E1364" s="11" t="s">
        <v>112</v>
      </c>
      <c r="F1364" s="14" t="str">
        <f aca="false">IFERROR(VLOOKUP(C1364,Ingredients!$B$6:$I$206,7,FALSE()),"?")</f>
        <v>unit</v>
      </c>
      <c r="G1364" s="31" t="n">
        <f aca="false">IFERROR(VLOOKUP(C1364,Ingredients!$B$6:$I$206,6,FALSE()),0)</f>
        <v>0.11</v>
      </c>
      <c r="H1364" s="32" t="n">
        <f aca="false">IFERROR(D1364*G1364,0)</f>
        <v>0.11</v>
      </c>
    </row>
    <row r="1365" customFormat="false" ht="15" hidden="false" customHeight="true" outlineLevel="0" collapsed="false">
      <c r="B1365" s="14" t="n">
        <v>241</v>
      </c>
      <c r="C1365" s="11" t="s">
        <v>140</v>
      </c>
      <c r="D1365" s="17" t="n">
        <v>1</v>
      </c>
      <c r="E1365" s="11" t="s">
        <v>112</v>
      </c>
      <c r="F1365" s="14" t="str">
        <f aca="false">IFERROR(VLOOKUP(C1365,Ingredients!$B$6:$I$206,7,FALSE()),"?")</f>
        <v>unit</v>
      </c>
      <c r="G1365" s="31" t="n">
        <f aca="false">IFERROR(VLOOKUP(C1365,Ingredients!$B$6:$I$206,6,FALSE()),0)</f>
        <v>0.03</v>
      </c>
      <c r="H1365" s="32" t="n">
        <f aca="false">IFERROR(D1365*G1365,0)</f>
        <v>0.03</v>
      </c>
    </row>
    <row r="1366" customFormat="false" ht="15" hidden="false" customHeight="true" outlineLevel="0" collapsed="false">
      <c r="B1366" s="14" t="n">
        <v>242</v>
      </c>
      <c r="C1366" s="11" t="s">
        <v>77</v>
      </c>
      <c r="D1366" s="17" t="n">
        <v>0.018</v>
      </c>
      <c r="E1366" s="11" t="s">
        <v>79</v>
      </c>
      <c r="F1366" s="14" t="str">
        <f aca="false">IFERROR(VLOOKUP(C1366,Ingredients!$B$6:$I$206,7,FALSE()),"?")</f>
        <v>kg</v>
      </c>
      <c r="G1366" s="31" t="n">
        <f aca="false">IFERROR(VLOOKUP(C1366,Ingredients!$B$6:$I$206,6,FALSE()),0)</f>
        <v>16.25</v>
      </c>
      <c r="H1366" s="32" t="n">
        <f aca="false">IFERROR(D1366*G1366,0)</f>
        <v>0.2925</v>
      </c>
    </row>
    <row r="1367" customFormat="false" ht="15" hidden="false" customHeight="true" outlineLevel="0" collapsed="false">
      <c r="B1367" s="14" t="n">
        <v>242</v>
      </c>
      <c r="C1367" s="11" t="s">
        <v>134</v>
      </c>
      <c r="D1367" s="17" t="n">
        <v>1</v>
      </c>
      <c r="E1367" s="11" t="s">
        <v>112</v>
      </c>
      <c r="F1367" s="14" t="str">
        <f aca="false">IFERROR(VLOOKUP(C1367,Ingredients!$B$6:$I$206,7,FALSE()),"?")</f>
        <v>unit</v>
      </c>
      <c r="G1367" s="31" t="n">
        <f aca="false">IFERROR(VLOOKUP(C1367,Ingredients!$B$6:$I$206,6,FALSE()),0)</f>
        <v>0.09</v>
      </c>
      <c r="H1367" s="32" t="n">
        <f aca="false">IFERROR(D1367*G1367,0)</f>
        <v>0.09</v>
      </c>
    </row>
    <row r="1368" customFormat="false" ht="15" hidden="false" customHeight="true" outlineLevel="0" collapsed="false">
      <c r="B1368" s="14" t="n">
        <v>242</v>
      </c>
      <c r="C1368" s="11" t="s">
        <v>136</v>
      </c>
      <c r="D1368" s="17" t="n">
        <v>1</v>
      </c>
      <c r="E1368" s="11" t="s">
        <v>112</v>
      </c>
      <c r="F1368" s="14" t="str">
        <f aca="false">IFERROR(VLOOKUP(C1368,Ingredients!$B$6:$I$206,7,FALSE()),"?")</f>
        <v>unit</v>
      </c>
      <c r="G1368" s="31" t="n">
        <f aca="false">IFERROR(VLOOKUP(C1368,Ingredients!$B$6:$I$206,6,FALSE()),0)</f>
        <v>0.03</v>
      </c>
      <c r="H1368" s="32" t="n">
        <f aca="false">IFERROR(D1368*G1368,0)</f>
        <v>0.03</v>
      </c>
    </row>
    <row r="1369" customFormat="false" ht="15" hidden="false" customHeight="true" outlineLevel="0" collapsed="false">
      <c r="B1369" s="14" t="n">
        <v>243</v>
      </c>
      <c r="C1369" s="11" t="s">
        <v>77</v>
      </c>
      <c r="D1369" s="17" t="n">
        <v>0.018</v>
      </c>
      <c r="E1369" s="11" t="s">
        <v>79</v>
      </c>
      <c r="F1369" s="14" t="str">
        <f aca="false">IFERROR(VLOOKUP(C1369,Ingredients!$B$6:$I$206,7,FALSE()),"?")</f>
        <v>kg</v>
      </c>
      <c r="G1369" s="31" t="n">
        <f aca="false">IFERROR(VLOOKUP(C1369,Ingredients!$B$6:$I$206,6,FALSE()),0)</f>
        <v>16.25</v>
      </c>
      <c r="H1369" s="32" t="n">
        <f aca="false">IFERROR(D1369*G1369,0)</f>
        <v>0.2925</v>
      </c>
    </row>
    <row r="1370" customFormat="false" ht="15" hidden="false" customHeight="true" outlineLevel="0" collapsed="false">
      <c r="B1370" s="14" t="n">
        <v>243</v>
      </c>
      <c r="C1370" s="11" t="s">
        <v>75</v>
      </c>
      <c r="D1370" s="17" t="n">
        <v>0.02</v>
      </c>
      <c r="E1370" s="11" t="s">
        <v>65</v>
      </c>
      <c r="F1370" s="14" t="str">
        <f aca="false">IFERROR(VLOOKUP(C1370,Ingredients!$B$6:$I$206,7,FALSE()),"?")</f>
        <v>L</v>
      </c>
      <c r="G1370" s="31" t="n">
        <f aca="false">IFERROR(VLOOKUP(C1370,Ingredients!$B$6:$I$206,6,FALSE()),0)</f>
        <v>6.8</v>
      </c>
      <c r="H1370" s="32" t="n">
        <f aca="false">IFERROR(D1370*G1370,0)</f>
        <v>0.136</v>
      </c>
    </row>
    <row r="1371" customFormat="false" ht="15" hidden="false" customHeight="true" outlineLevel="0" collapsed="false">
      <c r="B1371" s="14" t="n">
        <v>243</v>
      </c>
      <c r="C1371" s="11" t="s">
        <v>134</v>
      </c>
      <c r="D1371" s="17" t="n">
        <v>1</v>
      </c>
      <c r="E1371" s="11" t="s">
        <v>112</v>
      </c>
      <c r="F1371" s="14" t="str">
        <f aca="false">IFERROR(VLOOKUP(C1371,Ingredients!$B$6:$I$206,7,FALSE()),"?")</f>
        <v>unit</v>
      </c>
      <c r="G1371" s="31" t="n">
        <f aca="false">IFERROR(VLOOKUP(C1371,Ingredients!$B$6:$I$206,6,FALSE()),0)</f>
        <v>0.09</v>
      </c>
      <c r="H1371" s="32" t="n">
        <f aca="false">IFERROR(D1371*G1371,0)</f>
        <v>0.09</v>
      </c>
    </row>
    <row r="1372" customFormat="false" ht="15" hidden="false" customHeight="true" outlineLevel="0" collapsed="false">
      <c r="B1372" s="14" t="n">
        <v>243</v>
      </c>
      <c r="C1372" s="11" t="s">
        <v>136</v>
      </c>
      <c r="D1372" s="17" t="n">
        <v>1</v>
      </c>
      <c r="E1372" s="11" t="s">
        <v>112</v>
      </c>
      <c r="F1372" s="14" t="str">
        <f aca="false">IFERROR(VLOOKUP(C1372,Ingredients!$B$6:$I$206,7,FALSE()),"?")</f>
        <v>unit</v>
      </c>
      <c r="G1372" s="31" t="n">
        <f aca="false">IFERROR(VLOOKUP(C1372,Ingredients!$B$6:$I$206,6,FALSE()),0)</f>
        <v>0.03</v>
      </c>
      <c r="H1372" s="32" t="n">
        <f aca="false">IFERROR(D1372*G1372,0)</f>
        <v>0.03</v>
      </c>
    </row>
    <row r="1373" customFormat="false" ht="15" hidden="false" customHeight="true" outlineLevel="0" collapsed="false">
      <c r="B1373" s="14" t="n">
        <v>244</v>
      </c>
      <c r="C1373" s="11" t="s">
        <v>77</v>
      </c>
      <c r="D1373" s="17" t="n">
        <v>0.018</v>
      </c>
      <c r="E1373" s="11" t="s">
        <v>79</v>
      </c>
      <c r="F1373" s="14" t="str">
        <f aca="false">IFERROR(VLOOKUP(C1373,Ingredients!$B$6:$I$206,7,FALSE()),"?")</f>
        <v>kg</v>
      </c>
      <c r="G1373" s="31" t="n">
        <f aca="false">IFERROR(VLOOKUP(C1373,Ingredients!$B$6:$I$206,6,FALSE()),0)</f>
        <v>16.25</v>
      </c>
      <c r="H1373" s="32" t="n">
        <f aca="false">IFERROR(D1373*G1373,0)</f>
        <v>0.2925</v>
      </c>
    </row>
    <row r="1374" customFormat="false" ht="15" hidden="false" customHeight="true" outlineLevel="0" collapsed="false">
      <c r="B1374" s="14" t="n">
        <v>244</v>
      </c>
      <c r="C1374" s="11" t="s">
        <v>63</v>
      </c>
      <c r="D1374" s="17" t="n">
        <v>0.15</v>
      </c>
      <c r="E1374" s="11" t="s">
        <v>65</v>
      </c>
      <c r="F1374" s="14" t="str">
        <f aca="false">IFERROR(VLOOKUP(C1374,Ingredients!$B$6:$I$206,7,FALSE()),"?")</f>
        <v>L</v>
      </c>
      <c r="G1374" s="31" t="n">
        <f aca="false">IFERROR(VLOOKUP(C1374,Ingredients!$B$6:$I$206,6,FALSE()),0)</f>
        <v>0.732745961820852</v>
      </c>
      <c r="H1374" s="32" t="n">
        <f aca="false">IFERROR(D1374*G1374,0)</f>
        <v>0.109911894273128</v>
      </c>
    </row>
    <row r="1375" customFormat="false" ht="15" hidden="false" customHeight="true" outlineLevel="0" collapsed="false">
      <c r="B1375" s="14" t="n">
        <v>244</v>
      </c>
      <c r="C1375" s="11" t="s">
        <v>134</v>
      </c>
      <c r="D1375" s="17" t="n">
        <v>1</v>
      </c>
      <c r="E1375" s="11" t="s">
        <v>112</v>
      </c>
      <c r="F1375" s="14" t="str">
        <f aca="false">IFERROR(VLOOKUP(C1375,Ingredients!$B$6:$I$206,7,FALSE()),"?")</f>
        <v>unit</v>
      </c>
      <c r="G1375" s="31" t="n">
        <f aca="false">IFERROR(VLOOKUP(C1375,Ingredients!$B$6:$I$206,6,FALSE()),0)</f>
        <v>0.09</v>
      </c>
      <c r="H1375" s="32" t="n">
        <f aca="false">IFERROR(D1375*G1375,0)</f>
        <v>0.09</v>
      </c>
    </row>
    <row r="1376" customFormat="false" ht="15" hidden="false" customHeight="true" outlineLevel="0" collapsed="false">
      <c r="B1376" s="14" t="n">
        <v>244</v>
      </c>
      <c r="C1376" s="11" t="s">
        <v>136</v>
      </c>
      <c r="D1376" s="17" t="n">
        <v>1</v>
      </c>
      <c r="E1376" s="11" t="s">
        <v>112</v>
      </c>
      <c r="F1376" s="14" t="str">
        <f aca="false">IFERROR(VLOOKUP(C1376,Ingredients!$B$6:$I$206,7,FALSE()),"?")</f>
        <v>unit</v>
      </c>
      <c r="G1376" s="31" t="n">
        <f aca="false">IFERROR(VLOOKUP(C1376,Ingredients!$B$6:$I$206,6,FALSE()),0)</f>
        <v>0.03</v>
      </c>
      <c r="H1376" s="32" t="n">
        <f aca="false">IFERROR(D1376*G1376,0)</f>
        <v>0.03</v>
      </c>
    </row>
    <row r="1377" customFormat="false" ht="15" hidden="false" customHeight="true" outlineLevel="0" collapsed="false">
      <c r="B1377" s="14" t="n">
        <v>245</v>
      </c>
      <c r="C1377" s="11" t="s">
        <v>110</v>
      </c>
      <c r="D1377" s="17" t="n">
        <v>1</v>
      </c>
      <c r="E1377" s="11" t="s">
        <v>112</v>
      </c>
      <c r="F1377" s="14" t="str">
        <f aca="false">IFERROR(VLOOKUP(C1377,Ingredients!$B$6:$I$206,7,FALSE()),"?")</f>
        <v>unit</v>
      </c>
      <c r="G1377" s="31" t="n">
        <f aca="false">IFERROR(VLOOKUP(C1377,Ingredients!$B$6:$I$206,6,FALSE()),0)</f>
        <v>0.059875</v>
      </c>
      <c r="H1377" s="32" t="n">
        <f aca="false">IFERROR(D1377*G1377,0)</f>
        <v>0.059875</v>
      </c>
    </row>
    <row r="1378" customFormat="false" ht="15" hidden="false" customHeight="true" outlineLevel="0" collapsed="false">
      <c r="B1378" s="14" t="n">
        <v>245</v>
      </c>
      <c r="C1378" s="11" t="s">
        <v>138</v>
      </c>
      <c r="D1378" s="17" t="n">
        <v>1</v>
      </c>
      <c r="E1378" s="11" t="s">
        <v>112</v>
      </c>
      <c r="F1378" s="14" t="str">
        <f aca="false">IFERROR(VLOOKUP(C1378,Ingredients!$B$6:$I$206,7,FALSE()),"?")</f>
        <v>unit</v>
      </c>
      <c r="G1378" s="31" t="n">
        <f aca="false">IFERROR(VLOOKUP(C1378,Ingredients!$B$6:$I$206,6,FALSE()),0)</f>
        <v>0.11</v>
      </c>
      <c r="H1378" s="32" t="n">
        <f aca="false">IFERROR(D1378*G1378,0)</f>
        <v>0.11</v>
      </c>
    </row>
    <row r="1379" customFormat="false" ht="15" hidden="false" customHeight="true" outlineLevel="0" collapsed="false">
      <c r="B1379" s="14" t="n">
        <v>245</v>
      </c>
      <c r="C1379" s="11" t="s">
        <v>140</v>
      </c>
      <c r="D1379" s="17" t="n">
        <v>1</v>
      </c>
      <c r="E1379" s="11" t="s">
        <v>112</v>
      </c>
      <c r="F1379" s="14" t="str">
        <f aca="false">IFERROR(VLOOKUP(C1379,Ingredients!$B$6:$I$206,7,FALSE()),"?")</f>
        <v>unit</v>
      </c>
      <c r="G1379" s="31" t="n">
        <f aca="false">IFERROR(VLOOKUP(C1379,Ingredients!$B$6:$I$206,6,FALSE()),0)</f>
        <v>0.03</v>
      </c>
      <c r="H1379" s="32" t="n">
        <f aca="false">IFERROR(D1379*G1379,0)</f>
        <v>0.03</v>
      </c>
    </row>
    <row r="1380" customFormat="false" ht="15" hidden="false" customHeight="true" outlineLevel="0" collapsed="false">
      <c r="B1380" s="14" t="n">
        <v>249</v>
      </c>
      <c r="C1380" s="11" t="s">
        <v>110</v>
      </c>
      <c r="D1380" s="17" t="n">
        <v>1</v>
      </c>
      <c r="E1380" s="11" t="s">
        <v>112</v>
      </c>
      <c r="F1380" s="14" t="str">
        <f aca="false">IFERROR(VLOOKUP(C1380,Ingredients!$B$6:$I$206,7,FALSE()),"?")</f>
        <v>unit</v>
      </c>
      <c r="G1380" s="31" t="n">
        <f aca="false">IFERROR(VLOOKUP(C1380,Ingredients!$B$6:$I$206,6,FALSE()),0)</f>
        <v>0.059875</v>
      </c>
      <c r="H1380" s="32" t="n">
        <f aca="false">IFERROR(D1380*G1380,0)</f>
        <v>0.059875</v>
      </c>
    </row>
    <row r="1381" customFormat="false" ht="15" hidden="false" customHeight="true" outlineLevel="0" collapsed="false">
      <c r="B1381" s="14" t="n">
        <v>249</v>
      </c>
      <c r="C1381" s="11" t="s">
        <v>138</v>
      </c>
      <c r="D1381" s="17" t="n">
        <v>1</v>
      </c>
      <c r="E1381" s="11" t="s">
        <v>112</v>
      </c>
      <c r="F1381" s="14" t="str">
        <f aca="false">IFERROR(VLOOKUP(C1381,Ingredients!$B$6:$I$206,7,FALSE()),"?")</f>
        <v>unit</v>
      </c>
      <c r="G1381" s="31" t="n">
        <f aca="false">IFERROR(VLOOKUP(C1381,Ingredients!$B$6:$I$206,6,FALSE()),0)</f>
        <v>0.11</v>
      </c>
      <c r="H1381" s="32" t="n">
        <f aca="false">IFERROR(D1381*G1381,0)</f>
        <v>0.11</v>
      </c>
    </row>
    <row r="1382" customFormat="false" ht="15" hidden="false" customHeight="true" outlineLevel="0" collapsed="false">
      <c r="B1382" s="14" t="n">
        <v>249</v>
      </c>
      <c r="C1382" s="11" t="s">
        <v>140</v>
      </c>
      <c r="D1382" s="17" t="n">
        <v>1</v>
      </c>
      <c r="E1382" s="11" t="s">
        <v>112</v>
      </c>
      <c r="F1382" s="14" t="str">
        <f aca="false">IFERROR(VLOOKUP(C1382,Ingredients!$B$6:$I$206,7,FALSE()),"?")</f>
        <v>unit</v>
      </c>
      <c r="G1382" s="31" t="n">
        <f aca="false">IFERROR(VLOOKUP(C1382,Ingredients!$B$6:$I$206,6,FALSE()),0)</f>
        <v>0.03</v>
      </c>
      <c r="H1382" s="32" t="n">
        <f aca="false">IFERROR(D1382*G1382,0)</f>
        <v>0.03</v>
      </c>
    </row>
    <row r="1383" customFormat="false" ht="15" hidden="false" customHeight="true" outlineLevel="0" collapsed="false">
      <c r="B1383" s="14" t="n">
        <v>250</v>
      </c>
      <c r="C1383" s="11" t="s">
        <v>63</v>
      </c>
      <c r="D1383" s="17" t="n">
        <v>0.2</v>
      </c>
      <c r="E1383" s="11" t="s">
        <v>65</v>
      </c>
      <c r="F1383" s="14" t="str">
        <f aca="false">IFERROR(VLOOKUP(C1383,Ingredients!$B$6:$I$206,7,FALSE()),"?")</f>
        <v>L</v>
      </c>
      <c r="G1383" s="31" t="n">
        <f aca="false">IFERROR(VLOOKUP(C1383,Ingredients!$B$6:$I$206,6,FALSE()),0)</f>
        <v>0.732745961820852</v>
      </c>
      <c r="H1383" s="32" t="n">
        <f aca="false">IFERROR(D1383*G1383,0)</f>
        <v>0.14654919236417</v>
      </c>
    </row>
    <row r="1384" customFormat="false" ht="15" hidden="false" customHeight="true" outlineLevel="0" collapsed="false">
      <c r="B1384" s="14" t="n">
        <v>250</v>
      </c>
      <c r="C1384" s="11" t="s">
        <v>92</v>
      </c>
      <c r="D1384" s="17" t="n">
        <v>30</v>
      </c>
      <c r="E1384" s="11" t="s">
        <v>84</v>
      </c>
      <c r="F1384" s="14" t="str">
        <f aca="false">IFERROR(VLOOKUP(C1384,Ingredients!$B$6:$I$206,7,FALSE()),"?")</f>
        <v>ml</v>
      </c>
      <c r="G1384" s="31" t="n">
        <f aca="false">IFERROR(VLOOKUP(C1384,Ingredients!$B$6:$I$206,6,FALSE()),0)</f>
        <v>0.005</v>
      </c>
      <c r="H1384" s="32" t="n">
        <f aca="false">IFERROR(D1384*G1384,0)</f>
        <v>0.15</v>
      </c>
    </row>
    <row r="1385" customFormat="false" ht="15" hidden="false" customHeight="true" outlineLevel="0" collapsed="false">
      <c r="B1385" s="14" t="n">
        <v>250</v>
      </c>
      <c r="C1385" s="11" t="s">
        <v>125</v>
      </c>
      <c r="D1385" s="17" t="n">
        <v>0.02</v>
      </c>
      <c r="E1385" s="11" t="s">
        <v>79</v>
      </c>
      <c r="F1385" s="14" t="str">
        <f aca="false">IFERROR(VLOOKUP(C1385,Ingredients!$B$6:$I$206,7,FALSE()),"?")</f>
        <v>kg</v>
      </c>
      <c r="G1385" s="31" t="n">
        <f aca="false">IFERROR(VLOOKUP(C1385,Ingredients!$B$6:$I$206,6,FALSE()),0)</f>
        <v>5.9375</v>
      </c>
      <c r="H1385" s="32" t="n">
        <f aca="false">IFERROR(D1385*G1385,0)</f>
        <v>0.11875</v>
      </c>
    </row>
    <row r="1386" customFormat="false" ht="15" hidden="false" customHeight="true" outlineLevel="0" collapsed="false">
      <c r="B1386" s="14" t="n">
        <v>250</v>
      </c>
      <c r="C1386" s="11" t="s">
        <v>142</v>
      </c>
      <c r="D1386" s="17" t="n">
        <v>1</v>
      </c>
      <c r="E1386" s="11" t="s">
        <v>112</v>
      </c>
      <c r="F1386" s="14" t="str">
        <f aca="false">IFERROR(VLOOKUP(C1386,Ingredients!$B$6:$I$206,7,FALSE()),"?")</f>
        <v>unit</v>
      </c>
      <c r="G1386" s="31" t="n">
        <f aca="false">IFERROR(VLOOKUP(C1386,Ingredients!$B$6:$I$206,6,FALSE()),0)</f>
        <v>0.14</v>
      </c>
      <c r="H1386" s="32" t="n">
        <f aca="false">IFERROR(D1386*G1386,0)</f>
        <v>0.14</v>
      </c>
    </row>
    <row r="1387" customFormat="false" ht="15" hidden="false" customHeight="true" outlineLevel="0" collapsed="false">
      <c r="B1387" s="14" t="n">
        <v>250</v>
      </c>
      <c r="C1387" s="11" t="s">
        <v>144</v>
      </c>
      <c r="D1387" s="17" t="n">
        <v>1</v>
      </c>
      <c r="E1387" s="11" t="s">
        <v>112</v>
      </c>
      <c r="F1387" s="14" t="str">
        <f aca="false">IFERROR(VLOOKUP(C1387,Ingredients!$B$6:$I$206,7,FALSE()),"?")</f>
        <v>unit</v>
      </c>
      <c r="G1387" s="31" t="n">
        <f aca="false">IFERROR(VLOOKUP(C1387,Ingredients!$B$6:$I$206,6,FALSE()),0)</f>
        <v>0.03</v>
      </c>
      <c r="H1387" s="32" t="n">
        <f aca="false">IFERROR(D1387*G1387,0)</f>
        <v>0.03</v>
      </c>
    </row>
    <row r="1388" customFormat="false" ht="15" hidden="false" customHeight="true" outlineLevel="0" collapsed="false">
      <c r="B1388" s="14" t="n">
        <v>251</v>
      </c>
      <c r="C1388" s="11" t="s">
        <v>63</v>
      </c>
      <c r="D1388" s="17" t="n">
        <v>0.2</v>
      </c>
      <c r="E1388" s="11" t="s">
        <v>65</v>
      </c>
      <c r="F1388" s="14" t="str">
        <f aca="false">IFERROR(VLOOKUP(C1388,Ingredients!$B$6:$I$206,7,FALSE()),"?")</f>
        <v>L</v>
      </c>
      <c r="G1388" s="31" t="n">
        <f aca="false">IFERROR(VLOOKUP(C1388,Ingredients!$B$6:$I$206,6,FALSE()),0)</f>
        <v>0.732745961820852</v>
      </c>
      <c r="H1388" s="32" t="n">
        <f aca="false">IFERROR(D1388*G1388,0)</f>
        <v>0.14654919236417</v>
      </c>
    </row>
    <row r="1389" customFormat="false" ht="15" hidden="false" customHeight="true" outlineLevel="0" collapsed="false">
      <c r="B1389" s="14" t="n">
        <v>251</v>
      </c>
      <c r="C1389" s="11" t="s">
        <v>92</v>
      </c>
      <c r="D1389" s="17" t="n">
        <v>30</v>
      </c>
      <c r="E1389" s="11" t="s">
        <v>84</v>
      </c>
      <c r="F1389" s="14" t="str">
        <f aca="false">IFERROR(VLOOKUP(C1389,Ingredients!$B$6:$I$206,7,FALSE()),"?")</f>
        <v>ml</v>
      </c>
      <c r="G1389" s="31" t="n">
        <f aca="false">IFERROR(VLOOKUP(C1389,Ingredients!$B$6:$I$206,6,FALSE()),0)</f>
        <v>0.005</v>
      </c>
      <c r="H1389" s="32" t="n">
        <f aca="false">IFERROR(D1389*G1389,0)</f>
        <v>0.15</v>
      </c>
    </row>
    <row r="1390" customFormat="false" ht="15" hidden="false" customHeight="true" outlineLevel="0" collapsed="false">
      <c r="B1390" s="14" t="n">
        <v>251</v>
      </c>
      <c r="C1390" s="11" t="s">
        <v>125</v>
      </c>
      <c r="D1390" s="17" t="n">
        <v>0.02</v>
      </c>
      <c r="E1390" s="11" t="s">
        <v>79</v>
      </c>
      <c r="F1390" s="14" t="str">
        <f aca="false">IFERROR(VLOOKUP(C1390,Ingredients!$B$6:$I$206,7,FALSE()),"?")</f>
        <v>kg</v>
      </c>
      <c r="G1390" s="31" t="n">
        <f aca="false">IFERROR(VLOOKUP(C1390,Ingredients!$B$6:$I$206,6,FALSE()),0)</f>
        <v>5.9375</v>
      </c>
      <c r="H1390" s="32" t="n">
        <f aca="false">IFERROR(D1390*G1390,0)</f>
        <v>0.11875</v>
      </c>
    </row>
    <row r="1391" customFormat="false" ht="15" hidden="false" customHeight="true" outlineLevel="0" collapsed="false">
      <c r="B1391" s="14" t="n">
        <v>251</v>
      </c>
      <c r="C1391" s="11" t="s">
        <v>138</v>
      </c>
      <c r="D1391" s="17" t="n">
        <v>1</v>
      </c>
      <c r="E1391" s="11" t="s">
        <v>112</v>
      </c>
      <c r="F1391" s="14" t="str">
        <f aca="false">IFERROR(VLOOKUP(C1391,Ingredients!$B$6:$I$206,7,FALSE()),"?")</f>
        <v>unit</v>
      </c>
      <c r="G1391" s="31" t="n">
        <f aca="false">IFERROR(VLOOKUP(C1391,Ingredients!$B$6:$I$206,6,FALSE()),0)</f>
        <v>0.11</v>
      </c>
      <c r="H1391" s="32" t="n">
        <f aca="false">IFERROR(D1391*G1391,0)</f>
        <v>0.11</v>
      </c>
    </row>
    <row r="1392" customFormat="false" ht="15" hidden="false" customHeight="true" outlineLevel="0" collapsed="false">
      <c r="B1392" s="14" t="n">
        <v>251</v>
      </c>
      <c r="C1392" s="11" t="s">
        <v>140</v>
      </c>
      <c r="D1392" s="17" t="n">
        <v>1</v>
      </c>
      <c r="E1392" s="11" t="s">
        <v>112</v>
      </c>
      <c r="F1392" s="14" t="str">
        <f aca="false">IFERROR(VLOOKUP(C1392,Ingredients!$B$6:$I$206,7,FALSE()),"?")</f>
        <v>unit</v>
      </c>
      <c r="G1392" s="31" t="n">
        <f aca="false">IFERROR(VLOOKUP(C1392,Ingredients!$B$6:$I$206,6,FALSE()),0)</f>
        <v>0.03</v>
      </c>
      <c r="H1392" s="32" t="n">
        <f aca="false">IFERROR(D1392*G1392,0)</f>
        <v>0.03</v>
      </c>
    </row>
    <row r="1393" customFormat="false" ht="15" hidden="false" customHeight="true" outlineLevel="0" collapsed="false">
      <c r="B1393" s="14" t="n">
        <v>252</v>
      </c>
      <c r="C1393" s="11" t="s">
        <v>116</v>
      </c>
      <c r="D1393" s="17" t="n">
        <v>0.03</v>
      </c>
      <c r="E1393" s="11" t="s">
        <v>79</v>
      </c>
      <c r="F1393" s="14" t="str">
        <f aca="false">IFERROR(VLOOKUP(C1393,Ingredients!$B$6:$I$206,7,FALSE()),"?")</f>
        <v>kg</v>
      </c>
      <c r="G1393" s="31" t="n">
        <f aca="false">IFERROR(VLOOKUP(C1393,Ingredients!$B$6:$I$206,6,FALSE()),0)</f>
        <v>7</v>
      </c>
      <c r="H1393" s="32" t="n">
        <f aca="false">IFERROR(D1393*G1393,0)</f>
        <v>0.21</v>
      </c>
    </row>
    <row r="1394" customFormat="false" ht="15" hidden="false" customHeight="true" outlineLevel="0" collapsed="false">
      <c r="B1394" s="14" t="n">
        <v>252</v>
      </c>
      <c r="C1394" s="11" t="s">
        <v>63</v>
      </c>
      <c r="D1394" s="17" t="n">
        <v>0.34</v>
      </c>
      <c r="E1394" s="11" t="s">
        <v>65</v>
      </c>
      <c r="F1394" s="14" t="str">
        <f aca="false">IFERROR(VLOOKUP(C1394,Ingredients!$B$6:$I$206,7,FALSE()),"?")</f>
        <v>L</v>
      </c>
      <c r="G1394" s="31" t="n">
        <f aca="false">IFERROR(VLOOKUP(C1394,Ingredients!$B$6:$I$206,6,FALSE()),0)</f>
        <v>0.732745961820852</v>
      </c>
      <c r="H1394" s="32" t="n">
        <f aca="false">IFERROR(D1394*G1394,0)</f>
        <v>0.24913362701909</v>
      </c>
    </row>
    <row r="1395" customFormat="false" ht="15" hidden="false" customHeight="true" outlineLevel="0" collapsed="false">
      <c r="B1395" s="14" t="n">
        <v>252</v>
      </c>
      <c r="C1395" s="11" t="s">
        <v>138</v>
      </c>
      <c r="D1395" s="17" t="n">
        <v>1</v>
      </c>
      <c r="E1395" s="11" t="s">
        <v>112</v>
      </c>
      <c r="F1395" s="14" t="str">
        <f aca="false">IFERROR(VLOOKUP(C1395,Ingredients!$B$6:$I$206,7,FALSE()),"?")</f>
        <v>unit</v>
      </c>
      <c r="G1395" s="31" t="n">
        <f aca="false">IFERROR(VLOOKUP(C1395,Ingredients!$B$6:$I$206,6,FALSE()),0)</f>
        <v>0.11</v>
      </c>
      <c r="H1395" s="32" t="n">
        <f aca="false">IFERROR(D1395*G1395,0)</f>
        <v>0.11</v>
      </c>
    </row>
    <row r="1396" customFormat="false" ht="15" hidden="false" customHeight="true" outlineLevel="0" collapsed="false">
      <c r="B1396" s="14" t="n">
        <v>252</v>
      </c>
      <c r="C1396" s="11" t="s">
        <v>140</v>
      </c>
      <c r="D1396" s="17" t="n">
        <v>1</v>
      </c>
      <c r="E1396" s="11" t="s">
        <v>112</v>
      </c>
      <c r="F1396" s="14" t="str">
        <f aca="false">IFERROR(VLOOKUP(C1396,Ingredients!$B$6:$I$206,7,FALSE()),"?")</f>
        <v>unit</v>
      </c>
      <c r="G1396" s="31" t="n">
        <f aca="false">IFERROR(VLOOKUP(C1396,Ingredients!$B$6:$I$206,6,FALSE()),0)</f>
        <v>0.03</v>
      </c>
      <c r="H1396" s="32" t="n">
        <f aca="false">IFERROR(D1396*G1396,0)</f>
        <v>0.03</v>
      </c>
    </row>
    <row r="1397" customFormat="false" ht="15" hidden="false" customHeight="true" outlineLevel="0" collapsed="false">
      <c r="B1397" s="14" t="n">
        <v>253</v>
      </c>
      <c r="C1397" s="11" t="s">
        <v>116</v>
      </c>
      <c r="D1397" s="17" t="n">
        <v>0.02</v>
      </c>
      <c r="E1397" s="11" t="s">
        <v>79</v>
      </c>
      <c r="F1397" s="14" t="str">
        <f aca="false">IFERROR(VLOOKUP(C1397,Ingredients!$B$6:$I$206,7,FALSE()),"?")</f>
        <v>kg</v>
      </c>
      <c r="G1397" s="31" t="n">
        <f aca="false">IFERROR(VLOOKUP(C1397,Ingredients!$B$6:$I$206,6,FALSE()),0)</f>
        <v>7</v>
      </c>
      <c r="H1397" s="32" t="n">
        <f aca="false">IFERROR(D1397*G1397,0)</f>
        <v>0.14</v>
      </c>
    </row>
    <row r="1398" customFormat="false" ht="15" hidden="false" customHeight="true" outlineLevel="0" collapsed="false">
      <c r="B1398" s="14" t="n">
        <v>253</v>
      </c>
      <c r="C1398" s="11" t="s">
        <v>63</v>
      </c>
      <c r="D1398" s="17" t="n">
        <v>0.22</v>
      </c>
      <c r="E1398" s="11" t="s">
        <v>65</v>
      </c>
      <c r="F1398" s="14" t="str">
        <f aca="false">IFERROR(VLOOKUP(C1398,Ingredients!$B$6:$I$206,7,FALSE()),"?")</f>
        <v>L</v>
      </c>
      <c r="G1398" s="31" t="n">
        <f aca="false">IFERROR(VLOOKUP(C1398,Ingredients!$B$6:$I$206,6,FALSE()),0)</f>
        <v>0.732745961820852</v>
      </c>
      <c r="H1398" s="32" t="n">
        <f aca="false">IFERROR(D1398*G1398,0)</f>
        <v>0.161204111600587</v>
      </c>
    </row>
    <row r="1399" customFormat="false" ht="15" hidden="false" customHeight="true" outlineLevel="0" collapsed="false">
      <c r="B1399" s="14" t="n">
        <v>253</v>
      </c>
      <c r="C1399" s="11" t="s">
        <v>134</v>
      </c>
      <c r="D1399" s="17" t="n">
        <v>1</v>
      </c>
      <c r="E1399" s="11" t="s">
        <v>112</v>
      </c>
      <c r="F1399" s="14" t="str">
        <f aca="false">IFERROR(VLOOKUP(C1399,Ingredients!$B$6:$I$206,7,FALSE()),"?")</f>
        <v>unit</v>
      </c>
      <c r="G1399" s="31" t="n">
        <f aca="false">IFERROR(VLOOKUP(C1399,Ingredients!$B$6:$I$206,6,FALSE()),0)</f>
        <v>0.09</v>
      </c>
      <c r="H1399" s="32" t="n">
        <f aca="false">IFERROR(D1399*G1399,0)</f>
        <v>0.09</v>
      </c>
    </row>
    <row r="1400" customFormat="false" ht="15" hidden="false" customHeight="true" outlineLevel="0" collapsed="false">
      <c r="B1400" s="14" t="n">
        <v>253</v>
      </c>
      <c r="C1400" s="11" t="s">
        <v>136</v>
      </c>
      <c r="D1400" s="17" t="n">
        <v>1</v>
      </c>
      <c r="E1400" s="11" t="s">
        <v>112</v>
      </c>
      <c r="F1400" s="14" t="str">
        <f aca="false">IFERROR(VLOOKUP(C1400,Ingredients!$B$6:$I$206,7,FALSE()),"?")</f>
        <v>unit</v>
      </c>
      <c r="G1400" s="31" t="n">
        <f aca="false">IFERROR(VLOOKUP(C1400,Ingredients!$B$6:$I$206,6,FALSE()),0)</f>
        <v>0.03</v>
      </c>
      <c r="H1400" s="32" t="n">
        <f aca="false">IFERROR(D1400*G1400,0)</f>
        <v>0.03</v>
      </c>
    </row>
    <row r="1401" customFormat="false" ht="15" hidden="false" customHeight="true" outlineLevel="0" collapsed="false">
      <c r="B1401" s="14" t="n">
        <v>254</v>
      </c>
      <c r="C1401" s="11" t="s">
        <v>116</v>
      </c>
      <c r="D1401" s="17" t="n">
        <v>0.04</v>
      </c>
      <c r="E1401" s="11" t="s">
        <v>79</v>
      </c>
      <c r="F1401" s="14" t="str">
        <f aca="false">IFERROR(VLOOKUP(C1401,Ingredients!$B$6:$I$206,7,FALSE()),"?")</f>
        <v>kg</v>
      </c>
      <c r="G1401" s="31" t="n">
        <f aca="false">IFERROR(VLOOKUP(C1401,Ingredients!$B$6:$I$206,6,FALSE()),0)</f>
        <v>7</v>
      </c>
      <c r="H1401" s="32" t="n">
        <f aca="false">IFERROR(D1401*G1401,0)</f>
        <v>0.28</v>
      </c>
    </row>
    <row r="1402" customFormat="false" ht="15" hidden="false" customHeight="true" outlineLevel="0" collapsed="false">
      <c r="B1402" s="14" t="n">
        <v>254</v>
      </c>
      <c r="C1402" s="11" t="s">
        <v>63</v>
      </c>
      <c r="D1402" s="17" t="n">
        <v>0.46</v>
      </c>
      <c r="E1402" s="11" t="s">
        <v>65</v>
      </c>
      <c r="F1402" s="14" t="str">
        <f aca="false">IFERROR(VLOOKUP(C1402,Ingredients!$B$6:$I$206,7,FALSE()),"?")</f>
        <v>L</v>
      </c>
      <c r="G1402" s="31" t="n">
        <f aca="false">IFERROR(VLOOKUP(C1402,Ingredients!$B$6:$I$206,6,FALSE()),0)</f>
        <v>0.732745961820852</v>
      </c>
      <c r="H1402" s="32" t="n">
        <f aca="false">IFERROR(D1402*G1402,0)</f>
        <v>0.337063142437592</v>
      </c>
    </row>
    <row r="1403" customFormat="false" ht="15" hidden="false" customHeight="true" outlineLevel="0" collapsed="false">
      <c r="B1403" s="14" t="n">
        <v>254</v>
      </c>
      <c r="C1403" s="11" t="s">
        <v>142</v>
      </c>
      <c r="D1403" s="17" t="n">
        <v>1</v>
      </c>
      <c r="E1403" s="11" t="s">
        <v>112</v>
      </c>
      <c r="F1403" s="14" t="str">
        <f aca="false">IFERROR(VLOOKUP(C1403,Ingredients!$B$6:$I$206,7,FALSE()),"?")</f>
        <v>unit</v>
      </c>
      <c r="G1403" s="31" t="n">
        <f aca="false">IFERROR(VLOOKUP(C1403,Ingredients!$B$6:$I$206,6,FALSE()),0)</f>
        <v>0.14</v>
      </c>
      <c r="H1403" s="32" t="n">
        <f aca="false">IFERROR(D1403*G1403,0)</f>
        <v>0.14</v>
      </c>
    </row>
    <row r="1404" customFormat="false" ht="15" hidden="false" customHeight="true" outlineLevel="0" collapsed="false">
      <c r="B1404" s="14" t="n">
        <v>254</v>
      </c>
      <c r="C1404" s="11" t="s">
        <v>144</v>
      </c>
      <c r="D1404" s="17" t="n">
        <v>1</v>
      </c>
      <c r="E1404" s="11" t="s">
        <v>112</v>
      </c>
      <c r="F1404" s="14" t="str">
        <f aca="false">IFERROR(VLOOKUP(C1404,Ingredients!$B$6:$I$206,7,FALSE()),"?")</f>
        <v>unit</v>
      </c>
      <c r="G1404" s="31" t="n">
        <f aca="false">IFERROR(VLOOKUP(C1404,Ingredients!$B$6:$I$206,6,FALSE()),0)</f>
        <v>0.03</v>
      </c>
      <c r="H1404" s="32" t="n">
        <f aca="false">IFERROR(D1404*G1404,0)</f>
        <v>0.03</v>
      </c>
    </row>
    <row r="1405" customFormat="false" ht="15" hidden="false" customHeight="true" outlineLevel="0" collapsed="false">
      <c r="B1405" s="14" t="n">
        <v>255</v>
      </c>
      <c r="C1405" s="11" t="s">
        <v>77</v>
      </c>
      <c r="D1405" s="17" t="n">
        <v>0.036</v>
      </c>
      <c r="E1405" s="11" t="s">
        <v>79</v>
      </c>
      <c r="F1405" s="14" t="str">
        <f aca="false">IFERROR(VLOOKUP(C1405,Ingredients!$B$6:$I$206,7,FALSE()),"?")</f>
        <v>kg</v>
      </c>
      <c r="G1405" s="31" t="n">
        <f aca="false">IFERROR(VLOOKUP(C1405,Ingredients!$B$6:$I$206,6,FALSE()),0)</f>
        <v>16.25</v>
      </c>
      <c r="H1405" s="32" t="n">
        <f aca="false">IFERROR(D1405*G1405,0)</f>
        <v>0.585</v>
      </c>
    </row>
    <row r="1406" customFormat="false" ht="15" hidden="false" customHeight="true" outlineLevel="0" collapsed="false">
      <c r="B1406" s="14" t="n">
        <v>255</v>
      </c>
      <c r="C1406" s="11" t="s">
        <v>63</v>
      </c>
      <c r="D1406" s="17" t="n">
        <v>0.3</v>
      </c>
      <c r="E1406" s="11" t="s">
        <v>65</v>
      </c>
      <c r="F1406" s="14" t="str">
        <f aca="false">IFERROR(VLOOKUP(C1406,Ingredients!$B$6:$I$206,7,FALSE()),"?")</f>
        <v>L</v>
      </c>
      <c r="G1406" s="31" t="n">
        <f aca="false">IFERROR(VLOOKUP(C1406,Ingredients!$B$6:$I$206,6,FALSE()),0)</f>
        <v>0.732745961820852</v>
      </c>
      <c r="H1406" s="32" t="n">
        <f aca="false">IFERROR(D1406*G1406,0)</f>
        <v>0.219823788546256</v>
      </c>
    </row>
    <row r="1407" customFormat="false" ht="15" hidden="false" customHeight="true" outlineLevel="0" collapsed="false">
      <c r="B1407" s="14" t="n">
        <v>255</v>
      </c>
      <c r="C1407" s="11" t="s">
        <v>138</v>
      </c>
      <c r="D1407" s="17" t="n">
        <v>1</v>
      </c>
      <c r="E1407" s="11" t="s">
        <v>112</v>
      </c>
      <c r="F1407" s="14" t="str">
        <f aca="false">IFERROR(VLOOKUP(C1407,Ingredients!$B$6:$I$206,7,FALSE()),"?")</f>
        <v>unit</v>
      </c>
      <c r="G1407" s="31" t="n">
        <f aca="false">IFERROR(VLOOKUP(C1407,Ingredients!$B$6:$I$206,6,FALSE()),0)</f>
        <v>0.11</v>
      </c>
      <c r="H1407" s="32" t="n">
        <f aca="false">IFERROR(D1407*G1407,0)</f>
        <v>0.11</v>
      </c>
    </row>
    <row r="1408" customFormat="false" ht="15" hidden="false" customHeight="true" outlineLevel="0" collapsed="false">
      <c r="B1408" s="14" t="n">
        <v>255</v>
      </c>
      <c r="C1408" s="11" t="s">
        <v>140</v>
      </c>
      <c r="D1408" s="17" t="n">
        <v>1</v>
      </c>
      <c r="E1408" s="11" t="s">
        <v>112</v>
      </c>
      <c r="F1408" s="14" t="str">
        <f aca="false">IFERROR(VLOOKUP(C1408,Ingredients!$B$6:$I$206,7,FALSE()),"?")</f>
        <v>unit</v>
      </c>
      <c r="G1408" s="31" t="n">
        <f aca="false">IFERROR(VLOOKUP(C1408,Ingredients!$B$6:$I$206,6,FALSE()),0)</f>
        <v>0.03</v>
      </c>
      <c r="H1408" s="32" t="n">
        <f aca="false">IFERROR(D1408*G1408,0)</f>
        <v>0.03</v>
      </c>
    </row>
    <row r="1409" customFormat="false" ht="15" hidden="false" customHeight="true" outlineLevel="0" collapsed="false">
      <c r="B1409" s="14" t="n">
        <v>256</v>
      </c>
      <c r="C1409" s="11" t="s">
        <v>77</v>
      </c>
      <c r="D1409" s="17" t="n">
        <v>0.036</v>
      </c>
      <c r="E1409" s="11" t="s">
        <v>79</v>
      </c>
      <c r="F1409" s="14" t="str">
        <f aca="false">IFERROR(VLOOKUP(C1409,Ingredients!$B$6:$I$206,7,FALSE()),"?")</f>
        <v>kg</v>
      </c>
      <c r="G1409" s="31" t="n">
        <f aca="false">IFERROR(VLOOKUP(C1409,Ingredients!$B$6:$I$206,6,FALSE()),0)</f>
        <v>16.25</v>
      </c>
      <c r="H1409" s="32" t="n">
        <f aca="false">IFERROR(D1409*G1409,0)</f>
        <v>0.585</v>
      </c>
    </row>
    <row r="1410" customFormat="false" ht="15" hidden="false" customHeight="true" outlineLevel="0" collapsed="false">
      <c r="B1410" s="14" t="n">
        <v>256</v>
      </c>
      <c r="C1410" s="11" t="s">
        <v>63</v>
      </c>
      <c r="D1410" s="17" t="n">
        <v>0.18</v>
      </c>
      <c r="E1410" s="11" t="s">
        <v>65</v>
      </c>
      <c r="F1410" s="14" t="str">
        <f aca="false">IFERROR(VLOOKUP(C1410,Ingredients!$B$6:$I$206,7,FALSE()),"?")</f>
        <v>L</v>
      </c>
      <c r="G1410" s="31" t="n">
        <f aca="false">IFERROR(VLOOKUP(C1410,Ingredients!$B$6:$I$206,6,FALSE()),0)</f>
        <v>0.732745961820852</v>
      </c>
      <c r="H1410" s="32" t="n">
        <f aca="false">IFERROR(D1410*G1410,0)</f>
        <v>0.131894273127753</v>
      </c>
    </row>
    <row r="1411" customFormat="false" ht="15" hidden="false" customHeight="true" outlineLevel="0" collapsed="false">
      <c r="B1411" s="14" t="n">
        <v>256</v>
      </c>
      <c r="C1411" s="11" t="s">
        <v>134</v>
      </c>
      <c r="D1411" s="17" t="n">
        <v>1</v>
      </c>
      <c r="E1411" s="11" t="s">
        <v>112</v>
      </c>
      <c r="F1411" s="14" t="str">
        <f aca="false">IFERROR(VLOOKUP(C1411,Ingredients!$B$6:$I$206,7,FALSE()),"?")</f>
        <v>unit</v>
      </c>
      <c r="G1411" s="31" t="n">
        <f aca="false">IFERROR(VLOOKUP(C1411,Ingredients!$B$6:$I$206,6,FALSE()),0)</f>
        <v>0.09</v>
      </c>
      <c r="H1411" s="32" t="n">
        <f aca="false">IFERROR(D1411*G1411,0)</f>
        <v>0.09</v>
      </c>
    </row>
    <row r="1412" customFormat="false" ht="15" hidden="false" customHeight="true" outlineLevel="0" collapsed="false">
      <c r="B1412" s="14" t="n">
        <v>256</v>
      </c>
      <c r="C1412" s="11" t="s">
        <v>136</v>
      </c>
      <c r="D1412" s="17" t="n">
        <v>1</v>
      </c>
      <c r="E1412" s="11" t="s">
        <v>112</v>
      </c>
      <c r="F1412" s="14" t="str">
        <f aca="false">IFERROR(VLOOKUP(C1412,Ingredients!$B$6:$I$206,7,FALSE()),"?")</f>
        <v>unit</v>
      </c>
      <c r="G1412" s="31" t="n">
        <f aca="false">IFERROR(VLOOKUP(C1412,Ingredients!$B$6:$I$206,6,FALSE()),0)</f>
        <v>0.03</v>
      </c>
      <c r="H1412" s="32" t="n">
        <f aca="false">IFERROR(D1412*G1412,0)</f>
        <v>0.03</v>
      </c>
    </row>
    <row r="1413" customFormat="false" ht="15" hidden="false" customHeight="true" outlineLevel="0" collapsed="false">
      <c r="B1413" s="14" t="n">
        <v>257</v>
      </c>
      <c r="C1413" s="11" t="s">
        <v>77</v>
      </c>
      <c r="D1413" s="17" t="n">
        <v>0.072</v>
      </c>
      <c r="E1413" s="11" t="s">
        <v>79</v>
      </c>
      <c r="F1413" s="14" t="str">
        <f aca="false">IFERROR(VLOOKUP(C1413,Ingredients!$B$6:$I$206,7,FALSE()),"?")</f>
        <v>kg</v>
      </c>
      <c r="G1413" s="31" t="n">
        <f aca="false">IFERROR(VLOOKUP(C1413,Ingredients!$B$6:$I$206,6,FALSE()),0)</f>
        <v>16.25</v>
      </c>
      <c r="H1413" s="32" t="n">
        <f aca="false">IFERROR(D1413*G1413,0)</f>
        <v>1.17</v>
      </c>
    </row>
    <row r="1414" customFormat="false" ht="15" hidden="false" customHeight="true" outlineLevel="0" collapsed="false">
      <c r="B1414" s="14" t="n">
        <v>257</v>
      </c>
      <c r="C1414" s="11" t="s">
        <v>63</v>
      </c>
      <c r="D1414" s="17" t="n">
        <v>0.36</v>
      </c>
      <c r="E1414" s="11" t="s">
        <v>65</v>
      </c>
      <c r="F1414" s="14" t="str">
        <f aca="false">IFERROR(VLOOKUP(C1414,Ingredients!$B$6:$I$206,7,FALSE()),"?")</f>
        <v>L</v>
      </c>
      <c r="G1414" s="31" t="n">
        <f aca="false">IFERROR(VLOOKUP(C1414,Ingredients!$B$6:$I$206,6,FALSE()),0)</f>
        <v>0.732745961820852</v>
      </c>
      <c r="H1414" s="32" t="n">
        <f aca="false">IFERROR(D1414*G1414,0)</f>
        <v>0.263788546255507</v>
      </c>
    </row>
    <row r="1415" customFormat="false" ht="15" hidden="false" customHeight="true" outlineLevel="0" collapsed="false">
      <c r="B1415" s="14" t="n">
        <v>257</v>
      </c>
      <c r="C1415" s="11" t="s">
        <v>142</v>
      </c>
      <c r="D1415" s="17" t="n">
        <v>1</v>
      </c>
      <c r="E1415" s="11" t="s">
        <v>112</v>
      </c>
      <c r="F1415" s="14" t="str">
        <f aca="false">IFERROR(VLOOKUP(C1415,Ingredients!$B$6:$I$206,7,FALSE()),"?")</f>
        <v>unit</v>
      </c>
      <c r="G1415" s="31" t="n">
        <f aca="false">IFERROR(VLOOKUP(C1415,Ingredients!$B$6:$I$206,6,FALSE()),0)</f>
        <v>0.14</v>
      </c>
      <c r="H1415" s="32" t="n">
        <f aca="false">IFERROR(D1415*G1415,0)</f>
        <v>0.14</v>
      </c>
    </row>
    <row r="1416" customFormat="false" ht="15" hidden="false" customHeight="true" outlineLevel="0" collapsed="false">
      <c r="B1416" s="14" t="n">
        <v>257</v>
      </c>
      <c r="C1416" s="11" t="s">
        <v>144</v>
      </c>
      <c r="D1416" s="17" t="n">
        <v>1</v>
      </c>
      <c r="E1416" s="11" t="s">
        <v>112</v>
      </c>
      <c r="F1416" s="14" t="str">
        <f aca="false">IFERROR(VLOOKUP(C1416,Ingredients!$B$6:$I$206,7,FALSE()),"?")</f>
        <v>unit</v>
      </c>
      <c r="G1416" s="31" t="n">
        <f aca="false">IFERROR(VLOOKUP(C1416,Ingredients!$B$6:$I$206,6,FALSE()),0)</f>
        <v>0.03</v>
      </c>
      <c r="H1416" s="32" t="n">
        <f aca="false">IFERROR(D1416*G1416,0)</f>
        <v>0.03</v>
      </c>
    </row>
    <row r="1417" customFormat="false" ht="15" hidden="false" customHeight="true" outlineLevel="0" collapsed="false">
      <c r="B1417" s="14" t="n">
        <v>261</v>
      </c>
      <c r="C1417" s="11" t="s">
        <v>77</v>
      </c>
      <c r="D1417" s="17" t="n">
        <v>0.036</v>
      </c>
      <c r="E1417" s="11" t="s">
        <v>79</v>
      </c>
      <c r="F1417" s="14" t="str">
        <f aca="false">IFERROR(VLOOKUP(C1417,Ingredients!$B$6:$I$206,7,FALSE()),"?")</f>
        <v>kg</v>
      </c>
      <c r="G1417" s="31" t="n">
        <f aca="false">IFERROR(VLOOKUP(C1417,Ingredients!$B$6:$I$206,6,FALSE()),0)</f>
        <v>16.25</v>
      </c>
      <c r="H1417" s="32" t="n">
        <f aca="false">IFERROR(D1417*G1417,0)</f>
        <v>0.585</v>
      </c>
    </row>
    <row r="1418" customFormat="false" ht="15" hidden="false" customHeight="true" outlineLevel="0" collapsed="false">
      <c r="B1418" s="14" t="n">
        <v>261</v>
      </c>
      <c r="C1418" s="11" t="s">
        <v>63</v>
      </c>
      <c r="D1418" s="17" t="n">
        <v>0.05</v>
      </c>
      <c r="E1418" s="11" t="s">
        <v>65</v>
      </c>
      <c r="F1418" s="14" t="str">
        <f aca="false">IFERROR(VLOOKUP(C1418,Ingredients!$B$6:$I$206,7,FALSE()),"?")</f>
        <v>L</v>
      </c>
      <c r="G1418" s="31" t="n">
        <f aca="false">IFERROR(VLOOKUP(C1418,Ingredients!$B$6:$I$206,6,FALSE()),0)</f>
        <v>0.732745961820852</v>
      </c>
      <c r="H1418" s="32" t="n">
        <f aca="false">IFERROR(D1418*G1418,0)</f>
        <v>0.0366372980910426</v>
      </c>
    </row>
    <row r="1419" customFormat="false" ht="15" hidden="false" customHeight="true" outlineLevel="0" collapsed="false">
      <c r="B1419" s="14" t="n">
        <v>261</v>
      </c>
      <c r="C1419" s="11" t="s">
        <v>138</v>
      </c>
      <c r="D1419" s="17" t="n">
        <v>1</v>
      </c>
      <c r="E1419" s="11" t="s">
        <v>112</v>
      </c>
      <c r="F1419" s="14" t="str">
        <f aca="false">IFERROR(VLOOKUP(C1419,Ingredients!$B$6:$I$206,7,FALSE()),"?")</f>
        <v>unit</v>
      </c>
      <c r="G1419" s="31" t="n">
        <f aca="false">IFERROR(VLOOKUP(C1419,Ingredients!$B$6:$I$206,6,FALSE()),0)</f>
        <v>0.11</v>
      </c>
      <c r="H1419" s="32" t="n">
        <f aca="false">IFERROR(D1419*G1419,0)</f>
        <v>0.11</v>
      </c>
    </row>
    <row r="1420" customFormat="false" ht="15" hidden="false" customHeight="true" outlineLevel="0" collapsed="false">
      <c r="B1420" s="14" t="n">
        <v>261</v>
      </c>
      <c r="C1420" s="11" t="s">
        <v>140</v>
      </c>
      <c r="D1420" s="17" t="n">
        <v>1</v>
      </c>
      <c r="E1420" s="11" t="s">
        <v>112</v>
      </c>
      <c r="F1420" s="14" t="str">
        <f aca="false">IFERROR(VLOOKUP(C1420,Ingredients!$B$6:$I$206,7,FALSE()),"?")</f>
        <v>unit</v>
      </c>
      <c r="G1420" s="31" t="n">
        <f aca="false">IFERROR(VLOOKUP(C1420,Ingredients!$B$6:$I$206,6,FALSE()),0)</f>
        <v>0.03</v>
      </c>
      <c r="H1420" s="32" t="n">
        <f aca="false">IFERROR(D1420*G1420,0)</f>
        <v>0.03</v>
      </c>
    </row>
    <row r="1421" customFormat="false" ht="15" hidden="false" customHeight="true" outlineLevel="0" collapsed="false">
      <c r="B1421" s="14" t="n">
        <v>262</v>
      </c>
      <c r="C1421" s="11" t="s">
        <v>77</v>
      </c>
      <c r="D1421" s="17" t="n">
        <v>0.036</v>
      </c>
      <c r="E1421" s="11" t="s">
        <v>79</v>
      </c>
      <c r="F1421" s="14" t="str">
        <f aca="false">IFERROR(VLOOKUP(C1421,Ingredients!$B$6:$I$206,7,FALSE()),"?")</f>
        <v>kg</v>
      </c>
      <c r="G1421" s="31" t="n">
        <f aca="false">IFERROR(VLOOKUP(C1421,Ingredients!$B$6:$I$206,6,FALSE()),0)</f>
        <v>16.25</v>
      </c>
      <c r="H1421" s="32" t="n">
        <f aca="false">IFERROR(D1421*G1421,0)</f>
        <v>0.585</v>
      </c>
    </row>
    <row r="1422" customFormat="false" ht="15" hidden="false" customHeight="true" outlineLevel="0" collapsed="false">
      <c r="B1422" s="14" t="n">
        <v>262</v>
      </c>
      <c r="C1422" s="11" t="s">
        <v>63</v>
      </c>
      <c r="D1422" s="17" t="n">
        <v>0.03</v>
      </c>
      <c r="E1422" s="11" t="s">
        <v>65</v>
      </c>
      <c r="F1422" s="14" t="str">
        <f aca="false">IFERROR(VLOOKUP(C1422,Ingredients!$B$6:$I$206,7,FALSE()),"?")</f>
        <v>L</v>
      </c>
      <c r="G1422" s="31" t="n">
        <f aca="false">IFERROR(VLOOKUP(C1422,Ingredients!$B$6:$I$206,6,FALSE()),0)</f>
        <v>0.732745961820852</v>
      </c>
      <c r="H1422" s="32" t="n">
        <f aca="false">IFERROR(D1422*G1422,0)</f>
        <v>0.0219823788546256</v>
      </c>
    </row>
    <row r="1423" customFormat="false" ht="15" hidden="false" customHeight="true" outlineLevel="0" collapsed="false">
      <c r="B1423" s="14" t="n">
        <v>262</v>
      </c>
      <c r="C1423" s="11" t="s">
        <v>134</v>
      </c>
      <c r="D1423" s="17" t="n">
        <v>1</v>
      </c>
      <c r="E1423" s="11" t="s">
        <v>112</v>
      </c>
      <c r="F1423" s="14" t="str">
        <f aca="false">IFERROR(VLOOKUP(C1423,Ingredients!$B$6:$I$206,7,FALSE()),"?")</f>
        <v>unit</v>
      </c>
      <c r="G1423" s="31" t="n">
        <f aca="false">IFERROR(VLOOKUP(C1423,Ingredients!$B$6:$I$206,6,FALSE()),0)</f>
        <v>0.09</v>
      </c>
      <c r="H1423" s="32" t="n">
        <f aca="false">IFERROR(D1423*G1423,0)</f>
        <v>0.09</v>
      </c>
    </row>
    <row r="1424" customFormat="false" ht="15" hidden="false" customHeight="true" outlineLevel="0" collapsed="false">
      <c r="B1424" s="14" t="n">
        <v>262</v>
      </c>
      <c r="C1424" s="11" t="s">
        <v>136</v>
      </c>
      <c r="D1424" s="17" t="n">
        <v>1</v>
      </c>
      <c r="E1424" s="11" t="s">
        <v>112</v>
      </c>
      <c r="F1424" s="14" t="str">
        <f aca="false">IFERROR(VLOOKUP(C1424,Ingredients!$B$6:$I$206,7,FALSE()),"?")</f>
        <v>unit</v>
      </c>
      <c r="G1424" s="31" t="n">
        <f aca="false">IFERROR(VLOOKUP(C1424,Ingredients!$B$6:$I$206,6,FALSE()),0)</f>
        <v>0.03</v>
      </c>
      <c r="H1424" s="32" t="n">
        <f aca="false">IFERROR(D1424*G1424,0)</f>
        <v>0.03</v>
      </c>
    </row>
    <row r="1425" customFormat="false" ht="15" hidden="false" customHeight="true" outlineLevel="0" collapsed="false">
      <c r="B1425" s="14" t="n">
        <v>263</v>
      </c>
      <c r="C1425" s="11" t="s">
        <v>77</v>
      </c>
      <c r="D1425" s="17" t="n">
        <v>0.072</v>
      </c>
      <c r="E1425" s="11" t="s">
        <v>79</v>
      </c>
      <c r="F1425" s="14" t="str">
        <f aca="false">IFERROR(VLOOKUP(C1425,Ingredients!$B$6:$I$206,7,FALSE()),"?")</f>
        <v>kg</v>
      </c>
      <c r="G1425" s="31" t="n">
        <f aca="false">IFERROR(VLOOKUP(C1425,Ingredients!$B$6:$I$206,6,FALSE()),0)</f>
        <v>16.25</v>
      </c>
      <c r="H1425" s="32" t="n">
        <f aca="false">IFERROR(D1425*G1425,0)</f>
        <v>1.17</v>
      </c>
    </row>
    <row r="1426" customFormat="false" ht="15" hidden="false" customHeight="true" outlineLevel="0" collapsed="false">
      <c r="B1426" s="14" t="n">
        <v>263</v>
      </c>
      <c r="C1426" s="11" t="s">
        <v>63</v>
      </c>
      <c r="D1426" s="17" t="n">
        <v>0.08</v>
      </c>
      <c r="E1426" s="11" t="s">
        <v>65</v>
      </c>
      <c r="F1426" s="14" t="str">
        <f aca="false">IFERROR(VLOOKUP(C1426,Ingredients!$B$6:$I$206,7,FALSE()),"?")</f>
        <v>L</v>
      </c>
      <c r="G1426" s="31" t="n">
        <f aca="false">IFERROR(VLOOKUP(C1426,Ingredients!$B$6:$I$206,6,FALSE()),0)</f>
        <v>0.732745961820852</v>
      </c>
      <c r="H1426" s="32" t="n">
        <f aca="false">IFERROR(D1426*G1426,0)</f>
        <v>0.0586196769456681</v>
      </c>
    </row>
    <row r="1427" customFormat="false" ht="15" hidden="false" customHeight="true" outlineLevel="0" collapsed="false">
      <c r="B1427" s="14" t="n">
        <v>263</v>
      </c>
      <c r="C1427" s="11" t="s">
        <v>142</v>
      </c>
      <c r="D1427" s="17" t="n">
        <v>1</v>
      </c>
      <c r="E1427" s="11" t="s">
        <v>112</v>
      </c>
      <c r="F1427" s="14" t="str">
        <f aca="false">IFERROR(VLOOKUP(C1427,Ingredients!$B$6:$I$206,7,FALSE()),"?")</f>
        <v>unit</v>
      </c>
      <c r="G1427" s="31" t="n">
        <f aca="false">IFERROR(VLOOKUP(C1427,Ingredients!$B$6:$I$206,6,FALSE()),0)</f>
        <v>0.14</v>
      </c>
      <c r="H1427" s="32" t="n">
        <f aca="false">IFERROR(D1427*G1427,0)</f>
        <v>0.14</v>
      </c>
    </row>
    <row r="1428" customFormat="false" ht="15" hidden="false" customHeight="true" outlineLevel="0" collapsed="false">
      <c r="B1428" s="14" t="n">
        <v>263</v>
      </c>
      <c r="C1428" s="11" t="s">
        <v>144</v>
      </c>
      <c r="D1428" s="17" t="n">
        <v>1</v>
      </c>
      <c r="E1428" s="11" t="s">
        <v>112</v>
      </c>
      <c r="F1428" s="14" t="str">
        <f aca="false">IFERROR(VLOOKUP(C1428,Ingredients!$B$6:$I$206,7,FALSE()),"?")</f>
        <v>unit</v>
      </c>
      <c r="G1428" s="31" t="n">
        <f aca="false">IFERROR(VLOOKUP(C1428,Ingredients!$B$6:$I$206,6,FALSE()),0)</f>
        <v>0.03</v>
      </c>
      <c r="H1428" s="32" t="n">
        <f aca="false">IFERROR(D1428*G1428,0)</f>
        <v>0.03</v>
      </c>
    </row>
    <row r="1429" customFormat="false" ht="15" hidden="false" customHeight="true" outlineLevel="0" collapsed="false">
      <c r="B1429" s="14" t="n">
        <v>264</v>
      </c>
      <c r="C1429" s="11" t="s">
        <v>119</v>
      </c>
      <c r="D1429" s="17" t="n">
        <v>0.03</v>
      </c>
      <c r="E1429" s="11" t="s">
        <v>79</v>
      </c>
      <c r="F1429" s="14" t="str">
        <f aca="false">IFERROR(VLOOKUP(C1429,Ingredients!$B$6:$I$206,7,FALSE()),"?")</f>
        <v>ml</v>
      </c>
      <c r="G1429" s="31" t="n">
        <f aca="false">IFERROR(VLOOKUP(C1429,Ingredients!$B$6:$I$206,6,FALSE()),0)</f>
        <v>6</v>
      </c>
      <c r="H1429" s="32" t="n">
        <f aca="false">IFERROR(D1429*G1429,0)</f>
        <v>0.18</v>
      </c>
    </row>
    <row r="1430" customFormat="false" ht="15" hidden="false" customHeight="true" outlineLevel="0" collapsed="false">
      <c r="B1430" s="14" t="n">
        <v>264</v>
      </c>
      <c r="C1430" s="11" t="s">
        <v>63</v>
      </c>
      <c r="D1430" s="17" t="n">
        <v>0.34</v>
      </c>
      <c r="E1430" s="11" t="s">
        <v>65</v>
      </c>
      <c r="F1430" s="14" t="str">
        <f aca="false">IFERROR(VLOOKUP(C1430,Ingredients!$B$6:$I$206,7,FALSE()),"?")</f>
        <v>L</v>
      </c>
      <c r="G1430" s="31" t="n">
        <f aca="false">IFERROR(VLOOKUP(C1430,Ingredients!$B$6:$I$206,6,FALSE()),0)</f>
        <v>0.732745961820852</v>
      </c>
      <c r="H1430" s="32" t="n">
        <f aca="false">IFERROR(D1430*G1430,0)</f>
        <v>0.24913362701909</v>
      </c>
    </row>
    <row r="1431" customFormat="false" ht="15" hidden="false" customHeight="true" outlineLevel="0" collapsed="false">
      <c r="B1431" s="14" t="n">
        <v>264</v>
      </c>
      <c r="C1431" s="11" t="s">
        <v>138</v>
      </c>
      <c r="D1431" s="17" t="n">
        <v>1</v>
      </c>
      <c r="E1431" s="11" t="s">
        <v>112</v>
      </c>
      <c r="F1431" s="14" t="str">
        <f aca="false">IFERROR(VLOOKUP(C1431,Ingredients!$B$6:$I$206,7,FALSE()),"?")</f>
        <v>unit</v>
      </c>
      <c r="G1431" s="31" t="n">
        <f aca="false">IFERROR(VLOOKUP(C1431,Ingredients!$B$6:$I$206,6,FALSE()),0)</f>
        <v>0.11</v>
      </c>
      <c r="H1431" s="32" t="n">
        <f aca="false">IFERROR(D1431*G1431,0)</f>
        <v>0.11</v>
      </c>
    </row>
    <row r="1432" customFormat="false" ht="15" hidden="false" customHeight="true" outlineLevel="0" collapsed="false">
      <c r="B1432" s="14" t="n">
        <v>264</v>
      </c>
      <c r="C1432" s="11" t="s">
        <v>140</v>
      </c>
      <c r="D1432" s="17" t="n">
        <v>1</v>
      </c>
      <c r="E1432" s="11" t="s">
        <v>112</v>
      </c>
      <c r="F1432" s="14" t="str">
        <f aca="false">IFERROR(VLOOKUP(C1432,Ingredients!$B$6:$I$206,7,FALSE()),"?")</f>
        <v>unit</v>
      </c>
      <c r="G1432" s="31" t="n">
        <f aca="false">IFERROR(VLOOKUP(C1432,Ingredients!$B$6:$I$206,6,FALSE()),0)</f>
        <v>0.03</v>
      </c>
      <c r="H1432" s="32" t="n">
        <f aca="false">IFERROR(D1432*G1432,0)</f>
        <v>0.03</v>
      </c>
    </row>
    <row r="1433" customFormat="false" ht="15" hidden="false" customHeight="true" outlineLevel="0" collapsed="false">
      <c r="B1433" s="14" t="n">
        <v>265</v>
      </c>
      <c r="C1433" s="11" t="s">
        <v>119</v>
      </c>
      <c r="D1433" s="17" t="n">
        <v>0.02</v>
      </c>
      <c r="E1433" s="11" t="s">
        <v>79</v>
      </c>
      <c r="F1433" s="14" t="str">
        <f aca="false">IFERROR(VLOOKUP(C1433,Ingredients!$B$6:$I$206,7,FALSE()),"?")</f>
        <v>ml</v>
      </c>
      <c r="G1433" s="31" t="n">
        <f aca="false">IFERROR(VLOOKUP(C1433,Ingredients!$B$6:$I$206,6,FALSE()),0)</f>
        <v>6</v>
      </c>
      <c r="H1433" s="32" t="n">
        <f aca="false">IFERROR(D1433*G1433,0)</f>
        <v>0.12</v>
      </c>
    </row>
    <row r="1434" customFormat="false" ht="15" hidden="false" customHeight="true" outlineLevel="0" collapsed="false">
      <c r="B1434" s="14" t="n">
        <v>265</v>
      </c>
      <c r="C1434" s="11" t="s">
        <v>63</v>
      </c>
      <c r="D1434" s="17" t="n">
        <v>0.22</v>
      </c>
      <c r="E1434" s="11" t="s">
        <v>65</v>
      </c>
      <c r="F1434" s="14" t="str">
        <f aca="false">IFERROR(VLOOKUP(C1434,Ingredients!$B$6:$I$206,7,FALSE()),"?")</f>
        <v>L</v>
      </c>
      <c r="G1434" s="31" t="n">
        <f aca="false">IFERROR(VLOOKUP(C1434,Ingredients!$B$6:$I$206,6,FALSE()),0)</f>
        <v>0.732745961820852</v>
      </c>
      <c r="H1434" s="32" t="n">
        <f aca="false">IFERROR(D1434*G1434,0)</f>
        <v>0.161204111600587</v>
      </c>
    </row>
    <row r="1435" customFormat="false" ht="15" hidden="false" customHeight="true" outlineLevel="0" collapsed="false">
      <c r="B1435" s="14" t="n">
        <v>265</v>
      </c>
      <c r="C1435" s="11" t="s">
        <v>134</v>
      </c>
      <c r="D1435" s="17" t="n">
        <v>1</v>
      </c>
      <c r="E1435" s="11" t="s">
        <v>112</v>
      </c>
      <c r="F1435" s="14" t="str">
        <f aca="false">IFERROR(VLOOKUP(C1435,Ingredients!$B$6:$I$206,7,FALSE()),"?")</f>
        <v>unit</v>
      </c>
      <c r="G1435" s="31" t="n">
        <f aca="false">IFERROR(VLOOKUP(C1435,Ingredients!$B$6:$I$206,6,FALSE()),0)</f>
        <v>0.09</v>
      </c>
      <c r="H1435" s="32" t="n">
        <f aca="false">IFERROR(D1435*G1435,0)</f>
        <v>0.09</v>
      </c>
    </row>
    <row r="1436" customFormat="false" ht="15" hidden="false" customHeight="true" outlineLevel="0" collapsed="false">
      <c r="B1436" s="14" t="n">
        <v>265</v>
      </c>
      <c r="C1436" s="11" t="s">
        <v>136</v>
      </c>
      <c r="D1436" s="17" t="n">
        <v>1</v>
      </c>
      <c r="E1436" s="11" t="s">
        <v>112</v>
      </c>
      <c r="F1436" s="14" t="str">
        <f aca="false">IFERROR(VLOOKUP(C1436,Ingredients!$B$6:$I$206,7,FALSE()),"?")</f>
        <v>unit</v>
      </c>
      <c r="G1436" s="31" t="n">
        <f aca="false">IFERROR(VLOOKUP(C1436,Ingredients!$B$6:$I$206,6,FALSE()),0)</f>
        <v>0.03</v>
      </c>
      <c r="H1436" s="32" t="n">
        <f aca="false">IFERROR(D1436*G1436,0)</f>
        <v>0.03</v>
      </c>
    </row>
    <row r="1437" customFormat="false" ht="15" hidden="false" customHeight="true" outlineLevel="0" collapsed="false">
      <c r="B1437" s="14" t="n">
        <v>266</v>
      </c>
      <c r="C1437" s="11" t="s">
        <v>119</v>
      </c>
      <c r="D1437" s="17" t="n">
        <v>0.04</v>
      </c>
      <c r="E1437" s="11" t="s">
        <v>79</v>
      </c>
      <c r="F1437" s="14" t="str">
        <f aca="false">IFERROR(VLOOKUP(C1437,Ingredients!$B$6:$I$206,7,FALSE()),"?")</f>
        <v>ml</v>
      </c>
      <c r="G1437" s="31" t="n">
        <f aca="false">IFERROR(VLOOKUP(C1437,Ingredients!$B$6:$I$206,6,FALSE()),0)</f>
        <v>6</v>
      </c>
      <c r="H1437" s="32" t="n">
        <f aca="false">IFERROR(D1437*G1437,0)</f>
        <v>0.24</v>
      </c>
    </row>
    <row r="1438" customFormat="false" ht="15" hidden="false" customHeight="true" outlineLevel="0" collapsed="false">
      <c r="B1438" s="14" t="n">
        <v>266</v>
      </c>
      <c r="C1438" s="11" t="s">
        <v>63</v>
      </c>
      <c r="D1438" s="17" t="n">
        <v>0.46</v>
      </c>
      <c r="E1438" s="11" t="s">
        <v>65</v>
      </c>
      <c r="F1438" s="14" t="str">
        <f aca="false">IFERROR(VLOOKUP(C1438,Ingredients!$B$6:$I$206,7,FALSE()),"?")</f>
        <v>L</v>
      </c>
      <c r="G1438" s="31" t="n">
        <f aca="false">IFERROR(VLOOKUP(C1438,Ingredients!$B$6:$I$206,6,FALSE()),0)</f>
        <v>0.732745961820852</v>
      </c>
      <c r="H1438" s="32" t="n">
        <f aca="false">IFERROR(D1438*G1438,0)</f>
        <v>0.337063142437592</v>
      </c>
    </row>
    <row r="1439" customFormat="false" ht="15" hidden="false" customHeight="true" outlineLevel="0" collapsed="false">
      <c r="B1439" s="14" t="n">
        <v>266</v>
      </c>
      <c r="C1439" s="11" t="s">
        <v>142</v>
      </c>
      <c r="D1439" s="17" t="n">
        <v>1</v>
      </c>
      <c r="E1439" s="11" t="s">
        <v>112</v>
      </c>
      <c r="F1439" s="14" t="str">
        <f aca="false">IFERROR(VLOOKUP(C1439,Ingredients!$B$6:$I$206,7,FALSE()),"?")</f>
        <v>unit</v>
      </c>
      <c r="G1439" s="31" t="n">
        <f aca="false">IFERROR(VLOOKUP(C1439,Ingredients!$B$6:$I$206,6,FALSE()),0)</f>
        <v>0.14</v>
      </c>
      <c r="H1439" s="32" t="n">
        <f aca="false">IFERROR(D1439*G1439,0)</f>
        <v>0.14</v>
      </c>
    </row>
    <row r="1440" customFormat="false" ht="15" hidden="false" customHeight="true" outlineLevel="0" collapsed="false">
      <c r="B1440" s="14" t="n">
        <v>266</v>
      </c>
      <c r="C1440" s="11" t="s">
        <v>144</v>
      </c>
      <c r="D1440" s="17" t="n">
        <v>1</v>
      </c>
      <c r="E1440" s="11" t="s">
        <v>112</v>
      </c>
      <c r="F1440" s="14" t="str">
        <f aca="false">IFERROR(VLOOKUP(C1440,Ingredients!$B$6:$I$206,7,FALSE()),"?")</f>
        <v>unit</v>
      </c>
      <c r="G1440" s="31" t="n">
        <f aca="false">IFERROR(VLOOKUP(C1440,Ingredients!$B$6:$I$206,6,FALSE()),0)</f>
        <v>0.03</v>
      </c>
      <c r="H1440" s="32" t="n">
        <f aca="false">IFERROR(D1440*G1440,0)</f>
        <v>0.03</v>
      </c>
    </row>
    <row r="1441" customFormat="false" ht="15" hidden="false" customHeight="true" outlineLevel="0" collapsed="false">
      <c r="B1441" s="14" t="n">
        <v>267</v>
      </c>
      <c r="C1441" s="11" t="s">
        <v>77</v>
      </c>
      <c r="D1441" s="17" t="n">
        <v>0.036</v>
      </c>
      <c r="E1441" s="11" t="s">
        <v>79</v>
      </c>
      <c r="F1441" s="14" t="str">
        <f aca="false">IFERROR(VLOOKUP(C1441,Ingredients!$B$6:$I$206,7,FALSE()),"?")</f>
        <v>kg</v>
      </c>
      <c r="G1441" s="31" t="n">
        <f aca="false">IFERROR(VLOOKUP(C1441,Ingredients!$B$6:$I$206,6,FALSE()),0)</f>
        <v>16.25</v>
      </c>
      <c r="H1441" s="32" t="n">
        <f aca="false">IFERROR(D1441*G1441,0)</f>
        <v>0.585</v>
      </c>
    </row>
    <row r="1442" customFormat="false" ht="15" hidden="false" customHeight="true" outlineLevel="0" collapsed="false">
      <c r="B1442" s="14" t="n">
        <v>267</v>
      </c>
      <c r="C1442" s="11" t="s">
        <v>63</v>
      </c>
      <c r="D1442" s="17" t="n">
        <v>0.3</v>
      </c>
      <c r="E1442" s="11" t="s">
        <v>65</v>
      </c>
      <c r="F1442" s="14" t="str">
        <f aca="false">IFERROR(VLOOKUP(C1442,Ingredients!$B$6:$I$206,7,FALSE()),"?")</f>
        <v>L</v>
      </c>
      <c r="G1442" s="31" t="n">
        <f aca="false">IFERROR(VLOOKUP(C1442,Ingredients!$B$6:$I$206,6,FALSE()),0)</f>
        <v>0.732745961820852</v>
      </c>
      <c r="H1442" s="32" t="n">
        <f aca="false">IFERROR(D1442*G1442,0)</f>
        <v>0.219823788546256</v>
      </c>
    </row>
    <row r="1443" customFormat="false" ht="15" hidden="false" customHeight="true" outlineLevel="0" collapsed="false">
      <c r="B1443" s="14" t="n">
        <v>267</v>
      </c>
      <c r="C1443" s="11" t="s">
        <v>119</v>
      </c>
      <c r="D1443" s="17" t="n">
        <v>0.03</v>
      </c>
      <c r="E1443" s="11" t="s">
        <v>79</v>
      </c>
      <c r="F1443" s="14" t="str">
        <f aca="false">IFERROR(VLOOKUP(C1443,Ingredients!$B$6:$I$206,7,FALSE()),"?")</f>
        <v>ml</v>
      </c>
      <c r="G1443" s="31" t="n">
        <f aca="false">IFERROR(VLOOKUP(C1443,Ingredients!$B$6:$I$206,6,FALSE()),0)</f>
        <v>6</v>
      </c>
      <c r="H1443" s="32" t="n">
        <f aca="false">IFERROR(D1443*G1443,0)</f>
        <v>0.18</v>
      </c>
    </row>
    <row r="1444" customFormat="false" ht="15" hidden="false" customHeight="true" outlineLevel="0" collapsed="false">
      <c r="B1444" s="14" t="n">
        <v>267</v>
      </c>
      <c r="C1444" s="11" t="s">
        <v>138</v>
      </c>
      <c r="D1444" s="17" t="n">
        <v>1</v>
      </c>
      <c r="E1444" s="11" t="s">
        <v>112</v>
      </c>
      <c r="F1444" s="14" t="str">
        <f aca="false">IFERROR(VLOOKUP(C1444,Ingredients!$B$6:$I$206,7,FALSE()),"?")</f>
        <v>unit</v>
      </c>
      <c r="G1444" s="31" t="n">
        <f aca="false">IFERROR(VLOOKUP(C1444,Ingredients!$B$6:$I$206,6,FALSE()),0)</f>
        <v>0.11</v>
      </c>
      <c r="H1444" s="32" t="n">
        <f aca="false">IFERROR(D1444*G1444,0)</f>
        <v>0.11</v>
      </c>
    </row>
    <row r="1445" customFormat="false" ht="15" hidden="false" customHeight="true" outlineLevel="0" collapsed="false">
      <c r="B1445" s="14" t="n">
        <v>267</v>
      </c>
      <c r="C1445" s="11" t="s">
        <v>140</v>
      </c>
      <c r="D1445" s="17" t="n">
        <v>1</v>
      </c>
      <c r="E1445" s="11" t="s">
        <v>112</v>
      </c>
      <c r="F1445" s="14" t="str">
        <f aca="false">IFERROR(VLOOKUP(C1445,Ingredients!$B$6:$I$206,7,FALSE()),"?")</f>
        <v>unit</v>
      </c>
      <c r="G1445" s="31" t="n">
        <f aca="false">IFERROR(VLOOKUP(C1445,Ingredients!$B$6:$I$206,6,FALSE()),0)</f>
        <v>0.03</v>
      </c>
      <c r="H1445" s="32" t="n">
        <f aca="false">IFERROR(D1445*G1445,0)</f>
        <v>0.03</v>
      </c>
    </row>
    <row r="1446" customFormat="false" ht="15" hidden="false" customHeight="true" outlineLevel="0" collapsed="false">
      <c r="B1446" s="14" t="n">
        <v>268</v>
      </c>
      <c r="C1446" s="11" t="s">
        <v>77</v>
      </c>
      <c r="D1446" s="17" t="n">
        <v>0.036</v>
      </c>
      <c r="E1446" s="11" t="s">
        <v>79</v>
      </c>
      <c r="F1446" s="14" t="str">
        <f aca="false">IFERROR(VLOOKUP(C1446,Ingredients!$B$6:$I$206,7,FALSE()),"?")</f>
        <v>kg</v>
      </c>
      <c r="G1446" s="31" t="n">
        <f aca="false">IFERROR(VLOOKUP(C1446,Ingredients!$B$6:$I$206,6,FALSE()),0)</f>
        <v>16.25</v>
      </c>
      <c r="H1446" s="32" t="n">
        <f aca="false">IFERROR(D1446*G1446,0)</f>
        <v>0.585</v>
      </c>
    </row>
    <row r="1447" customFormat="false" ht="15" hidden="false" customHeight="true" outlineLevel="0" collapsed="false">
      <c r="B1447" s="14" t="n">
        <v>268</v>
      </c>
      <c r="C1447" s="11" t="s">
        <v>63</v>
      </c>
      <c r="D1447" s="17" t="n">
        <v>0.18</v>
      </c>
      <c r="E1447" s="11" t="s">
        <v>65</v>
      </c>
      <c r="F1447" s="14" t="str">
        <f aca="false">IFERROR(VLOOKUP(C1447,Ingredients!$B$6:$I$206,7,FALSE()),"?")</f>
        <v>L</v>
      </c>
      <c r="G1447" s="31" t="n">
        <f aca="false">IFERROR(VLOOKUP(C1447,Ingredients!$B$6:$I$206,6,FALSE()),0)</f>
        <v>0.732745961820852</v>
      </c>
      <c r="H1447" s="32" t="n">
        <f aca="false">IFERROR(D1447*G1447,0)</f>
        <v>0.131894273127753</v>
      </c>
    </row>
    <row r="1448" customFormat="false" ht="15" hidden="false" customHeight="true" outlineLevel="0" collapsed="false">
      <c r="B1448" s="14" t="n">
        <v>268</v>
      </c>
      <c r="C1448" s="11" t="s">
        <v>119</v>
      </c>
      <c r="D1448" s="17" t="n">
        <v>0.02</v>
      </c>
      <c r="E1448" s="11" t="s">
        <v>79</v>
      </c>
      <c r="F1448" s="14" t="str">
        <f aca="false">IFERROR(VLOOKUP(C1448,Ingredients!$B$6:$I$206,7,FALSE()),"?")</f>
        <v>ml</v>
      </c>
      <c r="G1448" s="31" t="n">
        <f aca="false">IFERROR(VLOOKUP(C1448,Ingredients!$B$6:$I$206,6,FALSE()),0)</f>
        <v>6</v>
      </c>
      <c r="H1448" s="32" t="n">
        <f aca="false">IFERROR(D1448*G1448,0)</f>
        <v>0.12</v>
      </c>
    </row>
    <row r="1449" customFormat="false" ht="15" hidden="false" customHeight="true" outlineLevel="0" collapsed="false">
      <c r="B1449" s="14" t="n">
        <v>268</v>
      </c>
      <c r="C1449" s="11" t="s">
        <v>134</v>
      </c>
      <c r="D1449" s="17" t="n">
        <v>1</v>
      </c>
      <c r="E1449" s="11" t="s">
        <v>112</v>
      </c>
      <c r="F1449" s="14" t="str">
        <f aca="false">IFERROR(VLOOKUP(C1449,Ingredients!$B$6:$I$206,7,FALSE()),"?")</f>
        <v>unit</v>
      </c>
      <c r="G1449" s="31" t="n">
        <f aca="false">IFERROR(VLOOKUP(C1449,Ingredients!$B$6:$I$206,6,FALSE()),0)</f>
        <v>0.09</v>
      </c>
      <c r="H1449" s="32" t="n">
        <f aca="false">IFERROR(D1449*G1449,0)</f>
        <v>0.09</v>
      </c>
    </row>
    <row r="1450" customFormat="false" ht="15" hidden="false" customHeight="true" outlineLevel="0" collapsed="false">
      <c r="B1450" s="14" t="n">
        <v>268</v>
      </c>
      <c r="C1450" s="11" t="s">
        <v>136</v>
      </c>
      <c r="D1450" s="17" t="n">
        <v>1</v>
      </c>
      <c r="E1450" s="11" t="s">
        <v>112</v>
      </c>
      <c r="F1450" s="14" t="str">
        <f aca="false">IFERROR(VLOOKUP(C1450,Ingredients!$B$6:$I$206,7,FALSE()),"?")</f>
        <v>unit</v>
      </c>
      <c r="G1450" s="31" t="n">
        <f aca="false">IFERROR(VLOOKUP(C1450,Ingredients!$B$6:$I$206,6,FALSE()),0)</f>
        <v>0.03</v>
      </c>
      <c r="H1450" s="32" t="n">
        <f aca="false">IFERROR(D1450*G1450,0)</f>
        <v>0.03</v>
      </c>
    </row>
    <row r="1451" customFormat="false" ht="15" hidden="false" customHeight="true" outlineLevel="0" collapsed="false">
      <c r="B1451" s="14" t="n">
        <v>269</v>
      </c>
      <c r="C1451" s="11" t="s">
        <v>77</v>
      </c>
      <c r="D1451" s="17" t="n">
        <v>0.072</v>
      </c>
      <c r="E1451" s="11" t="s">
        <v>79</v>
      </c>
      <c r="F1451" s="14" t="str">
        <f aca="false">IFERROR(VLOOKUP(C1451,Ingredients!$B$6:$I$206,7,FALSE()),"?")</f>
        <v>kg</v>
      </c>
      <c r="G1451" s="31" t="n">
        <f aca="false">IFERROR(VLOOKUP(C1451,Ingredients!$B$6:$I$206,6,FALSE()),0)</f>
        <v>16.25</v>
      </c>
      <c r="H1451" s="32" t="n">
        <f aca="false">IFERROR(D1451*G1451,0)</f>
        <v>1.17</v>
      </c>
    </row>
    <row r="1452" customFormat="false" ht="15" hidden="false" customHeight="true" outlineLevel="0" collapsed="false">
      <c r="B1452" s="14" t="n">
        <v>269</v>
      </c>
      <c r="C1452" s="11" t="s">
        <v>63</v>
      </c>
      <c r="D1452" s="17" t="n">
        <v>0.36</v>
      </c>
      <c r="E1452" s="11" t="s">
        <v>65</v>
      </c>
      <c r="F1452" s="14" t="str">
        <f aca="false">IFERROR(VLOOKUP(C1452,Ingredients!$B$6:$I$206,7,FALSE()),"?")</f>
        <v>L</v>
      </c>
      <c r="G1452" s="31" t="n">
        <f aca="false">IFERROR(VLOOKUP(C1452,Ingredients!$B$6:$I$206,6,FALSE()),0)</f>
        <v>0.732745961820852</v>
      </c>
      <c r="H1452" s="32" t="n">
        <f aca="false">IFERROR(D1452*G1452,0)</f>
        <v>0.263788546255507</v>
      </c>
    </row>
    <row r="1453" customFormat="false" ht="15" hidden="false" customHeight="true" outlineLevel="0" collapsed="false">
      <c r="B1453" s="14" t="n">
        <v>269</v>
      </c>
      <c r="C1453" s="11" t="s">
        <v>119</v>
      </c>
      <c r="D1453" s="17" t="n">
        <v>0.04</v>
      </c>
      <c r="E1453" s="11" t="s">
        <v>79</v>
      </c>
      <c r="F1453" s="14" t="str">
        <f aca="false">IFERROR(VLOOKUP(C1453,Ingredients!$B$6:$I$206,7,FALSE()),"?")</f>
        <v>ml</v>
      </c>
      <c r="G1453" s="31" t="n">
        <f aca="false">IFERROR(VLOOKUP(C1453,Ingredients!$B$6:$I$206,6,FALSE()),0)</f>
        <v>6</v>
      </c>
      <c r="H1453" s="32" t="n">
        <f aca="false">IFERROR(D1453*G1453,0)</f>
        <v>0.24</v>
      </c>
    </row>
    <row r="1454" customFormat="false" ht="15" hidden="false" customHeight="true" outlineLevel="0" collapsed="false">
      <c r="B1454" s="14" t="n">
        <v>269</v>
      </c>
      <c r="C1454" s="11" t="s">
        <v>142</v>
      </c>
      <c r="D1454" s="17" t="n">
        <v>1</v>
      </c>
      <c r="E1454" s="11" t="s">
        <v>112</v>
      </c>
      <c r="F1454" s="14" t="str">
        <f aca="false">IFERROR(VLOOKUP(C1454,Ingredients!$B$6:$I$206,7,FALSE()),"?")</f>
        <v>unit</v>
      </c>
      <c r="G1454" s="31" t="n">
        <f aca="false">IFERROR(VLOOKUP(C1454,Ingredients!$B$6:$I$206,6,FALSE()),0)</f>
        <v>0.14</v>
      </c>
      <c r="H1454" s="32" t="n">
        <f aca="false">IFERROR(D1454*G1454,0)</f>
        <v>0.14</v>
      </c>
    </row>
    <row r="1455" customFormat="false" ht="15" hidden="false" customHeight="true" outlineLevel="0" collapsed="false">
      <c r="B1455" s="14" t="n">
        <v>269</v>
      </c>
      <c r="C1455" s="11" t="s">
        <v>144</v>
      </c>
      <c r="D1455" s="17" t="n">
        <v>1</v>
      </c>
      <c r="E1455" s="11" t="s">
        <v>112</v>
      </c>
      <c r="F1455" s="14" t="str">
        <f aca="false">IFERROR(VLOOKUP(C1455,Ingredients!$B$6:$I$206,7,FALSE()),"?")</f>
        <v>unit</v>
      </c>
      <c r="G1455" s="31" t="n">
        <f aca="false">IFERROR(VLOOKUP(C1455,Ingredients!$B$6:$I$206,6,FALSE()),0)</f>
        <v>0.03</v>
      </c>
      <c r="H1455" s="32" t="n">
        <f aca="false">IFERROR(D1455*G1455,0)</f>
        <v>0.03</v>
      </c>
    </row>
    <row r="1456" customFormat="false" ht="15" hidden="false" customHeight="true" outlineLevel="0" collapsed="false">
      <c r="B1456" s="14" t="n">
        <v>291</v>
      </c>
      <c r="C1456" s="11" t="s">
        <v>122</v>
      </c>
      <c r="D1456" s="17" t="n">
        <v>0.003</v>
      </c>
      <c r="E1456" s="11" t="s">
        <v>79</v>
      </c>
      <c r="F1456" s="14" t="str">
        <f aca="false">IFERROR(VLOOKUP(C1456,Ingredients!$B$6:$I$206,7,FALSE()),"?")</f>
        <v>kg</v>
      </c>
      <c r="G1456" s="31" t="n">
        <f aca="false">IFERROR(VLOOKUP(C1456,Ingredients!$B$6:$I$206,6,FALSE()),0)</f>
        <v>181.818181818182</v>
      </c>
      <c r="H1456" s="32" t="n">
        <f aca="false">IFERROR(D1456*G1456,0)</f>
        <v>0.545454545454545</v>
      </c>
    </row>
    <row r="1457" customFormat="false" ht="15" hidden="false" customHeight="true" outlineLevel="0" collapsed="false">
      <c r="B1457" s="14" t="n">
        <v>291</v>
      </c>
      <c r="C1457" s="11" t="s">
        <v>63</v>
      </c>
      <c r="D1457" s="17" t="n">
        <v>0.28</v>
      </c>
      <c r="E1457" s="11" t="s">
        <v>65</v>
      </c>
      <c r="F1457" s="14" t="str">
        <f aca="false">IFERROR(VLOOKUP(C1457,Ingredients!$B$6:$I$206,7,FALSE()),"?")</f>
        <v>L</v>
      </c>
      <c r="G1457" s="31" t="n">
        <f aca="false">IFERROR(VLOOKUP(C1457,Ingredients!$B$6:$I$206,6,FALSE()),0)</f>
        <v>0.732745961820852</v>
      </c>
      <c r="H1457" s="32" t="n">
        <f aca="false">IFERROR(D1457*G1457,0)</f>
        <v>0.205168869309839</v>
      </c>
    </row>
    <row r="1458" customFormat="false" ht="15" hidden="false" customHeight="true" outlineLevel="0" collapsed="false">
      <c r="B1458" s="14" t="n">
        <v>291</v>
      </c>
      <c r="C1458" s="11" t="s">
        <v>138</v>
      </c>
      <c r="D1458" s="17" t="n">
        <v>1</v>
      </c>
      <c r="E1458" s="11" t="s">
        <v>112</v>
      </c>
      <c r="F1458" s="14" t="str">
        <f aca="false">IFERROR(VLOOKUP(C1458,Ingredients!$B$6:$I$206,7,FALSE()),"?")</f>
        <v>unit</v>
      </c>
      <c r="G1458" s="31" t="n">
        <f aca="false">IFERROR(VLOOKUP(C1458,Ingredients!$B$6:$I$206,6,FALSE()),0)</f>
        <v>0.11</v>
      </c>
      <c r="H1458" s="32" t="n">
        <f aca="false">IFERROR(D1458*G1458,0)</f>
        <v>0.11</v>
      </c>
    </row>
    <row r="1459" customFormat="false" ht="15" hidden="false" customHeight="true" outlineLevel="0" collapsed="false">
      <c r="B1459" s="14" t="n">
        <v>291</v>
      </c>
      <c r="C1459" s="11" t="s">
        <v>140</v>
      </c>
      <c r="D1459" s="17" t="n">
        <v>1</v>
      </c>
      <c r="E1459" s="11" t="s">
        <v>112</v>
      </c>
      <c r="F1459" s="14" t="str">
        <f aca="false">IFERROR(VLOOKUP(C1459,Ingredients!$B$6:$I$206,7,FALSE()),"?")</f>
        <v>unit</v>
      </c>
      <c r="G1459" s="31" t="n">
        <f aca="false">IFERROR(VLOOKUP(C1459,Ingredients!$B$6:$I$206,6,FALSE()),0)</f>
        <v>0.03</v>
      </c>
      <c r="H1459" s="32" t="n">
        <f aca="false">IFERROR(D1459*G1459,0)</f>
        <v>0.03</v>
      </c>
    </row>
    <row r="1460" customFormat="false" ht="15" hidden="false" customHeight="true" outlineLevel="0" collapsed="false">
      <c r="B1460" s="14" t="n">
        <v>291</v>
      </c>
      <c r="C1460" s="11" t="s">
        <v>102</v>
      </c>
      <c r="D1460" s="17" t="n">
        <v>30</v>
      </c>
      <c r="E1460" s="11" t="s">
        <v>84</v>
      </c>
      <c r="F1460" s="14" t="str">
        <f aca="false">IFERROR(VLOOKUP(C1460,Ingredients!$B$6:$I$206,7,FALSE()),"?")</f>
        <v>ml</v>
      </c>
      <c r="G1460" s="31" t="n">
        <f aca="false">IFERROR(VLOOKUP(C1460,Ingredients!$B$6:$I$206,6,FALSE()),0)</f>
        <v>0.005</v>
      </c>
      <c r="H1460" s="32" t="n">
        <f aca="false">IFERROR(D1460*G1460,0)</f>
        <v>0.15</v>
      </c>
    </row>
    <row r="1461" customFormat="false" ht="15" hidden="false" customHeight="true" outlineLevel="0" collapsed="false">
      <c r="B1461" s="14" t="n">
        <v>292</v>
      </c>
      <c r="C1461" s="11" t="s">
        <v>115</v>
      </c>
      <c r="D1461" s="17" t="n">
        <v>0.00125</v>
      </c>
      <c r="E1461" s="11" t="s">
        <v>79</v>
      </c>
      <c r="F1461" s="14" t="str">
        <f aca="false">IFERROR(VLOOKUP(C1461,Ingredients!$B$6:$I$206,7,FALSE()),"?")</f>
        <v>kg</v>
      </c>
      <c r="G1461" s="31" t="n">
        <f aca="false">IFERROR(VLOOKUP(C1461,Ingredients!$B$6:$I$206,6,FALSE()),0)</f>
        <v>180</v>
      </c>
      <c r="H1461" s="32" t="n">
        <f aca="false">IFERROR(D1461*G1461,0)</f>
        <v>0.225</v>
      </c>
    </row>
    <row r="1462" customFormat="false" ht="15" hidden="false" customHeight="true" outlineLevel="0" collapsed="false">
      <c r="B1462" s="14" t="n">
        <v>292</v>
      </c>
      <c r="C1462" s="11" t="s">
        <v>63</v>
      </c>
      <c r="D1462" s="17" t="n">
        <v>0.34</v>
      </c>
      <c r="E1462" s="11" t="s">
        <v>65</v>
      </c>
      <c r="F1462" s="14" t="str">
        <f aca="false">IFERROR(VLOOKUP(C1462,Ingredients!$B$6:$I$206,7,FALSE()),"?")</f>
        <v>L</v>
      </c>
      <c r="G1462" s="31" t="n">
        <f aca="false">IFERROR(VLOOKUP(C1462,Ingredients!$B$6:$I$206,6,FALSE()),0)</f>
        <v>0.732745961820852</v>
      </c>
      <c r="H1462" s="32" t="n">
        <f aca="false">IFERROR(D1462*G1462,0)</f>
        <v>0.24913362701909</v>
      </c>
    </row>
    <row r="1463" customFormat="false" ht="15" hidden="false" customHeight="true" outlineLevel="0" collapsed="false">
      <c r="B1463" s="14" t="n">
        <v>292</v>
      </c>
      <c r="C1463" s="11" t="s">
        <v>138</v>
      </c>
      <c r="D1463" s="17" t="n">
        <v>1</v>
      </c>
      <c r="E1463" s="11" t="s">
        <v>112</v>
      </c>
      <c r="F1463" s="14" t="str">
        <f aca="false">IFERROR(VLOOKUP(C1463,Ingredients!$B$6:$I$206,7,FALSE()),"?")</f>
        <v>unit</v>
      </c>
      <c r="G1463" s="31" t="n">
        <f aca="false">IFERROR(VLOOKUP(C1463,Ingredients!$B$6:$I$206,6,FALSE()),0)</f>
        <v>0.11</v>
      </c>
      <c r="H1463" s="32" t="n">
        <f aca="false">IFERROR(D1463*G1463,0)</f>
        <v>0.11</v>
      </c>
    </row>
    <row r="1464" customFormat="false" ht="15" hidden="false" customHeight="true" outlineLevel="0" collapsed="false">
      <c r="B1464" s="14" t="n">
        <v>292</v>
      </c>
      <c r="C1464" s="11" t="s">
        <v>140</v>
      </c>
      <c r="D1464" s="17" t="n">
        <v>1</v>
      </c>
      <c r="E1464" s="11" t="s">
        <v>112</v>
      </c>
      <c r="F1464" s="14" t="str">
        <f aca="false">IFERROR(VLOOKUP(C1464,Ingredients!$B$6:$I$206,7,FALSE()),"?")</f>
        <v>unit</v>
      </c>
      <c r="G1464" s="31" t="n">
        <f aca="false">IFERROR(VLOOKUP(C1464,Ingredients!$B$6:$I$206,6,FALSE()),0)</f>
        <v>0.03</v>
      </c>
      <c r="H1464" s="32" t="n">
        <f aca="false">IFERROR(D1464*G1464,0)</f>
        <v>0.03</v>
      </c>
    </row>
    <row r="1465" customFormat="false" ht="15" hidden="false" customHeight="true" outlineLevel="0" collapsed="false">
      <c r="B1465" s="14" t="n">
        <v>293</v>
      </c>
      <c r="C1465" s="11" t="s">
        <v>122</v>
      </c>
      <c r="D1465" s="17" t="n">
        <v>0.003</v>
      </c>
      <c r="E1465" s="11" t="s">
        <v>79</v>
      </c>
      <c r="F1465" s="14" t="str">
        <f aca="false">IFERROR(VLOOKUP(C1465,Ingredients!$B$6:$I$206,7,FALSE()),"?")</f>
        <v>kg</v>
      </c>
      <c r="G1465" s="31" t="n">
        <f aca="false">IFERROR(VLOOKUP(C1465,Ingredients!$B$6:$I$206,6,FALSE()),0)</f>
        <v>181.818181818182</v>
      </c>
      <c r="H1465" s="32" t="n">
        <f aca="false">IFERROR(D1465*G1465,0)</f>
        <v>0.545454545454545</v>
      </c>
    </row>
    <row r="1466" customFormat="false" ht="15" hidden="false" customHeight="true" outlineLevel="0" collapsed="false">
      <c r="B1466" s="14" t="n">
        <v>293</v>
      </c>
      <c r="C1466" s="11" t="s">
        <v>63</v>
      </c>
      <c r="D1466" s="17" t="n">
        <v>0.2</v>
      </c>
      <c r="E1466" s="11" t="s">
        <v>65</v>
      </c>
      <c r="F1466" s="14" t="str">
        <f aca="false">IFERROR(VLOOKUP(C1466,Ingredients!$B$6:$I$206,7,FALSE()),"?")</f>
        <v>L</v>
      </c>
      <c r="G1466" s="31" t="n">
        <f aca="false">IFERROR(VLOOKUP(C1466,Ingredients!$B$6:$I$206,6,FALSE()),0)</f>
        <v>0.732745961820852</v>
      </c>
      <c r="H1466" s="32" t="n">
        <f aca="false">IFERROR(D1466*G1466,0)</f>
        <v>0.14654919236417</v>
      </c>
    </row>
    <row r="1467" customFormat="false" ht="15" hidden="false" customHeight="true" outlineLevel="0" collapsed="false">
      <c r="B1467" s="14" t="n">
        <v>293</v>
      </c>
      <c r="C1467" s="11" t="s">
        <v>142</v>
      </c>
      <c r="D1467" s="17" t="n">
        <v>1</v>
      </c>
      <c r="E1467" s="11" t="s">
        <v>112</v>
      </c>
      <c r="F1467" s="14" t="str">
        <f aca="false">IFERROR(VLOOKUP(C1467,Ingredients!$B$6:$I$206,7,FALSE()),"?")</f>
        <v>unit</v>
      </c>
      <c r="G1467" s="31" t="n">
        <f aca="false">IFERROR(VLOOKUP(C1467,Ingredients!$B$6:$I$206,6,FALSE()),0)</f>
        <v>0.14</v>
      </c>
      <c r="H1467" s="32" t="n">
        <f aca="false">IFERROR(D1467*G1467,0)</f>
        <v>0.14</v>
      </c>
    </row>
    <row r="1468" customFormat="false" ht="15" hidden="false" customHeight="true" outlineLevel="0" collapsed="false">
      <c r="B1468" s="14" t="n">
        <v>293</v>
      </c>
      <c r="C1468" s="11" t="s">
        <v>144</v>
      </c>
      <c r="D1468" s="17" t="n">
        <v>1</v>
      </c>
      <c r="E1468" s="11" t="s">
        <v>112</v>
      </c>
      <c r="F1468" s="14" t="str">
        <f aca="false">IFERROR(VLOOKUP(C1468,Ingredients!$B$6:$I$206,7,FALSE()),"?")</f>
        <v>unit</v>
      </c>
      <c r="G1468" s="31" t="n">
        <f aca="false">IFERROR(VLOOKUP(C1468,Ingredients!$B$6:$I$206,6,FALSE()),0)</f>
        <v>0.03</v>
      </c>
      <c r="H1468" s="32" t="n">
        <f aca="false">IFERROR(D1468*G1468,0)</f>
        <v>0.03</v>
      </c>
    </row>
    <row r="1469" customFormat="false" ht="15" hidden="false" customHeight="true" outlineLevel="0" collapsed="false">
      <c r="B1469" s="14" t="n">
        <v>3</v>
      </c>
      <c r="C1469" s="11" t="s">
        <v>168</v>
      </c>
      <c r="D1469" s="17" t="n">
        <v>1</v>
      </c>
      <c r="E1469" s="11" t="s">
        <v>112</v>
      </c>
      <c r="F1469" s="14" t="str">
        <f aca="false">IFERROR(VLOOKUP(C1469,Ingredients!$B$6:$I$206,7,FALSE()),"?")</f>
        <v>unit</v>
      </c>
      <c r="G1469" s="31" t="n">
        <f aca="false">IFERROR(VLOOKUP(C1469,Ingredients!$B$6:$I$206,6,FALSE()),0)</f>
        <v>1.3</v>
      </c>
      <c r="H1469" s="32" t="n">
        <f aca="false">IFERROR(D1469*G1469,0)</f>
        <v>1.3</v>
      </c>
    </row>
    <row r="1470" customFormat="false" ht="15" hidden="false" customHeight="true" outlineLevel="0" collapsed="false">
      <c r="B1470" s="14" t="n">
        <v>37</v>
      </c>
      <c r="C1470" s="11" t="s">
        <v>177</v>
      </c>
      <c r="D1470" s="17" t="n">
        <v>1</v>
      </c>
      <c r="E1470" s="11" t="s">
        <v>112</v>
      </c>
      <c r="F1470" s="14" t="str">
        <f aca="false">IFERROR(VLOOKUP(C1470,Ingredients!$B$6:$I$206,7,FALSE()),"?")</f>
        <v>unit</v>
      </c>
      <c r="G1470" s="31" t="n">
        <f aca="false">IFERROR(VLOOKUP(C1470,Ingredients!$B$6:$I$206,6,FALSE()),0)</f>
        <v>1.74</v>
      </c>
      <c r="H1470" s="32" t="n">
        <f aca="false">IFERROR(D1470*G1470,0)</f>
        <v>1.74</v>
      </c>
    </row>
    <row r="1471" customFormat="false" ht="15" hidden="false" customHeight="true" outlineLevel="0" collapsed="false">
      <c r="B1471" s="14" t="n">
        <v>165</v>
      </c>
      <c r="C1471" s="11" t="s">
        <v>180</v>
      </c>
      <c r="D1471" s="17" t="n">
        <v>1</v>
      </c>
      <c r="E1471" s="11" t="s">
        <v>112</v>
      </c>
      <c r="F1471" s="14" t="str">
        <f aca="false">IFERROR(VLOOKUP(C1471,Ingredients!$B$6:$I$206,7,FALSE()),"?")</f>
        <v>unit</v>
      </c>
      <c r="G1471" s="31" t="n">
        <f aca="false">IFERROR(VLOOKUP(C1471,Ingredients!$B$6:$I$206,6,FALSE()),0)</f>
        <v>14</v>
      </c>
      <c r="H1471" s="32" t="n">
        <f aca="false">IFERROR(D1471*G1471,0)</f>
        <v>14</v>
      </c>
    </row>
    <row r="1472" customFormat="false" ht="15" hidden="false" customHeight="true" outlineLevel="0" collapsed="false">
      <c r="B1472" s="14" t="n">
        <v>172</v>
      </c>
      <c r="C1472" s="11" t="s">
        <v>174</v>
      </c>
      <c r="D1472" s="17" t="n">
        <v>1</v>
      </c>
      <c r="E1472" s="11" t="s">
        <v>112</v>
      </c>
      <c r="F1472" s="14" t="str">
        <f aca="false">IFERROR(VLOOKUP(C1472,Ingredients!$B$6:$I$206,7,FALSE()),"?")</f>
        <v>unit</v>
      </c>
      <c r="G1472" s="31" t="n">
        <f aca="false">IFERROR(VLOOKUP(C1472,Ingredients!$B$6:$I$206,6,FALSE()),0)</f>
        <v>1.32</v>
      </c>
      <c r="H1472" s="32" t="n">
        <f aca="false">IFERROR(D1472*G1472,0)</f>
        <v>1.32</v>
      </c>
    </row>
    <row r="1473" customFormat="false" ht="15" hidden="false" customHeight="true" outlineLevel="0" collapsed="false">
      <c r="B1473" s="14" t="n">
        <v>231</v>
      </c>
      <c r="C1473" s="11" t="s">
        <v>159</v>
      </c>
      <c r="D1473" s="17" t="n">
        <v>1</v>
      </c>
      <c r="E1473" s="11" t="s">
        <v>112</v>
      </c>
      <c r="F1473" s="14" t="str">
        <f aca="false">IFERROR(VLOOKUP(C1473,Ingredients!$B$6:$I$206,7,FALSE()),"?")</f>
        <v>unit</v>
      </c>
      <c r="G1473" s="31" t="n">
        <f aca="false">IFERROR(VLOOKUP(C1473,Ingredients!$B$6:$I$206,6,FALSE()),0)</f>
        <v>1.3</v>
      </c>
      <c r="H1473" s="32" t="n">
        <f aca="false">IFERROR(D1473*G1473,0)</f>
        <v>1.3</v>
      </c>
    </row>
    <row r="1474" customFormat="false" ht="15" hidden="false" customHeight="true" outlineLevel="0" collapsed="false">
      <c r="B1474" s="14" t="n">
        <v>246</v>
      </c>
      <c r="C1474" s="11" t="s">
        <v>160</v>
      </c>
      <c r="D1474" s="17" t="n">
        <v>1</v>
      </c>
      <c r="E1474" s="11" t="s">
        <v>112</v>
      </c>
      <c r="F1474" s="14" t="str">
        <f aca="false">IFERROR(VLOOKUP(C1474,Ingredients!$B$6:$I$206,7,FALSE()),"?")</f>
        <v>unit</v>
      </c>
      <c r="G1474" s="31" t="n">
        <f aca="false">IFERROR(VLOOKUP(C1474,Ingredients!$B$6:$I$206,6,FALSE()),0)</f>
        <v>1.3</v>
      </c>
      <c r="H1474" s="32" t="n">
        <f aca="false">IFERROR(D1474*G1474,0)</f>
        <v>1.3</v>
      </c>
    </row>
    <row r="1475" customFormat="false" ht="15" hidden="false" customHeight="true" outlineLevel="0" collapsed="false">
      <c r="B1475" s="14" t="n">
        <v>273</v>
      </c>
      <c r="C1475" s="11" t="s">
        <v>172</v>
      </c>
      <c r="D1475" s="17" t="n">
        <v>1</v>
      </c>
      <c r="E1475" s="11" t="s">
        <v>112</v>
      </c>
      <c r="F1475" s="14" t="str">
        <f aca="false">IFERROR(VLOOKUP(C1475,Ingredients!$B$6:$I$206,7,FALSE()),"?")</f>
        <v>unit</v>
      </c>
      <c r="G1475" s="31" t="n">
        <f aca="false">IFERROR(VLOOKUP(C1475,Ingredients!$B$6:$I$206,6,FALSE()),0)</f>
        <v>1.21</v>
      </c>
      <c r="H1475" s="32" t="n">
        <f aca="false">IFERROR(D1475*G1475,0)</f>
        <v>1.21</v>
      </c>
    </row>
    <row r="1476" customFormat="false" ht="15" hidden="false" customHeight="true" outlineLevel="0" collapsed="false">
      <c r="B1476" s="14" t="n">
        <v>275</v>
      </c>
      <c r="C1476" s="11" t="s">
        <v>169</v>
      </c>
      <c r="D1476" s="17" t="n">
        <v>1</v>
      </c>
      <c r="E1476" s="11" t="s">
        <v>112</v>
      </c>
      <c r="F1476" s="14" t="str">
        <f aca="false">IFERROR(VLOOKUP(C1476,Ingredients!$B$6:$I$206,7,FALSE()),"?")</f>
        <v>unit</v>
      </c>
      <c r="G1476" s="31" t="n">
        <f aca="false">IFERROR(VLOOKUP(C1476,Ingredients!$B$6:$I$206,6,FALSE()),0)</f>
        <v>1.76</v>
      </c>
      <c r="H1476" s="32" t="n">
        <f aca="false">IFERROR(D1476*G1476,0)</f>
        <v>1.76</v>
      </c>
    </row>
    <row r="1477" customFormat="false" ht="15" hidden="false" customHeight="true" outlineLevel="0" collapsed="false">
      <c r="B1477" s="14" t="n">
        <v>276</v>
      </c>
      <c r="C1477" s="11" t="s">
        <v>163</v>
      </c>
      <c r="D1477" s="17" t="n">
        <v>1</v>
      </c>
      <c r="E1477" s="11" t="s">
        <v>112</v>
      </c>
      <c r="F1477" s="14" t="str">
        <f aca="false">IFERROR(VLOOKUP(C1477,Ingredients!$B$6:$I$206,7,FALSE()),"?")</f>
        <v>unit</v>
      </c>
      <c r="G1477" s="31" t="n">
        <f aca="false">IFERROR(VLOOKUP(C1477,Ingredients!$B$6:$I$206,6,FALSE()),0)</f>
        <v>1.09</v>
      </c>
      <c r="H1477" s="32" t="n">
        <f aca="false">IFERROR(D1477*G1477,0)</f>
        <v>1.09</v>
      </c>
    </row>
    <row r="1478" customFormat="false" ht="15" hidden="false" customHeight="true" outlineLevel="0" collapsed="false">
      <c r="B1478" s="14" t="n">
        <v>278</v>
      </c>
      <c r="C1478" s="11" t="s">
        <v>86</v>
      </c>
      <c r="D1478" s="17" t="n">
        <v>30</v>
      </c>
      <c r="E1478" s="11" t="s">
        <v>84</v>
      </c>
      <c r="F1478" s="14" t="str">
        <f aca="false">IFERROR(VLOOKUP(C1478,Ingredients!$B$6:$I$206,7,FALSE()),"?")</f>
        <v>ml</v>
      </c>
      <c r="G1478" s="31" t="n">
        <f aca="false">IFERROR(VLOOKUP(C1478,Ingredients!$B$6:$I$206,6,FALSE()),0)</f>
        <v>0.005</v>
      </c>
      <c r="H1478" s="32" t="n">
        <f aca="false">IFERROR(D1478*G1478,0)</f>
        <v>0.15</v>
      </c>
    </row>
    <row r="1479" customFormat="false" ht="15" hidden="false" customHeight="true" outlineLevel="0" collapsed="false">
      <c r="B1479" s="14" t="n">
        <v>281</v>
      </c>
      <c r="C1479" s="11" t="s">
        <v>74</v>
      </c>
      <c r="D1479" s="17" t="n">
        <v>0.05</v>
      </c>
      <c r="E1479" s="11" t="s">
        <v>65</v>
      </c>
      <c r="F1479" s="14" t="str">
        <f aca="false">IFERROR(VLOOKUP(C1479,Ingredients!$B$6:$I$206,7,FALSE()),"?")</f>
        <v>L</v>
      </c>
      <c r="G1479" s="31" t="n">
        <f aca="false">IFERROR(VLOOKUP(C1479,Ingredients!$B$6:$I$206,6,FALSE()),0)</f>
        <v>2.5</v>
      </c>
      <c r="H1479" s="32" t="n">
        <f aca="false">IFERROR(D1479*G1479,0)</f>
        <v>0.125</v>
      </c>
    </row>
    <row r="1480" customFormat="false" ht="15" hidden="false" customHeight="true" outlineLevel="0" collapsed="false">
      <c r="B1480" s="14" t="n">
        <v>282</v>
      </c>
      <c r="C1480" s="11" t="s">
        <v>181</v>
      </c>
      <c r="D1480" s="17" t="n">
        <v>1</v>
      </c>
      <c r="E1480" s="11" t="s">
        <v>112</v>
      </c>
      <c r="F1480" s="14" t="str">
        <f aca="false">IFERROR(VLOOKUP(C1480,Ingredients!$B$6:$I$206,7,FALSE()),"?")</f>
        <v>unit</v>
      </c>
      <c r="G1480" s="31" t="n">
        <f aca="false">IFERROR(VLOOKUP(C1480,Ingredients!$B$6:$I$206,6,FALSE()),0)</f>
        <v>0.65</v>
      </c>
      <c r="H1480" s="32" t="n">
        <f aca="false">IFERROR(D1480*G1480,0)</f>
        <v>0.65</v>
      </c>
    </row>
    <row r="1481" customFormat="false" ht="15" hidden="false" customHeight="true" outlineLevel="0" collapsed="false">
      <c r="B1481" s="14" t="n">
        <v>284</v>
      </c>
      <c r="C1481" s="11" t="s">
        <v>77</v>
      </c>
      <c r="D1481" s="17" t="n">
        <v>0.018</v>
      </c>
      <c r="E1481" s="11" t="s">
        <v>79</v>
      </c>
      <c r="F1481" s="14" t="str">
        <f aca="false">IFERROR(VLOOKUP(C1481,Ingredients!$B$6:$I$206,7,FALSE()),"?")</f>
        <v>kg</v>
      </c>
      <c r="G1481" s="31" t="n">
        <f aca="false">IFERROR(VLOOKUP(C1481,Ingredients!$B$6:$I$206,6,FALSE()),0)</f>
        <v>16.25</v>
      </c>
      <c r="H1481" s="32" t="n">
        <f aca="false">IFERROR(D1481*G1481,0)</f>
        <v>0.2925</v>
      </c>
    </row>
    <row r="1482" customFormat="false" ht="15" hidden="false" customHeight="true" outlineLevel="0" collapsed="false">
      <c r="B1482" s="14" t="n">
        <v>288</v>
      </c>
      <c r="C1482" s="11" t="s">
        <v>181</v>
      </c>
      <c r="D1482" s="17" t="n">
        <v>1</v>
      </c>
      <c r="E1482" s="11" t="s">
        <v>112</v>
      </c>
      <c r="F1482" s="14" t="str">
        <f aca="false">IFERROR(VLOOKUP(C1482,Ingredients!$B$6:$I$206,7,FALSE()),"?")</f>
        <v>unit</v>
      </c>
      <c r="G1482" s="31" t="n">
        <f aca="false">IFERROR(VLOOKUP(C1482,Ingredients!$B$6:$I$206,6,FALSE()),0)</f>
        <v>0.65</v>
      </c>
      <c r="H1482" s="32" t="n">
        <f aca="false">IFERROR(D1482*G1482,0)</f>
        <v>0.65</v>
      </c>
    </row>
    <row r="1483" customFormat="false" ht="15" hidden="false" customHeight="true" outlineLevel="0" collapsed="false">
      <c r="B1483" s="14" t="n">
        <v>294</v>
      </c>
      <c r="C1483" s="11" t="s">
        <v>179</v>
      </c>
      <c r="D1483" s="17" t="n">
        <v>1</v>
      </c>
      <c r="E1483" s="11" t="s">
        <v>112</v>
      </c>
      <c r="F1483" s="14" t="str">
        <f aca="false">IFERROR(VLOOKUP(C1483,Ingredients!$B$6:$I$206,7,FALSE()),"?")</f>
        <v>unit</v>
      </c>
      <c r="G1483" s="31" t="n">
        <f aca="false">IFERROR(VLOOKUP(C1483,Ingredients!$B$6:$I$206,6,FALSE()),0)</f>
        <v>1.75</v>
      </c>
      <c r="H1483" s="32" t="n">
        <f aca="false">IFERROR(D1483*G1483,0)</f>
        <v>1.75</v>
      </c>
    </row>
    <row r="1484" customFormat="false" ht="15" hidden="false" customHeight="true" outlineLevel="0" collapsed="false">
      <c r="B1484" s="14" t="n">
        <v>295</v>
      </c>
      <c r="C1484" s="11" t="s">
        <v>166</v>
      </c>
      <c r="D1484" s="17" t="n">
        <v>1</v>
      </c>
      <c r="E1484" s="11" t="s">
        <v>112</v>
      </c>
      <c r="F1484" s="14" t="str">
        <f aca="false">IFERROR(VLOOKUP(C1484,Ingredients!$B$6:$I$206,7,FALSE()),"?")</f>
        <v>unit</v>
      </c>
      <c r="G1484" s="31" t="n">
        <f aca="false">IFERROR(VLOOKUP(C1484,Ingredients!$B$6:$I$206,6,FALSE()),0)</f>
        <v>0.91</v>
      </c>
      <c r="H1484" s="32" t="n">
        <f aca="false">IFERROR(D1484*G1484,0)</f>
        <v>0.91</v>
      </c>
    </row>
    <row r="1485" customFormat="false" ht="15" hidden="false" customHeight="true" outlineLevel="0" collapsed="false">
      <c r="B1485" s="14" t="n">
        <v>297</v>
      </c>
      <c r="C1485" s="11" t="s">
        <v>151</v>
      </c>
      <c r="D1485" s="17" t="n">
        <v>0.005</v>
      </c>
      <c r="E1485" s="11" t="s">
        <v>79</v>
      </c>
      <c r="F1485" s="14" t="str">
        <f aca="false">IFERROR(VLOOKUP(C1485,Ingredients!$B$6:$I$206,7,FALSE()),"?")</f>
        <v>kg</v>
      </c>
      <c r="G1485" s="31" t="n">
        <f aca="false">IFERROR(VLOOKUP(C1485,Ingredients!$B$6:$I$206,6,FALSE()),0)</f>
        <v>8</v>
      </c>
      <c r="H1485" s="32" t="n">
        <f aca="false">IFERROR(D1485*G1485,0)</f>
        <v>0.04</v>
      </c>
    </row>
    <row r="1486" customFormat="false" ht="15" hidden="false" customHeight="true" outlineLevel="0" collapsed="false">
      <c r="B1486" s="14" t="n">
        <v>298</v>
      </c>
      <c r="C1486" s="11" t="s">
        <v>176</v>
      </c>
      <c r="D1486" s="17" t="n">
        <v>1</v>
      </c>
      <c r="E1486" s="11" t="s">
        <v>112</v>
      </c>
      <c r="F1486" s="14" t="str">
        <f aca="false">IFERROR(VLOOKUP(C1486,Ingredients!$B$6:$I$206,7,FALSE()),"?")</f>
        <v>unit</v>
      </c>
      <c r="G1486" s="31" t="n">
        <f aca="false">IFERROR(VLOOKUP(C1486,Ingredients!$B$6:$I$206,6,FALSE()),0)</f>
        <v>1.4</v>
      </c>
      <c r="H1486" s="32" t="n">
        <f aca="false">IFERROR(D1486*G1486,0)</f>
        <v>1.4</v>
      </c>
    </row>
    <row r="1487" customFormat="false" ht="15" hidden="false" customHeight="true" outlineLevel="0" collapsed="false">
      <c r="B1487" s="14" t="n">
        <v>299</v>
      </c>
      <c r="C1487" s="11" t="s">
        <v>69</v>
      </c>
      <c r="D1487" s="17" t="n">
        <v>0.05</v>
      </c>
      <c r="E1487" s="11" t="s">
        <v>65</v>
      </c>
      <c r="F1487" s="14" t="str">
        <f aca="false">IFERROR(VLOOKUP(C1487,Ingredients!$B$6:$I$206,7,FALSE()),"?")</f>
        <v>L</v>
      </c>
      <c r="G1487" s="31" t="n">
        <f aca="false">IFERROR(VLOOKUP(C1487,Ingredients!$B$6:$I$206,6,FALSE()),0)</f>
        <v>2.5</v>
      </c>
      <c r="H1487" s="32" t="n">
        <f aca="false">IFERROR(D1487*G1487,0)</f>
        <v>0.125</v>
      </c>
    </row>
    <row r="1488" customFormat="false" ht="15" hidden="false" customHeight="true" outlineLevel="0" collapsed="false">
      <c r="B1488" s="14" t="n">
        <v>304</v>
      </c>
      <c r="C1488" s="11" t="s">
        <v>154</v>
      </c>
      <c r="D1488" s="17" t="n">
        <v>1</v>
      </c>
      <c r="E1488" s="11" t="s">
        <v>112</v>
      </c>
      <c r="F1488" s="14" t="str">
        <f aca="false">IFERROR(VLOOKUP(C1488,Ingredients!$B$6:$I$206,7,FALSE()),"?")</f>
        <v>unit</v>
      </c>
      <c r="G1488" s="31" t="n">
        <f aca="false">IFERROR(VLOOKUP(C1488,Ingredients!$B$6:$I$206,6,FALSE()),0)</f>
        <v>1.6</v>
      </c>
      <c r="H1488" s="32" t="n">
        <f aca="false">IFERROR(D1488*G1488,0)</f>
        <v>1.6</v>
      </c>
    </row>
    <row r="1489" customFormat="false" ht="15" hidden="false" customHeight="true" outlineLevel="0" collapsed="false">
      <c r="B1489" s="14" t="n">
        <v>309</v>
      </c>
      <c r="C1489" s="11" t="s">
        <v>161</v>
      </c>
      <c r="D1489" s="17" t="n">
        <v>1</v>
      </c>
      <c r="E1489" s="11" t="s">
        <v>112</v>
      </c>
      <c r="F1489" s="14" t="str">
        <f aca="false">IFERROR(VLOOKUP(C1489,Ingredients!$B$6:$I$206,7,FALSE()),"?")</f>
        <v>unit</v>
      </c>
      <c r="G1489" s="31" t="n">
        <f aca="false">IFERROR(VLOOKUP(C1489,Ingredients!$B$6:$I$206,6,FALSE()),0)</f>
        <v>0.75</v>
      </c>
      <c r="H1489" s="32" t="n">
        <f aca="false">IFERROR(D1489*G1489,0)</f>
        <v>0.75</v>
      </c>
    </row>
    <row r="1490" customFormat="false" ht="15" hidden="false" customHeight="true" outlineLevel="0" collapsed="false">
      <c r="B1490" s="14" t="n">
        <v>317</v>
      </c>
      <c r="C1490" s="11" t="s">
        <v>82</v>
      </c>
      <c r="D1490" s="17" t="n">
        <v>30</v>
      </c>
      <c r="E1490" s="11" t="s">
        <v>84</v>
      </c>
      <c r="F1490" s="14" t="str">
        <f aca="false">IFERROR(VLOOKUP(C1490,Ingredients!$B$6:$I$206,7,FALSE()),"?")</f>
        <v>ml</v>
      </c>
      <c r="G1490" s="31" t="n">
        <f aca="false">IFERROR(VLOOKUP(C1490,Ingredients!$B$6:$I$206,6,FALSE()),0)</f>
        <v>0.005</v>
      </c>
      <c r="H1490" s="32" t="n">
        <f aca="false">IFERROR(D1490*G1490,0)</f>
        <v>0.15</v>
      </c>
    </row>
    <row r="1491" customFormat="false" ht="15" hidden="false" customHeight="true" outlineLevel="0" collapsed="false">
      <c r="B1491" s="14"/>
      <c r="C1491" s="11"/>
      <c r="D1491" s="11"/>
      <c r="E1491" s="11"/>
      <c r="F1491" s="33"/>
      <c r="G1491" s="13"/>
      <c r="H1491" s="13"/>
    </row>
    <row r="1492" customFormat="false" ht="15" hidden="false" customHeight="true" outlineLevel="0" collapsed="false">
      <c r="B1492" s="14"/>
      <c r="C1492" s="11"/>
      <c r="D1492" s="11"/>
      <c r="E1492" s="11"/>
      <c r="F1492" s="33"/>
      <c r="G1492" s="13"/>
      <c r="H1492" s="13"/>
    </row>
    <row r="1493" customFormat="false" ht="15" hidden="false" customHeight="true" outlineLevel="0" collapsed="false">
      <c r="B1493" s="14"/>
      <c r="C1493" s="11"/>
      <c r="D1493" s="11"/>
      <c r="E1493" s="11"/>
      <c r="F1493" s="33"/>
      <c r="G1493" s="13"/>
      <c r="H1493" s="13"/>
    </row>
    <row r="1494" customFormat="false" ht="15" hidden="false" customHeight="true" outlineLevel="0" collapsed="false">
      <c r="B1494" s="14"/>
      <c r="C1494" s="11"/>
      <c r="D1494" s="11"/>
      <c r="E1494" s="11"/>
      <c r="F1494" s="33"/>
      <c r="G1494" s="13"/>
      <c r="H1494" s="13"/>
    </row>
    <row r="1495" customFormat="false" ht="15" hidden="false" customHeight="true" outlineLevel="0" collapsed="false">
      <c r="B1495" s="14"/>
      <c r="C1495" s="11"/>
      <c r="D1495" s="11"/>
      <c r="E1495" s="11"/>
      <c r="F1495" s="33"/>
      <c r="G1495" s="13"/>
      <c r="H1495" s="13"/>
    </row>
    <row r="1496" customFormat="false" ht="15" hidden="false" customHeight="true" outlineLevel="0" collapsed="false">
      <c r="B1496" s="14"/>
      <c r="C1496" s="11"/>
      <c r="D1496" s="11"/>
      <c r="E1496" s="11"/>
      <c r="F1496" s="33"/>
      <c r="G1496" s="13"/>
      <c r="H1496" s="13"/>
    </row>
    <row r="1497" customFormat="false" ht="15" hidden="false" customHeight="true" outlineLevel="0" collapsed="false">
      <c r="B1497" s="14"/>
      <c r="C1497" s="11"/>
      <c r="D1497" s="11"/>
      <c r="E1497" s="11"/>
      <c r="F1497" s="33"/>
      <c r="G1497" s="13"/>
      <c r="H1497" s="13"/>
    </row>
    <row r="1498" customFormat="false" ht="15" hidden="false" customHeight="true" outlineLevel="0" collapsed="false">
      <c r="B1498" s="14"/>
      <c r="C1498" s="11"/>
      <c r="D1498" s="11"/>
      <c r="E1498" s="11"/>
      <c r="F1498" s="33"/>
      <c r="G1498" s="13"/>
      <c r="H1498" s="13"/>
    </row>
    <row r="1499" customFormat="false" ht="15" hidden="false" customHeight="true" outlineLevel="0" collapsed="false">
      <c r="B1499" s="14"/>
      <c r="C1499" s="11"/>
      <c r="D1499" s="11"/>
      <c r="E1499" s="11"/>
      <c r="F1499" s="33"/>
      <c r="G1499" s="13"/>
      <c r="H1499" s="13"/>
    </row>
    <row r="1500" customFormat="false" ht="15" hidden="false" customHeight="true" outlineLevel="0" collapsed="false">
      <c r="B1500" s="14"/>
      <c r="C1500" s="11"/>
      <c r="D1500" s="11"/>
      <c r="E1500" s="11"/>
      <c r="F1500" s="33"/>
      <c r="G1500" s="13"/>
      <c r="H1500" s="13"/>
    </row>
    <row r="1501" customFormat="false" ht="15" hidden="false" customHeight="true" outlineLevel="0" collapsed="false">
      <c r="B1501" s="14"/>
      <c r="C1501" s="11"/>
      <c r="D1501" s="11"/>
      <c r="E1501" s="11"/>
      <c r="F1501" s="33"/>
      <c r="G1501" s="13"/>
      <c r="H1501" s="13"/>
    </row>
    <row r="1502" customFormat="false" ht="15" hidden="false" customHeight="true" outlineLevel="0" collapsed="false">
      <c r="B1502" s="14"/>
      <c r="C1502" s="11"/>
      <c r="D1502" s="11"/>
      <c r="E1502" s="11"/>
      <c r="F1502" s="33"/>
      <c r="G1502" s="13"/>
      <c r="H1502" s="13"/>
    </row>
    <row r="1503" customFormat="false" ht="15" hidden="false" customHeight="true" outlineLevel="0" collapsed="false">
      <c r="B1503" s="14"/>
      <c r="C1503" s="11"/>
      <c r="D1503" s="11"/>
      <c r="E1503" s="11"/>
      <c r="F1503" s="33"/>
      <c r="G1503" s="13"/>
      <c r="H1503" s="13"/>
    </row>
    <row r="1504" customFormat="false" ht="15" hidden="false" customHeight="true" outlineLevel="0" collapsed="false">
      <c r="B1504" s="14"/>
      <c r="C1504" s="11"/>
      <c r="D1504" s="11"/>
      <c r="E1504" s="11"/>
      <c r="F1504" s="33"/>
      <c r="G1504" s="13"/>
      <c r="H1504" s="13"/>
    </row>
    <row r="1505" customFormat="false" ht="15" hidden="false" customHeight="true" outlineLevel="0" collapsed="false">
      <c r="B1505" s="14"/>
      <c r="C1505" s="11"/>
      <c r="D1505" s="11"/>
      <c r="E1505" s="11"/>
      <c r="F1505" s="33"/>
      <c r="G1505" s="13"/>
      <c r="H1505" s="13"/>
    </row>
    <row r="1506" customFormat="false" ht="15" hidden="false" customHeight="true" outlineLevel="0" collapsed="false">
      <c r="B1506" s="14"/>
      <c r="C1506" s="11"/>
      <c r="D1506" s="11"/>
      <c r="E1506" s="11"/>
      <c r="F1506" s="33"/>
      <c r="G1506" s="13"/>
      <c r="H1506" s="13"/>
    </row>
    <row r="1507" customFormat="false" ht="15" hidden="false" customHeight="true" outlineLevel="0" collapsed="false">
      <c r="B1507" s="14"/>
      <c r="C1507" s="11"/>
      <c r="D1507" s="11"/>
      <c r="E1507" s="11"/>
      <c r="F1507" s="33"/>
      <c r="G1507" s="13"/>
      <c r="H1507" s="13"/>
    </row>
    <row r="1508" customFormat="false" ht="15" hidden="false" customHeight="true" outlineLevel="0" collapsed="false">
      <c r="B1508" s="14"/>
      <c r="C1508" s="11"/>
      <c r="D1508" s="11"/>
      <c r="E1508" s="11"/>
      <c r="F1508" s="33"/>
      <c r="G1508" s="13"/>
      <c r="H1508" s="13"/>
    </row>
    <row r="1509" customFormat="false" ht="15" hidden="false" customHeight="true" outlineLevel="0" collapsed="false">
      <c r="B1509" s="14"/>
      <c r="C1509" s="11"/>
      <c r="D1509" s="11"/>
      <c r="E1509" s="11"/>
      <c r="F1509" s="33"/>
      <c r="G1509" s="13"/>
      <c r="H1509" s="13"/>
    </row>
    <row r="1510" customFormat="false" ht="15" hidden="false" customHeight="true" outlineLevel="0" collapsed="false">
      <c r="B1510" s="14"/>
      <c r="C1510" s="11"/>
      <c r="D1510" s="11"/>
      <c r="E1510" s="11"/>
      <c r="F1510" s="33"/>
      <c r="G1510" s="13"/>
      <c r="H1510" s="13"/>
    </row>
    <row r="1511" customFormat="false" ht="15" hidden="false" customHeight="true" outlineLevel="0" collapsed="false">
      <c r="B1511" s="14"/>
      <c r="C1511" s="11"/>
      <c r="D1511" s="11"/>
      <c r="E1511" s="11"/>
      <c r="F1511" s="33"/>
      <c r="G1511" s="13"/>
      <c r="H1511" s="13"/>
    </row>
    <row r="1512" customFormat="false" ht="15" hidden="false" customHeight="true" outlineLevel="0" collapsed="false">
      <c r="B1512" s="14"/>
      <c r="C1512" s="11"/>
      <c r="D1512" s="11"/>
      <c r="E1512" s="11"/>
      <c r="F1512" s="33"/>
      <c r="G1512" s="13"/>
      <c r="H1512" s="13"/>
    </row>
    <row r="1513" customFormat="false" ht="15" hidden="false" customHeight="true" outlineLevel="0" collapsed="false">
      <c r="B1513" s="14"/>
      <c r="C1513" s="11"/>
      <c r="D1513" s="11"/>
      <c r="E1513" s="11"/>
      <c r="F1513" s="33"/>
      <c r="G1513" s="13"/>
      <c r="H1513" s="13"/>
    </row>
    <row r="1514" customFormat="false" ht="15" hidden="false" customHeight="true" outlineLevel="0" collapsed="false">
      <c r="B1514" s="14"/>
      <c r="C1514" s="11"/>
      <c r="D1514" s="11"/>
      <c r="E1514" s="11"/>
      <c r="F1514" s="33"/>
      <c r="G1514" s="13"/>
      <c r="H1514" s="13"/>
    </row>
    <row r="1515" customFormat="false" ht="15" hidden="false" customHeight="true" outlineLevel="0" collapsed="false">
      <c r="B1515" s="14"/>
      <c r="C1515" s="11"/>
      <c r="D1515" s="11"/>
      <c r="E1515" s="11"/>
      <c r="F1515" s="33"/>
      <c r="G1515" s="13"/>
      <c r="H1515" s="13"/>
    </row>
    <row r="1516" customFormat="false" ht="15" hidden="false" customHeight="true" outlineLevel="0" collapsed="false">
      <c r="B1516" s="14"/>
      <c r="C1516" s="11"/>
      <c r="D1516" s="11"/>
      <c r="E1516" s="11"/>
      <c r="F1516" s="33"/>
      <c r="G1516" s="13"/>
      <c r="H1516" s="13"/>
    </row>
    <row r="1517" customFormat="false" ht="15" hidden="false" customHeight="true" outlineLevel="0" collapsed="false">
      <c r="B1517" s="14"/>
      <c r="C1517" s="11"/>
      <c r="D1517" s="11"/>
      <c r="E1517" s="11"/>
      <c r="F1517" s="33"/>
      <c r="G1517" s="13"/>
      <c r="H1517" s="13"/>
    </row>
    <row r="1518" customFormat="false" ht="15" hidden="false" customHeight="true" outlineLevel="0" collapsed="false">
      <c r="B1518" s="14"/>
      <c r="C1518" s="11"/>
      <c r="D1518" s="11"/>
      <c r="E1518" s="11"/>
      <c r="F1518" s="33"/>
      <c r="G1518" s="13"/>
      <c r="H1518" s="13"/>
    </row>
    <row r="1519" customFormat="false" ht="15" hidden="false" customHeight="true" outlineLevel="0" collapsed="false">
      <c r="B1519" s="14"/>
      <c r="C1519" s="11"/>
      <c r="D1519" s="11"/>
      <c r="E1519" s="11"/>
      <c r="F1519" s="33"/>
      <c r="G1519" s="13"/>
      <c r="H1519" s="13"/>
    </row>
    <row r="1520" customFormat="false" ht="15" hidden="false" customHeight="true" outlineLevel="0" collapsed="false">
      <c r="B1520" s="14"/>
      <c r="C1520" s="11"/>
      <c r="D1520" s="11"/>
      <c r="E1520" s="11"/>
      <c r="F1520" s="33"/>
      <c r="G1520" s="13"/>
      <c r="H1520" s="13"/>
    </row>
    <row r="1521" customFormat="false" ht="15" hidden="false" customHeight="true" outlineLevel="0" collapsed="false">
      <c r="B1521" s="14"/>
      <c r="C1521" s="11"/>
      <c r="D1521" s="11"/>
      <c r="E1521" s="11"/>
      <c r="F1521" s="33"/>
      <c r="G1521" s="13"/>
      <c r="H1521" s="13"/>
    </row>
    <row r="1522" customFormat="false" ht="15" hidden="false" customHeight="true" outlineLevel="0" collapsed="false">
      <c r="B1522" s="14"/>
      <c r="C1522" s="11"/>
      <c r="D1522" s="11"/>
      <c r="E1522" s="11"/>
      <c r="F1522" s="33"/>
      <c r="G1522" s="13"/>
      <c r="H1522" s="13"/>
    </row>
    <row r="1523" customFormat="false" ht="15" hidden="false" customHeight="true" outlineLevel="0" collapsed="false">
      <c r="B1523" s="14"/>
      <c r="C1523" s="11"/>
      <c r="D1523" s="11"/>
      <c r="E1523" s="11"/>
      <c r="F1523" s="33"/>
      <c r="G1523" s="13"/>
      <c r="H1523" s="13"/>
    </row>
    <row r="1524" customFormat="false" ht="15" hidden="false" customHeight="true" outlineLevel="0" collapsed="false">
      <c r="B1524" s="14"/>
      <c r="C1524" s="11"/>
      <c r="D1524" s="11"/>
      <c r="E1524" s="11"/>
      <c r="F1524" s="33"/>
      <c r="G1524" s="13"/>
      <c r="H1524" s="13"/>
    </row>
    <row r="1525" customFormat="false" ht="15" hidden="false" customHeight="true" outlineLevel="0" collapsed="false">
      <c r="B1525" s="14"/>
      <c r="C1525" s="11"/>
      <c r="D1525" s="11"/>
      <c r="E1525" s="11"/>
      <c r="F1525" s="33"/>
      <c r="G1525" s="13"/>
      <c r="H1525" s="13"/>
    </row>
    <row r="1526" customFormat="false" ht="15" hidden="false" customHeight="true" outlineLevel="0" collapsed="false">
      <c r="B1526" s="14"/>
      <c r="C1526" s="11"/>
      <c r="D1526" s="11"/>
      <c r="E1526" s="11"/>
      <c r="F1526" s="33"/>
      <c r="G1526" s="13"/>
      <c r="H1526" s="13"/>
    </row>
    <row r="1527" customFormat="false" ht="15" hidden="false" customHeight="true" outlineLevel="0" collapsed="false">
      <c r="B1527" s="14"/>
      <c r="C1527" s="11"/>
      <c r="D1527" s="11"/>
      <c r="E1527" s="11"/>
      <c r="F1527" s="33"/>
      <c r="G1527" s="13"/>
      <c r="H1527" s="13"/>
    </row>
    <row r="1528" customFormat="false" ht="15" hidden="false" customHeight="true" outlineLevel="0" collapsed="false">
      <c r="B1528" s="14"/>
      <c r="C1528" s="11"/>
      <c r="D1528" s="11"/>
      <c r="E1528" s="11"/>
      <c r="F1528" s="33"/>
      <c r="G1528" s="13"/>
      <c r="H1528" s="13"/>
    </row>
    <row r="1529" customFormat="false" ht="15" hidden="false" customHeight="true" outlineLevel="0" collapsed="false">
      <c r="B1529" s="14"/>
      <c r="C1529" s="11"/>
      <c r="D1529" s="11"/>
      <c r="E1529" s="11"/>
      <c r="F1529" s="33"/>
      <c r="G1529" s="13"/>
      <c r="H1529" s="13"/>
    </row>
    <row r="1530" customFormat="false" ht="15" hidden="false" customHeight="true" outlineLevel="0" collapsed="false">
      <c r="B1530" s="14"/>
      <c r="C1530" s="11"/>
      <c r="D1530" s="11"/>
      <c r="E1530" s="11"/>
      <c r="F1530" s="33"/>
      <c r="G1530" s="13"/>
      <c r="H1530" s="13"/>
    </row>
    <row r="1531" customFormat="false" ht="15" hidden="false" customHeight="true" outlineLevel="0" collapsed="false">
      <c r="B1531" s="14"/>
      <c r="C1531" s="11"/>
      <c r="D1531" s="11"/>
      <c r="E1531" s="11"/>
      <c r="F1531" s="33"/>
      <c r="G1531" s="13"/>
      <c r="H1531" s="13"/>
    </row>
    <row r="1532" customFormat="false" ht="15" hidden="false" customHeight="true" outlineLevel="0" collapsed="false">
      <c r="B1532" s="14"/>
      <c r="C1532" s="11"/>
      <c r="D1532" s="11"/>
      <c r="E1532" s="11"/>
      <c r="F1532" s="33"/>
      <c r="G1532" s="13"/>
      <c r="H1532" s="13"/>
    </row>
    <row r="1533" customFormat="false" ht="15" hidden="false" customHeight="true" outlineLevel="0" collapsed="false">
      <c r="B1533" s="14"/>
      <c r="C1533" s="11"/>
      <c r="D1533" s="11"/>
      <c r="E1533" s="11"/>
      <c r="F1533" s="33"/>
      <c r="G1533" s="13"/>
      <c r="H1533" s="13"/>
    </row>
    <row r="1534" customFormat="false" ht="15" hidden="false" customHeight="true" outlineLevel="0" collapsed="false">
      <c r="B1534" s="14"/>
      <c r="C1534" s="11"/>
      <c r="D1534" s="11"/>
      <c r="E1534" s="11"/>
      <c r="F1534" s="33"/>
      <c r="G1534" s="13"/>
      <c r="H1534" s="13"/>
    </row>
    <row r="1535" customFormat="false" ht="15" hidden="false" customHeight="true" outlineLevel="0" collapsed="false">
      <c r="B1535" s="14"/>
      <c r="C1535" s="11"/>
      <c r="D1535" s="11"/>
      <c r="E1535" s="11"/>
      <c r="F1535" s="33"/>
      <c r="G1535" s="13"/>
      <c r="H1535" s="13"/>
    </row>
    <row r="1536" customFormat="false" ht="15" hidden="false" customHeight="true" outlineLevel="0" collapsed="false">
      <c r="B1536" s="14"/>
      <c r="C1536" s="11"/>
      <c r="D1536" s="11"/>
      <c r="E1536" s="11"/>
      <c r="F1536" s="33"/>
      <c r="G1536" s="13"/>
      <c r="H1536" s="13"/>
    </row>
    <row r="1537" customFormat="false" ht="15" hidden="false" customHeight="true" outlineLevel="0" collapsed="false">
      <c r="B1537" s="14"/>
      <c r="C1537" s="11"/>
      <c r="D1537" s="11"/>
      <c r="E1537" s="11"/>
      <c r="F1537" s="33"/>
      <c r="G1537" s="13"/>
      <c r="H1537" s="13"/>
    </row>
    <row r="1538" customFormat="false" ht="15" hidden="false" customHeight="true" outlineLevel="0" collapsed="false">
      <c r="B1538" s="14"/>
      <c r="C1538" s="11"/>
      <c r="D1538" s="11"/>
      <c r="E1538" s="11"/>
      <c r="F1538" s="33"/>
      <c r="G1538" s="13"/>
      <c r="H1538" s="13"/>
    </row>
    <row r="1539" customFormat="false" ht="15" hidden="false" customHeight="true" outlineLevel="0" collapsed="false">
      <c r="B1539" s="14"/>
      <c r="C1539" s="11"/>
      <c r="D1539" s="11"/>
      <c r="E1539" s="11"/>
      <c r="F1539" s="33"/>
      <c r="G1539" s="13"/>
      <c r="H1539" s="13"/>
    </row>
    <row r="1540" customFormat="false" ht="15" hidden="false" customHeight="true" outlineLevel="0" collapsed="false">
      <c r="B1540" s="14"/>
      <c r="C1540" s="11"/>
      <c r="D1540" s="11"/>
      <c r="E1540" s="11"/>
      <c r="F1540" s="33"/>
      <c r="G1540" s="13"/>
      <c r="H1540" s="13"/>
    </row>
    <row r="1541" customFormat="false" ht="15" hidden="false" customHeight="true" outlineLevel="0" collapsed="false">
      <c r="B1541" s="14"/>
      <c r="C1541" s="11"/>
      <c r="D1541" s="11"/>
      <c r="E1541" s="11"/>
      <c r="F1541" s="33"/>
      <c r="G1541" s="13"/>
      <c r="H1541" s="13"/>
    </row>
    <row r="1542" customFormat="false" ht="15" hidden="false" customHeight="true" outlineLevel="0" collapsed="false">
      <c r="B1542" s="14"/>
      <c r="C1542" s="11"/>
      <c r="D1542" s="11"/>
      <c r="E1542" s="11"/>
      <c r="F1542" s="33"/>
      <c r="G1542" s="13"/>
      <c r="H1542" s="13"/>
    </row>
    <row r="1543" customFormat="false" ht="15" hidden="false" customHeight="true" outlineLevel="0" collapsed="false">
      <c r="B1543" s="14"/>
      <c r="C1543" s="11"/>
      <c r="D1543" s="11"/>
      <c r="E1543" s="11"/>
      <c r="F1543" s="33"/>
      <c r="G1543" s="13"/>
      <c r="H1543" s="13"/>
    </row>
    <row r="1544" customFormat="false" ht="15" hidden="false" customHeight="true" outlineLevel="0" collapsed="false">
      <c r="B1544" s="14"/>
      <c r="C1544" s="11"/>
      <c r="D1544" s="11"/>
      <c r="E1544" s="11"/>
      <c r="F1544" s="33"/>
      <c r="G1544" s="13"/>
      <c r="H1544" s="13"/>
    </row>
    <row r="1545" customFormat="false" ht="15" hidden="false" customHeight="true" outlineLevel="0" collapsed="false">
      <c r="B1545" s="14"/>
      <c r="C1545" s="11"/>
      <c r="D1545" s="11"/>
      <c r="E1545" s="11"/>
      <c r="F1545" s="33"/>
      <c r="G1545" s="13"/>
      <c r="H1545" s="13"/>
    </row>
    <row r="1546" customFormat="false" ht="15" hidden="false" customHeight="true" outlineLevel="0" collapsed="false">
      <c r="B1546" s="14"/>
      <c r="C1546" s="11"/>
      <c r="D1546" s="11"/>
      <c r="E1546" s="11"/>
      <c r="F1546" s="33"/>
      <c r="G1546" s="13"/>
      <c r="H1546" s="13"/>
    </row>
    <row r="1547" customFormat="false" ht="15" hidden="false" customHeight="true" outlineLevel="0" collapsed="false">
      <c r="B1547" s="14"/>
      <c r="C1547" s="11"/>
      <c r="D1547" s="11"/>
      <c r="E1547" s="11"/>
      <c r="F1547" s="33"/>
      <c r="G1547" s="13"/>
      <c r="H1547" s="13"/>
    </row>
    <row r="1548" customFormat="false" ht="15" hidden="false" customHeight="true" outlineLevel="0" collapsed="false">
      <c r="B1548" s="14"/>
      <c r="C1548" s="11"/>
      <c r="D1548" s="11"/>
      <c r="E1548" s="11"/>
      <c r="F1548" s="33"/>
      <c r="G1548" s="13"/>
      <c r="H1548" s="13"/>
    </row>
    <row r="1549" customFormat="false" ht="15" hidden="false" customHeight="true" outlineLevel="0" collapsed="false">
      <c r="B1549" s="14"/>
      <c r="C1549" s="11"/>
      <c r="D1549" s="11"/>
      <c r="E1549" s="11"/>
      <c r="F1549" s="33"/>
      <c r="G1549" s="13"/>
      <c r="H1549" s="13"/>
    </row>
    <row r="1550" customFormat="false" ht="15" hidden="false" customHeight="true" outlineLevel="0" collapsed="false">
      <c r="B1550" s="14"/>
      <c r="C1550" s="11"/>
      <c r="D1550" s="11"/>
      <c r="E1550" s="11"/>
      <c r="F1550" s="33"/>
      <c r="G1550" s="13"/>
      <c r="H1550" s="13"/>
    </row>
    <row r="1551" customFormat="false" ht="15" hidden="false" customHeight="true" outlineLevel="0" collapsed="false">
      <c r="B1551" s="14"/>
      <c r="C1551" s="11"/>
      <c r="D1551" s="11"/>
      <c r="E1551" s="11"/>
      <c r="F1551" s="33"/>
      <c r="G1551" s="13"/>
      <c r="H1551" s="13"/>
    </row>
    <row r="1552" customFormat="false" ht="15" hidden="false" customHeight="true" outlineLevel="0" collapsed="false">
      <c r="B1552" s="14"/>
      <c r="C1552" s="11"/>
      <c r="D1552" s="11"/>
      <c r="E1552" s="11"/>
      <c r="F1552" s="33"/>
      <c r="G1552" s="13"/>
      <c r="H1552" s="13"/>
    </row>
    <row r="1553" customFormat="false" ht="15" hidden="false" customHeight="true" outlineLevel="0" collapsed="false">
      <c r="B1553" s="14"/>
      <c r="C1553" s="11"/>
      <c r="D1553" s="11"/>
      <c r="E1553" s="11"/>
      <c r="F1553" s="33"/>
      <c r="G1553" s="13"/>
      <c r="H1553" s="13"/>
    </row>
    <row r="1554" customFormat="false" ht="15" hidden="false" customHeight="true" outlineLevel="0" collapsed="false">
      <c r="B1554" s="14"/>
      <c r="C1554" s="11"/>
      <c r="D1554" s="11"/>
      <c r="E1554" s="11"/>
      <c r="F1554" s="33"/>
      <c r="G1554" s="13"/>
      <c r="H1554" s="13"/>
    </row>
    <row r="1555" customFormat="false" ht="15" hidden="false" customHeight="true" outlineLevel="0" collapsed="false">
      <c r="B1555" s="14"/>
      <c r="C1555" s="11"/>
      <c r="D1555" s="11"/>
      <c r="E1555" s="11"/>
      <c r="F1555" s="33"/>
      <c r="G1555" s="13"/>
      <c r="H1555" s="13"/>
    </row>
    <row r="1556" customFormat="false" ht="15" hidden="false" customHeight="true" outlineLevel="0" collapsed="false">
      <c r="B1556" s="14"/>
      <c r="C1556" s="11"/>
      <c r="D1556" s="11"/>
      <c r="E1556" s="11"/>
      <c r="F1556" s="33"/>
      <c r="G1556" s="13"/>
      <c r="H1556" s="13"/>
    </row>
    <row r="1557" customFormat="false" ht="15" hidden="false" customHeight="true" outlineLevel="0" collapsed="false">
      <c r="B1557" s="14"/>
      <c r="C1557" s="11"/>
      <c r="D1557" s="11"/>
      <c r="E1557" s="11"/>
      <c r="F1557" s="33"/>
      <c r="G1557" s="13"/>
      <c r="H1557" s="13"/>
    </row>
    <row r="1558" customFormat="false" ht="15" hidden="false" customHeight="true" outlineLevel="0" collapsed="false">
      <c r="B1558" s="14"/>
      <c r="C1558" s="11"/>
      <c r="D1558" s="11"/>
      <c r="E1558" s="11"/>
      <c r="F1558" s="33"/>
      <c r="G1558" s="13"/>
      <c r="H1558" s="13"/>
    </row>
    <row r="1559" customFormat="false" ht="15" hidden="false" customHeight="true" outlineLevel="0" collapsed="false">
      <c r="B1559" s="14"/>
      <c r="C1559" s="11"/>
      <c r="D1559" s="11"/>
      <c r="E1559" s="11"/>
      <c r="F1559" s="33"/>
      <c r="G1559" s="13"/>
      <c r="H1559" s="13"/>
    </row>
    <row r="1560" customFormat="false" ht="15" hidden="false" customHeight="true" outlineLevel="0" collapsed="false">
      <c r="B1560" s="14"/>
      <c r="C1560" s="11"/>
      <c r="D1560" s="11"/>
      <c r="E1560" s="11"/>
      <c r="F1560" s="33"/>
      <c r="G1560" s="13"/>
      <c r="H1560" s="13"/>
    </row>
    <row r="1561" customFormat="false" ht="15" hidden="false" customHeight="true" outlineLevel="0" collapsed="false">
      <c r="B1561" s="14"/>
      <c r="C1561" s="11"/>
      <c r="D1561" s="11"/>
      <c r="E1561" s="11"/>
      <c r="F1561" s="33"/>
      <c r="G1561" s="13"/>
      <c r="H1561" s="13"/>
    </row>
    <row r="1562" customFormat="false" ht="15" hidden="false" customHeight="true" outlineLevel="0" collapsed="false">
      <c r="B1562" s="14"/>
      <c r="C1562" s="11"/>
      <c r="D1562" s="11"/>
      <c r="E1562" s="11"/>
      <c r="F1562" s="33"/>
      <c r="G1562" s="13"/>
      <c r="H1562" s="13"/>
    </row>
    <row r="1563" customFormat="false" ht="15" hidden="false" customHeight="true" outlineLevel="0" collapsed="false">
      <c r="B1563" s="14"/>
      <c r="C1563" s="11"/>
      <c r="D1563" s="11"/>
      <c r="E1563" s="11"/>
      <c r="F1563" s="33"/>
      <c r="G1563" s="13"/>
      <c r="H1563" s="13"/>
    </row>
    <row r="1564" customFormat="false" ht="15" hidden="false" customHeight="true" outlineLevel="0" collapsed="false">
      <c r="B1564" s="14"/>
      <c r="C1564" s="11"/>
      <c r="D1564" s="11"/>
      <c r="E1564" s="11"/>
      <c r="F1564" s="33"/>
      <c r="G1564" s="13"/>
      <c r="H1564" s="13"/>
    </row>
    <row r="1565" customFormat="false" ht="15" hidden="false" customHeight="true" outlineLevel="0" collapsed="false">
      <c r="B1565" s="14"/>
      <c r="C1565" s="11"/>
      <c r="D1565" s="11"/>
      <c r="E1565" s="11"/>
      <c r="F1565" s="33"/>
      <c r="G1565" s="13"/>
      <c r="H1565" s="13"/>
    </row>
    <row r="1566" customFormat="false" ht="15" hidden="false" customHeight="true" outlineLevel="0" collapsed="false">
      <c r="B1566" s="14"/>
      <c r="C1566" s="11"/>
      <c r="D1566" s="11"/>
      <c r="E1566" s="11"/>
      <c r="F1566" s="33"/>
      <c r="G1566" s="13"/>
      <c r="H1566" s="13"/>
    </row>
    <row r="1567" customFormat="false" ht="15" hidden="false" customHeight="true" outlineLevel="0" collapsed="false">
      <c r="B1567" s="14"/>
      <c r="C1567" s="11"/>
      <c r="D1567" s="11"/>
      <c r="E1567" s="11"/>
      <c r="F1567" s="33"/>
      <c r="G1567" s="13"/>
      <c r="H1567" s="13"/>
    </row>
    <row r="1568" customFormat="false" ht="15" hidden="false" customHeight="true" outlineLevel="0" collapsed="false">
      <c r="B1568" s="14"/>
      <c r="C1568" s="11"/>
      <c r="D1568" s="11"/>
      <c r="E1568" s="11"/>
      <c r="F1568" s="33"/>
      <c r="G1568" s="13"/>
      <c r="H1568" s="13"/>
    </row>
    <row r="1569" customFormat="false" ht="15" hidden="false" customHeight="true" outlineLevel="0" collapsed="false">
      <c r="B1569" s="14"/>
      <c r="C1569" s="11"/>
      <c r="D1569" s="11"/>
      <c r="E1569" s="11"/>
      <c r="F1569" s="33"/>
      <c r="G1569" s="13"/>
      <c r="H1569" s="13"/>
    </row>
    <row r="1570" customFormat="false" ht="15" hidden="false" customHeight="true" outlineLevel="0" collapsed="false">
      <c r="B1570" s="14"/>
      <c r="C1570" s="11"/>
      <c r="D1570" s="11"/>
      <c r="E1570" s="11"/>
      <c r="F1570" s="33"/>
      <c r="G1570" s="13"/>
      <c r="H1570" s="13"/>
    </row>
    <row r="1571" customFormat="false" ht="15" hidden="false" customHeight="true" outlineLevel="0" collapsed="false">
      <c r="B1571" s="14"/>
      <c r="C1571" s="11"/>
      <c r="D1571" s="11"/>
      <c r="E1571" s="11"/>
      <c r="F1571" s="33"/>
      <c r="G1571" s="13"/>
      <c r="H1571" s="13"/>
    </row>
    <row r="1572" customFormat="false" ht="15" hidden="false" customHeight="true" outlineLevel="0" collapsed="false">
      <c r="B1572" s="14"/>
      <c r="C1572" s="11"/>
      <c r="D1572" s="11"/>
      <c r="E1572" s="11"/>
      <c r="F1572" s="33"/>
      <c r="G1572" s="13"/>
      <c r="H1572" s="13"/>
    </row>
    <row r="1573" customFormat="false" ht="15" hidden="false" customHeight="true" outlineLevel="0" collapsed="false">
      <c r="B1573" s="14"/>
      <c r="C1573" s="11"/>
      <c r="D1573" s="11"/>
      <c r="E1573" s="11"/>
      <c r="F1573" s="33"/>
      <c r="G1573" s="13"/>
      <c r="H1573" s="13"/>
    </row>
    <row r="1574" customFormat="false" ht="15" hidden="false" customHeight="true" outlineLevel="0" collapsed="false">
      <c r="B1574" s="14"/>
      <c r="C1574" s="11"/>
      <c r="D1574" s="11"/>
      <c r="E1574" s="11"/>
      <c r="F1574" s="33"/>
      <c r="G1574" s="13"/>
      <c r="H1574" s="13"/>
    </row>
    <row r="1575" customFormat="false" ht="15" hidden="false" customHeight="true" outlineLevel="0" collapsed="false">
      <c r="B1575" s="14"/>
      <c r="C1575" s="11"/>
      <c r="D1575" s="11"/>
      <c r="E1575" s="11"/>
      <c r="F1575" s="33"/>
      <c r="G1575" s="13"/>
      <c r="H1575" s="13"/>
    </row>
    <row r="1576" customFormat="false" ht="15" hidden="false" customHeight="true" outlineLevel="0" collapsed="false">
      <c r="B1576" s="14"/>
      <c r="C1576" s="11"/>
      <c r="D1576" s="11"/>
      <c r="E1576" s="11"/>
      <c r="F1576" s="33"/>
      <c r="G1576" s="13"/>
      <c r="H1576" s="13"/>
    </row>
    <row r="1577" customFormat="false" ht="15" hidden="false" customHeight="true" outlineLevel="0" collapsed="false">
      <c r="B1577" s="14"/>
      <c r="C1577" s="11"/>
      <c r="D1577" s="11"/>
      <c r="E1577" s="11"/>
      <c r="F1577" s="33"/>
      <c r="G1577" s="13"/>
      <c r="H1577" s="13"/>
    </row>
    <row r="1578" customFormat="false" ht="15" hidden="false" customHeight="true" outlineLevel="0" collapsed="false">
      <c r="B1578" s="14"/>
      <c r="C1578" s="11"/>
      <c r="D1578" s="11"/>
      <c r="E1578" s="11"/>
      <c r="F1578" s="33"/>
      <c r="G1578" s="13"/>
      <c r="H1578" s="13"/>
    </row>
    <row r="1579" customFormat="false" ht="15" hidden="false" customHeight="true" outlineLevel="0" collapsed="false">
      <c r="B1579" s="14"/>
      <c r="C1579" s="11"/>
      <c r="D1579" s="11"/>
      <c r="E1579" s="11"/>
      <c r="F1579" s="33"/>
      <c r="G1579" s="13"/>
      <c r="H1579" s="13"/>
    </row>
    <row r="1580" customFormat="false" ht="15" hidden="false" customHeight="true" outlineLevel="0" collapsed="false">
      <c r="B1580" s="14"/>
      <c r="C1580" s="11"/>
      <c r="D1580" s="11"/>
      <c r="E1580" s="11"/>
      <c r="F1580" s="33"/>
      <c r="G1580" s="13"/>
      <c r="H1580" s="13"/>
    </row>
    <row r="1581" customFormat="false" ht="15" hidden="false" customHeight="true" outlineLevel="0" collapsed="false">
      <c r="B1581" s="14"/>
      <c r="C1581" s="11"/>
      <c r="D1581" s="11"/>
      <c r="E1581" s="11"/>
      <c r="F1581" s="33"/>
      <c r="G1581" s="13"/>
      <c r="H1581" s="13"/>
    </row>
    <row r="1582" customFormat="false" ht="15" hidden="false" customHeight="true" outlineLevel="0" collapsed="false">
      <c r="B1582" s="14"/>
      <c r="C1582" s="11"/>
      <c r="D1582" s="11"/>
      <c r="E1582" s="11"/>
      <c r="F1582" s="33"/>
      <c r="G1582" s="13"/>
      <c r="H1582" s="13"/>
    </row>
    <row r="1583" customFormat="false" ht="15" hidden="false" customHeight="true" outlineLevel="0" collapsed="false">
      <c r="B1583" s="14"/>
      <c r="C1583" s="11"/>
      <c r="D1583" s="11"/>
      <c r="E1583" s="11"/>
      <c r="F1583" s="33"/>
      <c r="G1583" s="13"/>
      <c r="H1583" s="13"/>
    </row>
    <row r="1584" customFormat="false" ht="15" hidden="false" customHeight="true" outlineLevel="0" collapsed="false">
      <c r="B1584" s="14"/>
      <c r="C1584" s="11"/>
      <c r="D1584" s="11"/>
      <c r="E1584" s="11"/>
      <c r="F1584" s="33"/>
      <c r="G1584" s="13"/>
      <c r="H1584" s="13"/>
    </row>
    <row r="1585" customFormat="false" ht="15" hidden="false" customHeight="true" outlineLevel="0" collapsed="false">
      <c r="B1585" s="14"/>
      <c r="C1585" s="11"/>
      <c r="D1585" s="11"/>
      <c r="E1585" s="11"/>
      <c r="F1585" s="33"/>
      <c r="G1585" s="13"/>
      <c r="H1585" s="13"/>
    </row>
    <row r="1586" customFormat="false" ht="15" hidden="false" customHeight="true" outlineLevel="0" collapsed="false">
      <c r="B1586" s="14"/>
      <c r="C1586" s="11"/>
      <c r="D1586" s="11"/>
      <c r="E1586" s="11"/>
      <c r="F1586" s="33"/>
      <c r="G1586" s="13"/>
      <c r="H1586" s="13"/>
    </row>
    <row r="1587" customFormat="false" ht="15" hidden="false" customHeight="true" outlineLevel="0" collapsed="false">
      <c r="B1587" s="14"/>
      <c r="C1587" s="11"/>
      <c r="D1587" s="11"/>
      <c r="E1587" s="11"/>
      <c r="F1587" s="33"/>
      <c r="G1587" s="13"/>
      <c r="H1587" s="13"/>
    </row>
    <row r="1588" customFormat="false" ht="15" hidden="false" customHeight="true" outlineLevel="0" collapsed="false">
      <c r="B1588" s="14"/>
      <c r="C1588" s="11"/>
      <c r="D1588" s="11"/>
      <c r="E1588" s="11"/>
      <c r="F1588" s="33"/>
      <c r="G1588" s="13"/>
      <c r="H1588" s="13"/>
    </row>
    <row r="1589" customFormat="false" ht="15" hidden="false" customHeight="true" outlineLevel="0" collapsed="false">
      <c r="B1589" s="14"/>
      <c r="C1589" s="11"/>
      <c r="D1589" s="11"/>
      <c r="E1589" s="11"/>
      <c r="F1589" s="33"/>
      <c r="G1589" s="13"/>
      <c r="H1589" s="13"/>
    </row>
    <row r="1590" customFormat="false" ht="15" hidden="false" customHeight="true" outlineLevel="0" collapsed="false">
      <c r="B1590" s="14"/>
      <c r="C1590" s="11"/>
      <c r="D1590" s="11"/>
      <c r="E1590" s="11"/>
      <c r="F1590" s="33"/>
      <c r="G1590" s="13"/>
      <c r="H1590" s="13"/>
    </row>
    <row r="1591" customFormat="false" ht="15" hidden="false" customHeight="true" outlineLevel="0" collapsed="false">
      <c r="B1591" s="14"/>
      <c r="C1591" s="11"/>
      <c r="D1591" s="11"/>
      <c r="E1591" s="11"/>
      <c r="F1591" s="33"/>
      <c r="G1591" s="13"/>
      <c r="H1591" s="13"/>
    </row>
    <row r="1592" customFormat="false" ht="15" hidden="false" customHeight="true" outlineLevel="0" collapsed="false">
      <c r="B1592" s="14"/>
      <c r="C1592" s="11"/>
      <c r="D1592" s="11"/>
      <c r="E1592" s="11"/>
      <c r="F1592" s="33"/>
      <c r="G1592" s="13"/>
      <c r="H1592" s="13"/>
    </row>
    <row r="1593" customFormat="false" ht="15" hidden="false" customHeight="true" outlineLevel="0" collapsed="false">
      <c r="B1593" s="14"/>
      <c r="C1593" s="11"/>
      <c r="D1593" s="11"/>
      <c r="E1593" s="11"/>
      <c r="F1593" s="33"/>
      <c r="G1593" s="13"/>
      <c r="H1593" s="13"/>
    </row>
    <row r="1594" customFormat="false" ht="15" hidden="false" customHeight="true" outlineLevel="0" collapsed="false">
      <c r="B1594" s="14"/>
      <c r="C1594" s="11"/>
      <c r="D1594" s="11"/>
      <c r="E1594" s="11"/>
      <c r="F1594" s="33"/>
      <c r="G1594" s="13"/>
      <c r="H1594" s="13"/>
    </row>
    <row r="1595" customFormat="false" ht="15" hidden="false" customHeight="true" outlineLevel="0" collapsed="false">
      <c r="B1595" s="14"/>
      <c r="C1595" s="11"/>
      <c r="D1595" s="11"/>
      <c r="E1595" s="11"/>
      <c r="F1595" s="33"/>
      <c r="G1595" s="13"/>
      <c r="H1595" s="13"/>
    </row>
    <row r="1596" customFormat="false" ht="15" hidden="false" customHeight="true" outlineLevel="0" collapsed="false">
      <c r="B1596" s="14"/>
      <c r="C1596" s="11"/>
      <c r="D1596" s="11"/>
      <c r="E1596" s="11"/>
      <c r="F1596" s="33"/>
      <c r="G1596" s="13"/>
      <c r="H1596" s="13"/>
    </row>
    <row r="1597" customFormat="false" ht="15" hidden="false" customHeight="true" outlineLevel="0" collapsed="false">
      <c r="B1597" s="14"/>
      <c r="C1597" s="11"/>
      <c r="D1597" s="11"/>
      <c r="E1597" s="11"/>
      <c r="F1597" s="33"/>
      <c r="G1597" s="13"/>
      <c r="H1597" s="13"/>
    </row>
    <row r="1598" customFormat="false" ht="15" hidden="false" customHeight="true" outlineLevel="0" collapsed="false">
      <c r="B1598" s="14"/>
      <c r="C1598" s="11"/>
      <c r="D1598" s="11"/>
      <c r="E1598" s="11"/>
      <c r="F1598" s="33"/>
      <c r="G1598" s="13"/>
      <c r="H1598" s="13"/>
    </row>
    <row r="1599" customFormat="false" ht="15" hidden="false" customHeight="true" outlineLevel="0" collapsed="false">
      <c r="B1599" s="14"/>
      <c r="C1599" s="11"/>
      <c r="D1599" s="11"/>
      <c r="E1599" s="11"/>
      <c r="F1599" s="33"/>
      <c r="G1599" s="13"/>
      <c r="H1599" s="13"/>
    </row>
    <row r="1600" customFormat="false" ht="15" hidden="false" customHeight="true" outlineLevel="0" collapsed="false">
      <c r="B1600" s="14"/>
      <c r="C1600" s="11"/>
      <c r="D1600" s="11"/>
      <c r="E1600" s="11"/>
      <c r="F1600" s="33"/>
      <c r="G1600" s="13"/>
      <c r="H1600" s="13"/>
    </row>
    <row r="1601" customFormat="false" ht="15" hidden="false" customHeight="true" outlineLevel="0" collapsed="false">
      <c r="B1601" s="14"/>
      <c r="C1601" s="11"/>
      <c r="D1601" s="11"/>
      <c r="E1601" s="11"/>
      <c r="F1601" s="33"/>
      <c r="G1601" s="13"/>
      <c r="H1601" s="13"/>
    </row>
    <row r="1602" customFormat="false" ht="15" hidden="false" customHeight="true" outlineLevel="0" collapsed="false">
      <c r="B1602" s="14"/>
      <c r="C1602" s="11"/>
      <c r="D1602" s="11"/>
      <c r="E1602" s="11"/>
      <c r="F1602" s="33"/>
      <c r="G1602" s="13"/>
      <c r="H1602" s="13"/>
    </row>
    <row r="1603" customFormat="false" ht="15" hidden="false" customHeight="true" outlineLevel="0" collapsed="false">
      <c r="B1603" s="14"/>
      <c r="C1603" s="11"/>
      <c r="D1603" s="11"/>
      <c r="E1603" s="11"/>
      <c r="F1603" s="33"/>
      <c r="G1603" s="13"/>
      <c r="H1603" s="13"/>
    </row>
    <row r="1604" customFormat="false" ht="15" hidden="false" customHeight="true" outlineLevel="0" collapsed="false">
      <c r="B1604" s="14"/>
      <c r="C1604" s="11"/>
      <c r="D1604" s="11"/>
      <c r="E1604" s="11"/>
      <c r="F1604" s="33"/>
      <c r="G1604" s="13"/>
      <c r="H1604" s="13"/>
    </row>
    <row r="1605" customFormat="false" ht="15" hidden="false" customHeight="true" outlineLevel="0" collapsed="false">
      <c r="B1605" s="14"/>
      <c r="C1605" s="11"/>
      <c r="D1605" s="11"/>
      <c r="E1605" s="11"/>
      <c r="F1605" s="33"/>
      <c r="G1605" s="13"/>
      <c r="H1605" s="13"/>
    </row>
    <row r="1606" customFormat="false" ht="15" hidden="false" customHeight="true" outlineLevel="0" collapsed="false">
      <c r="B1606" s="14"/>
      <c r="C1606" s="11"/>
      <c r="D1606" s="11"/>
      <c r="E1606" s="11"/>
      <c r="F1606" s="33"/>
      <c r="G1606" s="13"/>
      <c r="H1606" s="13"/>
    </row>
    <row r="1607" customFormat="false" ht="15" hidden="false" customHeight="true" outlineLevel="0" collapsed="false">
      <c r="B1607" s="14"/>
      <c r="C1607" s="11"/>
      <c r="D1607" s="11"/>
      <c r="E1607" s="11"/>
      <c r="F1607" s="33"/>
      <c r="G1607" s="13"/>
      <c r="H1607" s="13"/>
    </row>
    <row r="1608" customFormat="false" ht="15" hidden="false" customHeight="true" outlineLevel="0" collapsed="false">
      <c r="B1608" s="14"/>
      <c r="C1608" s="11"/>
      <c r="D1608" s="11"/>
      <c r="E1608" s="11"/>
      <c r="F1608" s="33"/>
      <c r="G1608" s="13"/>
      <c r="H1608" s="13"/>
    </row>
    <row r="1609" customFormat="false" ht="15" hidden="false" customHeight="true" outlineLevel="0" collapsed="false">
      <c r="B1609" s="14"/>
      <c r="C1609" s="11"/>
      <c r="D1609" s="11"/>
      <c r="E1609" s="11"/>
      <c r="F1609" s="33"/>
      <c r="G1609" s="13"/>
      <c r="H1609" s="13"/>
    </row>
    <row r="1610" customFormat="false" ht="15" hidden="false" customHeight="true" outlineLevel="0" collapsed="false">
      <c r="B1610" s="14"/>
      <c r="C1610" s="11"/>
      <c r="D1610" s="11"/>
      <c r="E1610" s="11"/>
      <c r="F1610" s="33"/>
      <c r="G1610" s="13"/>
      <c r="H1610" s="13"/>
    </row>
    <row r="1611" customFormat="false" ht="15" hidden="false" customHeight="true" outlineLevel="0" collapsed="false">
      <c r="B1611" s="14"/>
      <c r="C1611" s="11"/>
      <c r="D1611" s="11"/>
      <c r="E1611" s="11"/>
      <c r="F1611" s="33"/>
      <c r="G1611" s="13"/>
      <c r="H1611" s="13"/>
    </row>
    <row r="1612" customFormat="false" ht="15" hidden="false" customHeight="true" outlineLevel="0" collapsed="false">
      <c r="B1612" s="14"/>
      <c r="C1612" s="11"/>
      <c r="D1612" s="11"/>
      <c r="E1612" s="11"/>
      <c r="F1612" s="33"/>
      <c r="G1612" s="13"/>
      <c r="H1612" s="13"/>
    </row>
    <row r="1613" customFormat="false" ht="15" hidden="false" customHeight="true" outlineLevel="0" collapsed="false">
      <c r="B1613" s="14"/>
      <c r="C1613" s="11"/>
      <c r="D1613" s="11"/>
      <c r="E1613" s="11"/>
      <c r="F1613" s="33"/>
      <c r="G1613" s="13"/>
      <c r="H1613" s="13"/>
    </row>
    <row r="1614" customFormat="false" ht="15" hidden="false" customHeight="true" outlineLevel="0" collapsed="false">
      <c r="B1614" s="14"/>
      <c r="C1614" s="11"/>
      <c r="D1614" s="11"/>
      <c r="E1614" s="11"/>
      <c r="F1614" s="33"/>
      <c r="G1614" s="13"/>
      <c r="H1614" s="13"/>
    </row>
    <row r="1615" customFormat="false" ht="15" hidden="false" customHeight="true" outlineLevel="0" collapsed="false">
      <c r="B1615" s="14"/>
      <c r="C1615" s="11"/>
      <c r="D1615" s="11"/>
      <c r="E1615" s="11"/>
      <c r="F1615" s="33"/>
      <c r="G1615" s="13"/>
      <c r="H1615" s="13"/>
    </row>
    <row r="1616" customFormat="false" ht="15" hidden="false" customHeight="true" outlineLevel="0" collapsed="false">
      <c r="B1616" s="14"/>
      <c r="C1616" s="11"/>
      <c r="D1616" s="11"/>
      <c r="E1616" s="11"/>
      <c r="F1616" s="33"/>
      <c r="G1616" s="13"/>
      <c r="H1616" s="13"/>
    </row>
    <row r="1617" customFormat="false" ht="15" hidden="false" customHeight="true" outlineLevel="0" collapsed="false">
      <c r="B1617" s="14"/>
      <c r="C1617" s="11"/>
      <c r="D1617" s="11"/>
      <c r="E1617" s="11"/>
      <c r="F1617" s="33"/>
      <c r="G1617" s="13"/>
      <c r="H1617" s="13"/>
    </row>
    <row r="1618" customFormat="false" ht="15" hidden="false" customHeight="true" outlineLevel="0" collapsed="false">
      <c r="B1618" s="14"/>
      <c r="C1618" s="11"/>
      <c r="D1618" s="11"/>
      <c r="E1618" s="11"/>
      <c r="F1618" s="33"/>
      <c r="G1618" s="13"/>
      <c r="H1618" s="13"/>
    </row>
    <row r="1619" customFormat="false" ht="15" hidden="false" customHeight="true" outlineLevel="0" collapsed="false">
      <c r="B1619" s="14"/>
      <c r="C1619" s="11"/>
      <c r="D1619" s="11"/>
      <c r="E1619" s="11"/>
      <c r="F1619" s="33"/>
      <c r="G1619" s="13"/>
      <c r="H1619" s="13"/>
    </row>
    <row r="1620" customFormat="false" ht="15" hidden="false" customHeight="true" outlineLevel="0" collapsed="false">
      <c r="B1620" s="14"/>
      <c r="C1620" s="11"/>
      <c r="D1620" s="11"/>
      <c r="E1620" s="11"/>
      <c r="F1620" s="33"/>
      <c r="G1620" s="13"/>
      <c r="H1620" s="13"/>
    </row>
    <row r="1621" customFormat="false" ht="15" hidden="false" customHeight="true" outlineLevel="0" collapsed="false">
      <c r="B1621" s="14"/>
      <c r="C1621" s="11"/>
      <c r="D1621" s="11"/>
      <c r="E1621" s="11"/>
      <c r="F1621" s="33"/>
      <c r="G1621" s="13"/>
      <c r="H1621" s="13"/>
    </row>
    <row r="1622" customFormat="false" ht="15" hidden="false" customHeight="true" outlineLevel="0" collapsed="false">
      <c r="B1622" s="14"/>
      <c r="C1622" s="11"/>
      <c r="D1622" s="11"/>
      <c r="E1622" s="11"/>
      <c r="F1622" s="33"/>
      <c r="G1622" s="13"/>
      <c r="H1622" s="13"/>
    </row>
    <row r="1623" customFormat="false" ht="15" hidden="false" customHeight="true" outlineLevel="0" collapsed="false">
      <c r="B1623" s="14"/>
      <c r="C1623" s="11"/>
      <c r="D1623" s="11"/>
      <c r="E1623" s="11"/>
      <c r="F1623" s="33"/>
      <c r="G1623" s="13"/>
      <c r="H1623" s="13"/>
    </row>
    <row r="1624" customFormat="false" ht="15" hidden="false" customHeight="true" outlineLevel="0" collapsed="false">
      <c r="B1624" s="14"/>
      <c r="C1624" s="11"/>
      <c r="D1624" s="11"/>
      <c r="E1624" s="11"/>
      <c r="F1624" s="33"/>
      <c r="G1624" s="13"/>
      <c r="H1624" s="13"/>
    </row>
    <row r="1625" customFormat="false" ht="15" hidden="false" customHeight="true" outlineLevel="0" collapsed="false">
      <c r="B1625" s="14"/>
      <c r="C1625" s="11"/>
      <c r="D1625" s="11"/>
      <c r="E1625" s="11"/>
      <c r="F1625" s="33"/>
      <c r="G1625" s="13"/>
      <c r="H1625" s="13"/>
    </row>
    <row r="1626" customFormat="false" ht="15" hidden="false" customHeight="true" outlineLevel="0" collapsed="false">
      <c r="B1626" s="14"/>
      <c r="C1626" s="11"/>
      <c r="D1626" s="11"/>
      <c r="E1626" s="11"/>
      <c r="F1626" s="33"/>
      <c r="G1626" s="13"/>
      <c r="H1626" s="13"/>
    </row>
    <row r="1627" customFormat="false" ht="15" hidden="false" customHeight="true" outlineLevel="0" collapsed="false">
      <c r="B1627" s="14"/>
      <c r="C1627" s="11"/>
      <c r="D1627" s="11"/>
      <c r="E1627" s="11"/>
      <c r="F1627" s="33"/>
      <c r="G1627" s="13"/>
      <c r="H1627" s="13"/>
    </row>
    <row r="1628" customFormat="false" ht="15" hidden="false" customHeight="true" outlineLevel="0" collapsed="false">
      <c r="B1628" s="14"/>
      <c r="C1628" s="11"/>
      <c r="D1628" s="11"/>
      <c r="E1628" s="11"/>
      <c r="F1628" s="33"/>
      <c r="G1628" s="13"/>
      <c r="H1628" s="13"/>
    </row>
    <row r="1629" customFormat="false" ht="15" hidden="false" customHeight="true" outlineLevel="0" collapsed="false">
      <c r="B1629" s="14"/>
      <c r="C1629" s="11"/>
      <c r="D1629" s="11"/>
      <c r="E1629" s="11"/>
      <c r="F1629" s="33"/>
      <c r="G1629" s="13"/>
      <c r="H1629" s="13"/>
    </row>
    <row r="1630" customFormat="false" ht="15" hidden="false" customHeight="true" outlineLevel="0" collapsed="false">
      <c r="B1630" s="14"/>
      <c r="C1630" s="11"/>
      <c r="D1630" s="11"/>
      <c r="E1630" s="11"/>
      <c r="F1630" s="33"/>
      <c r="G1630" s="13"/>
      <c r="H1630" s="13"/>
    </row>
    <row r="1631" customFormat="false" ht="15" hidden="false" customHeight="true" outlineLevel="0" collapsed="false">
      <c r="B1631" s="14"/>
      <c r="C1631" s="11"/>
      <c r="D1631" s="11"/>
      <c r="E1631" s="11"/>
      <c r="F1631" s="33"/>
      <c r="G1631" s="13"/>
      <c r="H1631" s="13"/>
    </row>
    <row r="1632" customFormat="false" ht="15" hidden="false" customHeight="true" outlineLevel="0" collapsed="false">
      <c r="B1632" s="14"/>
      <c r="C1632" s="11"/>
      <c r="D1632" s="11"/>
      <c r="E1632" s="11"/>
      <c r="F1632" s="33"/>
      <c r="G1632" s="13"/>
      <c r="H1632" s="13"/>
    </row>
    <row r="1633" customFormat="false" ht="15" hidden="false" customHeight="true" outlineLevel="0" collapsed="false">
      <c r="B1633" s="14"/>
      <c r="C1633" s="11"/>
      <c r="D1633" s="11"/>
      <c r="E1633" s="11"/>
      <c r="F1633" s="33"/>
      <c r="G1633" s="13"/>
      <c r="H1633" s="13"/>
    </row>
    <row r="1634" customFormat="false" ht="15" hidden="false" customHeight="true" outlineLevel="0" collapsed="false">
      <c r="B1634" s="14"/>
      <c r="C1634" s="11"/>
      <c r="D1634" s="11"/>
      <c r="E1634" s="11"/>
      <c r="F1634" s="33"/>
      <c r="G1634" s="13"/>
      <c r="H1634" s="13"/>
    </row>
    <row r="1635" customFormat="false" ht="15" hidden="false" customHeight="true" outlineLevel="0" collapsed="false">
      <c r="B1635" s="14"/>
      <c r="C1635" s="11"/>
      <c r="D1635" s="11"/>
      <c r="E1635" s="11"/>
      <c r="F1635" s="33"/>
      <c r="G1635" s="13"/>
      <c r="H1635" s="13"/>
    </row>
    <row r="1636" customFormat="false" ht="15" hidden="false" customHeight="true" outlineLevel="0" collapsed="false">
      <c r="B1636" s="14"/>
      <c r="C1636" s="11"/>
      <c r="D1636" s="11"/>
      <c r="E1636" s="11"/>
      <c r="F1636" s="33"/>
      <c r="G1636" s="13"/>
      <c r="H1636" s="13"/>
    </row>
    <row r="1637" customFormat="false" ht="15" hidden="false" customHeight="true" outlineLevel="0" collapsed="false">
      <c r="B1637" s="14"/>
      <c r="C1637" s="11"/>
      <c r="D1637" s="11"/>
      <c r="E1637" s="11"/>
      <c r="F1637" s="33"/>
      <c r="G1637" s="13"/>
      <c r="H1637" s="13"/>
    </row>
    <row r="1638" customFormat="false" ht="15" hidden="false" customHeight="true" outlineLevel="0" collapsed="false">
      <c r="B1638" s="14"/>
      <c r="C1638" s="11"/>
      <c r="D1638" s="11"/>
      <c r="E1638" s="11"/>
      <c r="F1638" s="33"/>
      <c r="G1638" s="13"/>
      <c r="H1638" s="13"/>
    </row>
    <row r="1639" customFormat="false" ht="15" hidden="false" customHeight="true" outlineLevel="0" collapsed="false">
      <c r="B1639" s="14"/>
      <c r="C1639" s="11"/>
      <c r="D1639" s="11"/>
      <c r="E1639" s="11"/>
      <c r="F1639" s="33"/>
      <c r="G1639" s="13"/>
      <c r="H1639" s="13"/>
    </row>
    <row r="1640" customFormat="false" ht="15" hidden="false" customHeight="true" outlineLevel="0" collapsed="false">
      <c r="B1640" s="14"/>
      <c r="C1640" s="11"/>
      <c r="D1640" s="11"/>
      <c r="E1640" s="11"/>
      <c r="F1640" s="33"/>
      <c r="G1640" s="13"/>
      <c r="H1640" s="13"/>
    </row>
    <row r="1641" customFormat="false" ht="15" hidden="false" customHeight="true" outlineLevel="0" collapsed="false">
      <c r="B1641" s="14"/>
      <c r="C1641" s="11"/>
      <c r="D1641" s="11"/>
      <c r="E1641" s="11"/>
      <c r="F1641" s="33"/>
      <c r="G1641" s="13"/>
      <c r="H1641" s="13"/>
    </row>
    <row r="1642" customFormat="false" ht="15" hidden="false" customHeight="true" outlineLevel="0" collapsed="false">
      <c r="B1642" s="14"/>
      <c r="C1642" s="11"/>
      <c r="D1642" s="11"/>
      <c r="E1642" s="11"/>
      <c r="F1642" s="33"/>
      <c r="G1642" s="13"/>
      <c r="H1642" s="13"/>
    </row>
    <row r="1643" customFormat="false" ht="15" hidden="false" customHeight="true" outlineLevel="0" collapsed="false">
      <c r="B1643" s="14"/>
      <c r="C1643" s="11"/>
      <c r="D1643" s="11"/>
      <c r="E1643" s="11"/>
      <c r="F1643" s="33"/>
      <c r="G1643" s="13"/>
      <c r="H1643" s="13"/>
    </row>
    <row r="1644" customFormat="false" ht="15" hidden="false" customHeight="true" outlineLevel="0" collapsed="false">
      <c r="B1644" s="14"/>
      <c r="C1644" s="11"/>
      <c r="D1644" s="11"/>
      <c r="E1644" s="11"/>
      <c r="F1644" s="33"/>
      <c r="G1644" s="13"/>
      <c r="H1644" s="13"/>
    </row>
    <row r="1645" customFormat="false" ht="15" hidden="false" customHeight="true" outlineLevel="0" collapsed="false">
      <c r="B1645" s="14"/>
      <c r="C1645" s="11"/>
      <c r="D1645" s="11"/>
      <c r="E1645" s="11"/>
      <c r="F1645" s="33"/>
      <c r="G1645" s="13"/>
      <c r="H1645" s="13"/>
    </row>
    <row r="1646" customFormat="false" ht="15" hidden="false" customHeight="true" outlineLevel="0" collapsed="false">
      <c r="B1646" s="14"/>
      <c r="C1646" s="11"/>
      <c r="D1646" s="11"/>
      <c r="E1646" s="11"/>
      <c r="F1646" s="33"/>
      <c r="G1646" s="13"/>
      <c r="H1646" s="13"/>
    </row>
    <row r="1647" customFormat="false" ht="15" hidden="false" customHeight="true" outlineLevel="0" collapsed="false">
      <c r="B1647" s="14"/>
      <c r="C1647" s="11"/>
      <c r="D1647" s="11"/>
      <c r="E1647" s="11"/>
      <c r="F1647" s="33"/>
      <c r="G1647" s="13"/>
      <c r="H1647" s="13"/>
    </row>
    <row r="1648" customFormat="false" ht="15" hidden="false" customHeight="true" outlineLevel="0" collapsed="false">
      <c r="B1648" s="14"/>
      <c r="C1648" s="11"/>
      <c r="D1648" s="11"/>
      <c r="E1648" s="11"/>
      <c r="F1648" s="33"/>
      <c r="G1648" s="13"/>
      <c r="H1648" s="13"/>
    </row>
    <row r="1649" customFormat="false" ht="15" hidden="false" customHeight="true" outlineLevel="0" collapsed="false">
      <c r="B1649" s="14"/>
      <c r="C1649" s="11"/>
      <c r="D1649" s="11"/>
      <c r="E1649" s="11"/>
      <c r="F1649" s="33"/>
      <c r="G1649" s="13"/>
      <c r="H1649" s="13"/>
    </row>
    <row r="1650" customFormat="false" ht="15" hidden="false" customHeight="true" outlineLevel="0" collapsed="false">
      <c r="B1650" s="14"/>
      <c r="C1650" s="11"/>
      <c r="D1650" s="11"/>
      <c r="E1650" s="11"/>
      <c r="F1650" s="33"/>
      <c r="G1650" s="13"/>
      <c r="H1650" s="13"/>
    </row>
    <row r="1651" customFormat="false" ht="15" hidden="false" customHeight="true" outlineLevel="0" collapsed="false">
      <c r="B1651" s="14"/>
      <c r="C1651" s="11"/>
      <c r="D1651" s="11"/>
      <c r="E1651" s="11"/>
      <c r="F1651" s="33"/>
      <c r="G1651" s="13"/>
      <c r="H1651" s="13"/>
    </row>
    <row r="1652" customFormat="false" ht="15" hidden="false" customHeight="true" outlineLevel="0" collapsed="false">
      <c r="B1652" s="14"/>
      <c r="C1652" s="11"/>
      <c r="D1652" s="11"/>
      <c r="E1652" s="11"/>
      <c r="F1652" s="33"/>
      <c r="G1652" s="13"/>
      <c r="H1652" s="13"/>
    </row>
    <row r="1653" customFormat="false" ht="15" hidden="false" customHeight="true" outlineLevel="0" collapsed="false">
      <c r="B1653" s="14"/>
      <c r="C1653" s="11"/>
      <c r="D1653" s="11"/>
      <c r="E1653" s="11"/>
      <c r="F1653" s="33"/>
      <c r="G1653" s="13"/>
      <c r="H1653" s="13"/>
    </row>
    <row r="1654" customFormat="false" ht="15" hidden="false" customHeight="true" outlineLevel="0" collapsed="false">
      <c r="B1654" s="14"/>
      <c r="C1654" s="11"/>
      <c r="D1654" s="11"/>
      <c r="E1654" s="11"/>
      <c r="F1654" s="33"/>
      <c r="G1654" s="13"/>
      <c r="H1654" s="13"/>
    </row>
    <row r="1655" customFormat="false" ht="15" hidden="false" customHeight="true" outlineLevel="0" collapsed="false">
      <c r="B1655" s="14"/>
      <c r="C1655" s="11"/>
      <c r="D1655" s="11"/>
      <c r="E1655" s="11"/>
      <c r="F1655" s="33"/>
      <c r="G1655" s="13"/>
      <c r="H1655" s="13"/>
    </row>
    <row r="1656" customFormat="false" ht="15" hidden="false" customHeight="true" outlineLevel="0" collapsed="false">
      <c r="B1656" s="14"/>
      <c r="C1656" s="11"/>
      <c r="D1656" s="11"/>
      <c r="E1656" s="11"/>
      <c r="F1656" s="33"/>
      <c r="G1656" s="13"/>
      <c r="H1656" s="13"/>
    </row>
    <row r="1657" customFormat="false" ht="15" hidden="false" customHeight="true" outlineLevel="0" collapsed="false">
      <c r="B1657" s="14"/>
      <c r="C1657" s="11"/>
      <c r="D1657" s="11"/>
      <c r="E1657" s="11"/>
      <c r="F1657" s="33"/>
      <c r="G1657" s="13"/>
      <c r="H1657" s="13"/>
    </row>
    <row r="1658" customFormat="false" ht="15" hidden="false" customHeight="true" outlineLevel="0" collapsed="false">
      <c r="B1658" s="14"/>
      <c r="C1658" s="11"/>
      <c r="D1658" s="11"/>
      <c r="E1658" s="11"/>
      <c r="F1658" s="33"/>
      <c r="G1658" s="13"/>
      <c r="H1658" s="13"/>
    </row>
    <row r="1659" customFormat="false" ht="15" hidden="false" customHeight="true" outlineLevel="0" collapsed="false">
      <c r="B1659" s="14"/>
      <c r="C1659" s="11"/>
      <c r="D1659" s="11"/>
      <c r="E1659" s="11"/>
      <c r="F1659" s="33"/>
      <c r="G1659" s="13"/>
      <c r="H1659" s="13"/>
    </row>
    <row r="1660" customFormat="false" ht="15" hidden="false" customHeight="true" outlineLevel="0" collapsed="false">
      <c r="B1660" s="14"/>
      <c r="C1660" s="11"/>
      <c r="D1660" s="11"/>
      <c r="E1660" s="11"/>
      <c r="F1660" s="33"/>
      <c r="G1660" s="13"/>
      <c r="H1660" s="13"/>
    </row>
    <row r="1661" customFormat="false" ht="15" hidden="false" customHeight="true" outlineLevel="0" collapsed="false">
      <c r="B1661" s="14"/>
      <c r="C1661" s="11"/>
      <c r="D1661" s="11"/>
      <c r="E1661" s="11"/>
      <c r="F1661" s="33"/>
      <c r="G1661" s="13"/>
      <c r="H1661" s="13"/>
    </row>
    <row r="1662" customFormat="false" ht="15" hidden="false" customHeight="true" outlineLevel="0" collapsed="false">
      <c r="B1662" s="14"/>
      <c r="C1662" s="11"/>
      <c r="D1662" s="11"/>
      <c r="E1662" s="11"/>
      <c r="F1662" s="33"/>
      <c r="G1662" s="13"/>
      <c r="H1662" s="13"/>
    </row>
    <row r="1663" customFormat="false" ht="15" hidden="false" customHeight="true" outlineLevel="0" collapsed="false">
      <c r="B1663" s="14"/>
      <c r="C1663" s="11"/>
      <c r="D1663" s="11"/>
      <c r="E1663" s="11"/>
      <c r="F1663" s="33"/>
      <c r="G1663" s="13"/>
      <c r="H1663" s="13"/>
    </row>
    <row r="1664" customFormat="false" ht="15" hidden="false" customHeight="true" outlineLevel="0" collapsed="false">
      <c r="B1664" s="14"/>
      <c r="C1664" s="11"/>
      <c r="D1664" s="11"/>
      <c r="E1664" s="11"/>
      <c r="F1664" s="33"/>
      <c r="G1664" s="13"/>
      <c r="H1664" s="13"/>
    </row>
    <row r="1665" customFormat="false" ht="15" hidden="false" customHeight="true" outlineLevel="0" collapsed="false">
      <c r="B1665" s="14"/>
      <c r="C1665" s="11"/>
      <c r="D1665" s="11"/>
      <c r="E1665" s="11"/>
      <c r="F1665" s="33"/>
      <c r="G1665" s="13"/>
      <c r="H1665" s="13"/>
    </row>
    <row r="1666" customFormat="false" ht="15" hidden="false" customHeight="true" outlineLevel="0" collapsed="false">
      <c r="B1666" s="14"/>
      <c r="C1666" s="11"/>
      <c r="D1666" s="11"/>
      <c r="E1666" s="11"/>
      <c r="F1666" s="33"/>
      <c r="G1666" s="13"/>
      <c r="H1666" s="13"/>
    </row>
    <row r="1667" customFormat="false" ht="15" hidden="false" customHeight="true" outlineLevel="0" collapsed="false">
      <c r="B1667" s="14"/>
      <c r="C1667" s="11"/>
      <c r="D1667" s="11"/>
      <c r="E1667" s="11"/>
      <c r="F1667" s="33"/>
      <c r="G1667" s="13"/>
      <c r="H1667" s="13"/>
    </row>
    <row r="1668" customFormat="false" ht="15" hidden="false" customHeight="true" outlineLevel="0" collapsed="false">
      <c r="B1668" s="14"/>
      <c r="C1668" s="11"/>
      <c r="D1668" s="11"/>
      <c r="E1668" s="11"/>
      <c r="F1668" s="33"/>
      <c r="G1668" s="13"/>
      <c r="H1668" s="13"/>
    </row>
    <row r="1669" customFormat="false" ht="15" hidden="false" customHeight="true" outlineLevel="0" collapsed="false">
      <c r="B1669" s="14"/>
      <c r="C1669" s="11"/>
      <c r="D1669" s="11"/>
      <c r="E1669" s="11"/>
      <c r="F1669" s="33"/>
      <c r="G1669" s="13"/>
      <c r="H1669" s="13"/>
    </row>
    <row r="1670" customFormat="false" ht="15" hidden="false" customHeight="true" outlineLevel="0" collapsed="false">
      <c r="B1670" s="14"/>
      <c r="C1670" s="11"/>
      <c r="D1670" s="11"/>
      <c r="E1670" s="11"/>
      <c r="F1670" s="33"/>
      <c r="G1670" s="13"/>
      <c r="H1670" s="13"/>
    </row>
    <row r="1671" customFormat="false" ht="15" hidden="false" customHeight="true" outlineLevel="0" collapsed="false">
      <c r="B1671" s="14"/>
      <c r="C1671" s="11"/>
      <c r="D1671" s="11"/>
      <c r="E1671" s="11"/>
      <c r="F1671" s="33"/>
      <c r="G1671" s="13"/>
      <c r="H1671" s="13"/>
    </row>
    <row r="1672" customFormat="false" ht="15" hidden="false" customHeight="true" outlineLevel="0" collapsed="false">
      <c r="B1672" s="14"/>
      <c r="C1672" s="11"/>
      <c r="D1672" s="11"/>
      <c r="E1672" s="11"/>
      <c r="F1672" s="33"/>
      <c r="G1672" s="13"/>
      <c r="H1672" s="13"/>
    </row>
    <row r="1673" customFormat="false" ht="15" hidden="false" customHeight="true" outlineLevel="0" collapsed="false">
      <c r="B1673" s="14"/>
      <c r="C1673" s="11"/>
      <c r="D1673" s="11"/>
      <c r="E1673" s="11"/>
      <c r="F1673" s="33"/>
      <c r="G1673" s="13"/>
      <c r="H1673" s="13"/>
    </row>
    <row r="1674" customFormat="false" ht="15" hidden="false" customHeight="true" outlineLevel="0" collapsed="false">
      <c r="B1674" s="14"/>
      <c r="C1674" s="11"/>
      <c r="D1674" s="11"/>
      <c r="E1674" s="11"/>
      <c r="F1674" s="33"/>
      <c r="G1674" s="13"/>
      <c r="H1674" s="13"/>
    </row>
    <row r="1675" customFormat="false" ht="15" hidden="false" customHeight="true" outlineLevel="0" collapsed="false">
      <c r="B1675" s="14"/>
      <c r="C1675" s="11"/>
      <c r="D1675" s="11"/>
      <c r="E1675" s="11"/>
      <c r="F1675" s="33"/>
      <c r="G1675" s="13"/>
      <c r="H1675" s="13"/>
    </row>
    <row r="1676" customFormat="false" ht="15" hidden="false" customHeight="true" outlineLevel="0" collapsed="false">
      <c r="B1676" s="14"/>
      <c r="C1676" s="11"/>
      <c r="D1676" s="11"/>
      <c r="E1676" s="11"/>
      <c r="F1676" s="33"/>
      <c r="G1676" s="13"/>
      <c r="H1676" s="13"/>
    </row>
    <row r="1677" customFormat="false" ht="15" hidden="false" customHeight="true" outlineLevel="0" collapsed="false">
      <c r="B1677" s="14"/>
      <c r="C1677" s="11"/>
      <c r="D1677" s="11"/>
      <c r="E1677" s="11"/>
      <c r="F1677" s="33"/>
      <c r="G1677" s="13"/>
      <c r="H1677" s="13"/>
    </row>
    <row r="1678" customFormat="false" ht="15" hidden="false" customHeight="true" outlineLevel="0" collapsed="false">
      <c r="B1678" s="14"/>
      <c r="C1678" s="11"/>
      <c r="D1678" s="11"/>
      <c r="E1678" s="11"/>
      <c r="F1678" s="33"/>
      <c r="G1678" s="13"/>
      <c r="H1678" s="13"/>
    </row>
    <row r="1679" customFormat="false" ht="15" hidden="false" customHeight="true" outlineLevel="0" collapsed="false">
      <c r="B1679" s="14"/>
      <c r="C1679" s="11"/>
      <c r="D1679" s="11"/>
      <c r="E1679" s="11"/>
      <c r="F1679" s="33"/>
      <c r="G1679" s="13"/>
      <c r="H1679" s="13"/>
    </row>
    <row r="1680" customFormat="false" ht="15" hidden="false" customHeight="true" outlineLevel="0" collapsed="false">
      <c r="B1680" s="14"/>
      <c r="C1680" s="11"/>
      <c r="D1680" s="11"/>
      <c r="E1680" s="11"/>
      <c r="F1680" s="33"/>
      <c r="G1680" s="13"/>
      <c r="H1680" s="13"/>
    </row>
    <row r="1681" customFormat="false" ht="15" hidden="false" customHeight="true" outlineLevel="0" collapsed="false">
      <c r="B1681" s="14"/>
      <c r="C1681" s="11"/>
      <c r="D1681" s="11"/>
      <c r="E1681" s="11"/>
      <c r="F1681" s="33"/>
      <c r="G1681" s="13"/>
      <c r="H1681" s="13"/>
    </row>
    <row r="1682" customFormat="false" ht="15" hidden="false" customHeight="true" outlineLevel="0" collapsed="false">
      <c r="B1682" s="14"/>
      <c r="C1682" s="11"/>
      <c r="D1682" s="11"/>
      <c r="E1682" s="11"/>
      <c r="F1682" s="33"/>
      <c r="G1682" s="13"/>
      <c r="H1682" s="13"/>
    </row>
    <row r="1683" customFormat="false" ht="15" hidden="false" customHeight="true" outlineLevel="0" collapsed="false">
      <c r="B1683" s="14"/>
      <c r="C1683" s="11"/>
      <c r="D1683" s="11"/>
      <c r="E1683" s="11"/>
      <c r="F1683" s="33"/>
      <c r="G1683" s="13"/>
      <c r="H1683" s="13"/>
    </row>
    <row r="1684" customFormat="false" ht="15" hidden="false" customHeight="true" outlineLevel="0" collapsed="false">
      <c r="B1684" s="14"/>
      <c r="C1684" s="11"/>
      <c r="D1684" s="11"/>
      <c r="E1684" s="11"/>
      <c r="F1684" s="33"/>
      <c r="G1684" s="13"/>
      <c r="H1684" s="13"/>
    </row>
    <row r="1685" customFormat="false" ht="15" hidden="false" customHeight="true" outlineLevel="0" collapsed="false">
      <c r="B1685" s="14"/>
      <c r="C1685" s="11"/>
      <c r="D1685" s="11"/>
      <c r="E1685" s="11"/>
      <c r="F1685" s="33"/>
      <c r="G1685" s="13"/>
      <c r="H1685" s="13"/>
    </row>
    <row r="1686" customFormat="false" ht="15" hidden="false" customHeight="true" outlineLevel="0" collapsed="false">
      <c r="B1686" s="14"/>
      <c r="C1686" s="11"/>
      <c r="D1686" s="11"/>
      <c r="E1686" s="11"/>
      <c r="F1686" s="33"/>
      <c r="G1686" s="13"/>
      <c r="H1686" s="13"/>
    </row>
    <row r="1687" customFormat="false" ht="15" hidden="false" customHeight="true" outlineLevel="0" collapsed="false">
      <c r="B1687" s="14"/>
      <c r="C1687" s="11"/>
      <c r="D1687" s="11"/>
      <c r="E1687" s="11"/>
      <c r="F1687" s="33"/>
      <c r="G1687" s="13"/>
      <c r="H1687" s="13"/>
    </row>
    <row r="1688" customFormat="false" ht="15" hidden="false" customHeight="true" outlineLevel="0" collapsed="false">
      <c r="B1688" s="14"/>
      <c r="C1688" s="11"/>
      <c r="D1688" s="11"/>
      <c r="E1688" s="11"/>
      <c r="F1688" s="33"/>
      <c r="G1688" s="13"/>
      <c r="H1688" s="13"/>
    </row>
    <row r="1689" customFormat="false" ht="15" hidden="false" customHeight="true" outlineLevel="0" collapsed="false">
      <c r="B1689" s="14"/>
      <c r="C1689" s="11"/>
      <c r="D1689" s="11"/>
      <c r="E1689" s="11"/>
      <c r="F1689" s="33"/>
      <c r="G1689" s="13"/>
      <c r="H1689" s="13"/>
    </row>
    <row r="1690" customFormat="false" ht="15" hidden="false" customHeight="true" outlineLevel="0" collapsed="false">
      <c r="B1690" s="14"/>
      <c r="C1690" s="11"/>
      <c r="D1690" s="11"/>
      <c r="E1690" s="11"/>
      <c r="F1690" s="33"/>
      <c r="G1690" s="13"/>
      <c r="H1690" s="13"/>
    </row>
    <row r="1691" customFormat="false" ht="15" hidden="false" customHeight="true" outlineLevel="0" collapsed="false">
      <c r="B1691" s="14"/>
      <c r="C1691" s="11"/>
      <c r="D1691" s="11"/>
      <c r="E1691" s="11"/>
      <c r="F1691" s="33"/>
      <c r="G1691" s="13"/>
      <c r="H1691" s="13"/>
    </row>
    <row r="1692" customFormat="false" ht="15" hidden="false" customHeight="true" outlineLevel="0" collapsed="false">
      <c r="B1692" s="14"/>
      <c r="C1692" s="11"/>
      <c r="D1692" s="11"/>
      <c r="E1692" s="11"/>
      <c r="F1692" s="33"/>
      <c r="G1692" s="13"/>
      <c r="H1692" s="13"/>
    </row>
    <row r="1693" customFormat="false" ht="15" hidden="false" customHeight="true" outlineLevel="0" collapsed="false">
      <c r="B1693" s="14"/>
      <c r="C1693" s="11"/>
      <c r="D1693" s="11"/>
      <c r="E1693" s="11"/>
      <c r="F1693" s="33"/>
      <c r="G1693" s="13"/>
      <c r="H1693" s="13"/>
    </row>
    <row r="1694" customFormat="false" ht="15" hidden="false" customHeight="true" outlineLevel="0" collapsed="false">
      <c r="B1694" s="14"/>
      <c r="C1694" s="11"/>
      <c r="D1694" s="11"/>
      <c r="E1694" s="11"/>
      <c r="F1694" s="33"/>
      <c r="G1694" s="13"/>
      <c r="H1694" s="13"/>
    </row>
    <row r="1695" customFormat="false" ht="15" hidden="false" customHeight="true" outlineLevel="0" collapsed="false">
      <c r="B1695" s="14"/>
      <c r="C1695" s="11"/>
      <c r="D1695" s="11"/>
      <c r="E1695" s="11"/>
      <c r="F1695" s="33"/>
      <c r="G1695" s="13"/>
      <c r="H1695" s="13"/>
    </row>
    <row r="1696" customFormat="false" ht="15" hidden="false" customHeight="true" outlineLevel="0" collapsed="false">
      <c r="B1696" s="14"/>
      <c r="C1696" s="11"/>
      <c r="D1696" s="11"/>
      <c r="E1696" s="11"/>
      <c r="F1696" s="33"/>
      <c r="G1696" s="13"/>
      <c r="H1696" s="13"/>
    </row>
    <row r="1697" customFormat="false" ht="15" hidden="false" customHeight="true" outlineLevel="0" collapsed="false">
      <c r="B1697" s="14"/>
      <c r="C1697" s="11"/>
      <c r="D1697" s="11"/>
      <c r="E1697" s="11"/>
      <c r="F1697" s="33"/>
      <c r="G1697" s="13"/>
      <c r="H1697" s="13"/>
    </row>
    <row r="1698" customFormat="false" ht="15" hidden="false" customHeight="true" outlineLevel="0" collapsed="false">
      <c r="B1698" s="14"/>
      <c r="C1698" s="11"/>
      <c r="D1698" s="11"/>
      <c r="E1698" s="11"/>
      <c r="F1698" s="33"/>
      <c r="G1698" s="13"/>
      <c r="H1698" s="13"/>
    </row>
    <row r="1699" customFormat="false" ht="15" hidden="false" customHeight="true" outlineLevel="0" collapsed="false">
      <c r="B1699" s="14"/>
      <c r="C1699" s="11"/>
      <c r="D1699" s="11"/>
      <c r="E1699" s="11"/>
      <c r="F1699" s="33"/>
      <c r="G1699" s="13"/>
      <c r="H1699" s="13"/>
    </row>
    <row r="1700" customFormat="false" ht="15" hidden="false" customHeight="true" outlineLevel="0" collapsed="false">
      <c r="B1700" s="14"/>
      <c r="C1700" s="11"/>
      <c r="D1700" s="11"/>
      <c r="E1700" s="11"/>
      <c r="F1700" s="33"/>
      <c r="G1700" s="13"/>
      <c r="H1700" s="13"/>
    </row>
    <row r="1701" customFormat="false" ht="15" hidden="false" customHeight="true" outlineLevel="0" collapsed="false">
      <c r="B1701" s="14"/>
      <c r="C1701" s="11"/>
      <c r="D1701" s="11"/>
      <c r="E1701" s="11"/>
      <c r="F1701" s="33"/>
      <c r="G1701" s="13"/>
      <c r="H1701" s="13"/>
    </row>
    <row r="1702" customFormat="false" ht="15" hidden="false" customHeight="true" outlineLevel="0" collapsed="false">
      <c r="B1702" s="14"/>
      <c r="C1702" s="11"/>
      <c r="D1702" s="11"/>
      <c r="E1702" s="11"/>
      <c r="F1702" s="33"/>
      <c r="G1702" s="13"/>
      <c r="H1702" s="13"/>
    </row>
    <row r="1703" customFormat="false" ht="15" hidden="false" customHeight="true" outlineLevel="0" collapsed="false">
      <c r="B1703" s="14"/>
      <c r="C1703" s="11"/>
      <c r="D1703" s="11"/>
      <c r="E1703" s="11"/>
      <c r="F1703" s="33"/>
      <c r="G1703" s="13"/>
      <c r="H1703" s="13"/>
    </row>
    <row r="1704" customFormat="false" ht="15" hidden="false" customHeight="true" outlineLevel="0" collapsed="false">
      <c r="B1704" s="14"/>
      <c r="C1704" s="11"/>
      <c r="D1704" s="11"/>
      <c r="E1704" s="11"/>
      <c r="F1704" s="33"/>
      <c r="G1704" s="13"/>
      <c r="H1704" s="13"/>
    </row>
    <row r="1705" customFormat="false" ht="15" hidden="false" customHeight="true" outlineLevel="0" collapsed="false">
      <c r="B1705" s="14"/>
      <c r="C1705" s="11"/>
      <c r="D1705" s="11"/>
      <c r="E1705" s="11"/>
      <c r="F1705" s="33"/>
      <c r="G1705" s="13"/>
      <c r="H1705" s="13"/>
    </row>
    <row r="1706" customFormat="false" ht="15" hidden="false" customHeight="true" outlineLevel="0" collapsed="false">
      <c r="B1706" s="14"/>
      <c r="C1706" s="11"/>
      <c r="D1706" s="11"/>
      <c r="E1706" s="11"/>
      <c r="F1706" s="33"/>
      <c r="G1706" s="13"/>
      <c r="H1706" s="13"/>
    </row>
    <row r="1707" customFormat="false" ht="15" hidden="false" customHeight="true" outlineLevel="0" collapsed="false">
      <c r="B1707" s="14"/>
      <c r="C1707" s="11"/>
      <c r="D1707" s="11"/>
      <c r="E1707" s="11"/>
      <c r="F1707" s="33"/>
      <c r="G1707" s="13"/>
      <c r="H1707" s="13"/>
    </row>
    <row r="1708" customFormat="false" ht="15" hidden="false" customHeight="true" outlineLevel="0" collapsed="false">
      <c r="B1708" s="14"/>
      <c r="C1708" s="11"/>
      <c r="D1708" s="11"/>
      <c r="E1708" s="11"/>
      <c r="F1708" s="33"/>
      <c r="G1708" s="13"/>
      <c r="H1708" s="13"/>
    </row>
    <row r="1709" customFormat="false" ht="15" hidden="false" customHeight="true" outlineLevel="0" collapsed="false">
      <c r="B1709" s="14"/>
      <c r="C1709" s="11"/>
      <c r="D1709" s="11"/>
      <c r="E1709" s="11"/>
      <c r="F1709" s="33"/>
      <c r="G1709" s="13"/>
      <c r="H1709" s="13"/>
    </row>
    <row r="1710" customFormat="false" ht="15" hidden="false" customHeight="true" outlineLevel="0" collapsed="false">
      <c r="B1710" s="14"/>
      <c r="C1710" s="11"/>
      <c r="D1710" s="11"/>
      <c r="E1710" s="11"/>
      <c r="F1710" s="33"/>
      <c r="G1710" s="13"/>
      <c r="H1710" s="13"/>
    </row>
    <row r="1711" customFormat="false" ht="15" hidden="false" customHeight="true" outlineLevel="0" collapsed="false">
      <c r="B1711" s="14"/>
      <c r="C1711" s="11"/>
      <c r="D1711" s="11"/>
      <c r="E1711" s="11"/>
      <c r="F1711" s="33"/>
      <c r="G1711" s="13"/>
      <c r="H1711" s="13"/>
    </row>
    <row r="1712" customFormat="false" ht="15" hidden="false" customHeight="true" outlineLevel="0" collapsed="false">
      <c r="B1712" s="14"/>
      <c r="C1712" s="11"/>
      <c r="D1712" s="11"/>
      <c r="E1712" s="11"/>
      <c r="F1712" s="33"/>
      <c r="G1712" s="13"/>
      <c r="H1712" s="13"/>
    </row>
    <row r="1713" customFormat="false" ht="15" hidden="false" customHeight="true" outlineLevel="0" collapsed="false">
      <c r="B1713" s="14"/>
      <c r="C1713" s="11"/>
      <c r="D1713" s="11"/>
      <c r="E1713" s="11"/>
      <c r="F1713" s="33"/>
      <c r="G1713" s="13"/>
      <c r="H1713" s="13"/>
    </row>
    <row r="1714" customFormat="false" ht="15" hidden="false" customHeight="true" outlineLevel="0" collapsed="false">
      <c r="B1714" s="14"/>
      <c r="C1714" s="11"/>
      <c r="D1714" s="11"/>
      <c r="E1714" s="11"/>
      <c r="F1714" s="33"/>
      <c r="G1714" s="13"/>
      <c r="H1714" s="13"/>
    </row>
    <row r="1715" customFormat="false" ht="15" hidden="false" customHeight="true" outlineLevel="0" collapsed="false">
      <c r="B1715" s="14"/>
      <c r="C1715" s="11"/>
      <c r="D1715" s="11"/>
      <c r="E1715" s="11"/>
      <c r="F1715" s="33"/>
      <c r="G1715" s="13"/>
      <c r="H1715" s="13"/>
    </row>
    <row r="1716" customFormat="false" ht="15" hidden="false" customHeight="true" outlineLevel="0" collapsed="false">
      <c r="B1716" s="14"/>
      <c r="C1716" s="11"/>
      <c r="D1716" s="11"/>
      <c r="E1716" s="11"/>
      <c r="F1716" s="33"/>
      <c r="G1716" s="13"/>
      <c r="H1716" s="13"/>
    </row>
    <row r="1717" customFormat="false" ht="15" hidden="false" customHeight="true" outlineLevel="0" collapsed="false">
      <c r="B1717" s="14"/>
      <c r="C1717" s="11"/>
      <c r="D1717" s="11"/>
      <c r="E1717" s="11"/>
      <c r="F1717" s="33"/>
      <c r="G1717" s="13"/>
      <c r="H1717" s="13"/>
    </row>
    <row r="1718" customFormat="false" ht="15" hidden="false" customHeight="true" outlineLevel="0" collapsed="false">
      <c r="B1718" s="14"/>
      <c r="C1718" s="11"/>
      <c r="D1718" s="11"/>
      <c r="E1718" s="11"/>
      <c r="F1718" s="33"/>
      <c r="G1718" s="13"/>
      <c r="H1718" s="13"/>
    </row>
    <row r="1719" customFormat="false" ht="15" hidden="false" customHeight="true" outlineLevel="0" collapsed="false">
      <c r="B1719" s="14"/>
      <c r="C1719" s="11"/>
      <c r="D1719" s="11"/>
      <c r="E1719" s="11"/>
      <c r="F1719" s="33"/>
      <c r="G1719" s="13"/>
      <c r="H1719" s="13"/>
    </row>
    <row r="1720" customFormat="false" ht="15" hidden="false" customHeight="true" outlineLevel="0" collapsed="false">
      <c r="B1720" s="14"/>
      <c r="C1720" s="11"/>
      <c r="D1720" s="11"/>
      <c r="E1720" s="11"/>
      <c r="F1720" s="33"/>
      <c r="G1720" s="13"/>
      <c r="H1720" s="13"/>
    </row>
    <row r="1721" customFormat="false" ht="15" hidden="false" customHeight="true" outlineLevel="0" collapsed="false">
      <c r="B1721" s="14"/>
      <c r="C1721" s="11"/>
      <c r="D1721" s="11"/>
      <c r="E1721" s="11"/>
      <c r="F1721" s="33"/>
      <c r="G1721" s="13"/>
      <c r="H1721" s="13"/>
    </row>
    <row r="1722" customFormat="false" ht="15" hidden="false" customHeight="true" outlineLevel="0" collapsed="false">
      <c r="B1722" s="14"/>
      <c r="C1722" s="11"/>
      <c r="D1722" s="11"/>
      <c r="E1722" s="11"/>
      <c r="F1722" s="33"/>
      <c r="G1722" s="13"/>
      <c r="H1722" s="13"/>
    </row>
    <row r="1723" customFormat="false" ht="15" hidden="false" customHeight="true" outlineLevel="0" collapsed="false">
      <c r="B1723" s="14"/>
      <c r="C1723" s="11"/>
      <c r="D1723" s="11"/>
      <c r="E1723" s="11"/>
      <c r="F1723" s="33"/>
      <c r="G1723" s="13"/>
      <c r="H1723" s="13"/>
    </row>
    <row r="1724" customFormat="false" ht="15" hidden="false" customHeight="true" outlineLevel="0" collapsed="false">
      <c r="B1724" s="14"/>
      <c r="C1724" s="11"/>
      <c r="D1724" s="11"/>
      <c r="E1724" s="11"/>
      <c r="F1724" s="33"/>
      <c r="G1724" s="13"/>
      <c r="H1724" s="13"/>
    </row>
    <row r="1725" customFormat="false" ht="15" hidden="false" customHeight="true" outlineLevel="0" collapsed="false">
      <c r="B1725" s="14"/>
      <c r="C1725" s="11"/>
      <c r="D1725" s="11"/>
      <c r="E1725" s="11"/>
      <c r="F1725" s="33"/>
      <c r="G1725" s="13"/>
      <c r="H1725" s="13"/>
    </row>
    <row r="1726" customFormat="false" ht="15" hidden="false" customHeight="true" outlineLevel="0" collapsed="false">
      <c r="B1726" s="14"/>
      <c r="C1726" s="11"/>
      <c r="D1726" s="11"/>
      <c r="E1726" s="11"/>
      <c r="F1726" s="33"/>
      <c r="G1726" s="13"/>
      <c r="H1726" s="13"/>
    </row>
    <row r="1727" customFormat="false" ht="15" hidden="false" customHeight="true" outlineLevel="0" collapsed="false">
      <c r="B1727" s="14"/>
      <c r="C1727" s="11"/>
      <c r="D1727" s="11"/>
      <c r="E1727" s="11"/>
      <c r="F1727" s="33"/>
      <c r="G1727" s="13"/>
      <c r="H1727" s="13"/>
    </row>
    <row r="1728" customFormat="false" ht="15" hidden="false" customHeight="true" outlineLevel="0" collapsed="false">
      <c r="B1728" s="14"/>
      <c r="C1728" s="11"/>
      <c r="D1728" s="11"/>
      <c r="E1728" s="11"/>
      <c r="F1728" s="33"/>
      <c r="G1728" s="13"/>
      <c r="H1728" s="13"/>
    </row>
    <row r="1729" customFormat="false" ht="15" hidden="false" customHeight="true" outlineLevel="0" collapsed="false">
      <c r="B1729" s="14"/>
      <c r="C1729" s="11"/>
      <c r="D1729" s="11"/>
      <c r="E1729" s="11"/>
      <c r="F1729" s="33"/>
      <c r="G1729" s="13"/>
      <c r="H1729" s="13"/>
    </row>
    <row r="1730" customFormat="false" ht="15" hidden="false" customHeight="true" outlineLevel="0" collapsed="false">
      <c r="B1730" s="14"/>
      <c r="C1730" s="11"/>
      <c r="D1730" s="11"/>
      <c r="E1730" s="11"/>
      <c r="F1730" s="33"/>
      <c r="G1730" s="13"/>
      <c r="H1730" s="13"/>
    </row>
    <row r="1731" customFormat="false" ht="15" hidden="false" customHeight="true" outlineLevel="0" collapsed="false">
      <c r="B1731" s="14"/>
      <c r="C1731" s="11"/>
      <c r="D1731" s="11"/>
      <c r="E1731" s="11"/>
      <c r="F1731" s="33"/>
      <c r="G1731" s="13"/>
      <c r="H1731" s="13"/>
    </row>
    <row r="1732" customFormat="false" ht="15" hidden="false" customHeight="true" outlineLevel="0" collapsed="false">
      <c r="B1732" s="14"/>
      <c r="C1732" s="11"/>
      <c r="D1732" s="11"/>
      <c r="E1732" s="11"/>
      <c r="F1732" s="33"/>
      <c r="G1732" s="13"/>
      <c r="H1732" s="13"/>
    </row>
    <row r="1733" customFormat="false" ht="15" hidden="false" customHeight="true" outlineLevel="0" collapsed="false">
      <c r="B1733" s="14"/>
      <c r="C1733" s="11"/>
      <c r="D1733" s="11"/>
      <c r="E1733" s="11"/>
      <c r="F1733" s="33"/>
      <c r="G1733" s="13"/>
      <c r="H1733" s="13"/>
    </row>
    <row r="1734" customFormat="false" ht="15" hidden="false" customHeight="true" outlineLevel="0" collapsed="false">
      <c r="B1734" s="14"/>
      <c r="C1734" s="11"/>
      <c r="D1734" s="11"/>
      <c r="E1734" s="11"/>
      <c r="F1734" s="33"/>
      <c r="G1734" s="13"/>
      <c r="H1734" s="13"/>
    </row>
    <row r="1735" customFormat="false" ht="15" hidden="false" customHeight="true" outlineLevel="0" collapsed="false">
      <c r="B1735" s="14"/>
      <c r="C1735" s="11"/>
      <c r="D1735" s="11"/>
      <c r="E1735" s="11"/>
      <c r="F1735" s="33"/>
      <c r="G1735" s="13"/>
      <c r="H1735" s="13"/>
    </row>
    <row r="1736" customFormat="false" ht="15" hidden="false" customHeight="true" outlineLevel="0" collapsed="false">
      <c r="B1736" s="14"/>
      <c r="C1736" s="11"/>
      <c r="D1736" s="11"/>
      <c r="E1736" s="11"/>
      <c r="F1736" s="33"/>
      <c r="G1736" s="13"/>
      <c r="H1736" s="13"/>
    </row>
    <row r="1737" customFormat="false" ht="15" hidden="false" customHeight="true" outlineLevel="0" collapsed="false">
      <c r="B1737" s="14"/>
      <c r="C1737" s="11"/>
      <c r="D1737" s="11"/>
      <c r="E1737" s="11"/>
      <c r="F1737" s="33"/>
      <c r="G1737" s="13"/>
      <c r="H1737" s="13"/>
    </row>
    <row r="1738" customFormat="false" ht="15" hidden="false" customHeight="true" outlineLevel="0" collapsed="false">
      <c r="B1738" s="14"/>
      <c r="C1738" s="11"/>
      <c r="D1738" s="11"/>
      <c r="E1738" s="11"/>
      <c r="F1738" s="33"/>
      <c r="G1738" s="13"/>
      <c r="H1738" s="13"/>
    </row>
    <row r="1739" customFormat="false" ht="15" hidden="false" customHeight="true" outlineLevel="0" collapsed="false">
      <c r="B1739" s="14"/>
      <c r="C1739" s="11"/>
      <c r="D1739" s="11"/>
      <c r="E1739" s="11"/>
      <c r="F1739" s="33"/>
      <c r="G1739" s="13"/>
      <c r="H1739" s="13"/>
    </row>
    <row r="1740" customFormat="false" ht="15" hidden="false" customHeight="true" outlineLevel="0" collapsed="false">
      <c r="B1740" s="14"/>
      <c r="C1740" s="11"/>
      <c r="D1740" s="11"/>
      <c r="E1740" s="11"/>
      <c r="F1740" s="33"/>
      <c r="G1740" s="13"/>
      <c r="H1740" s="13"/>
    </row>
    <row r="1741" customFormat="false" ht="15" hidden="false" customHeight="true" outlineLevel="0" collapsed="false">
      <c r="B1741" s="14"/>
      <c r="C1741" s="11"/>
      <c r="D1741" s="11"/>
      <c r="E1741" s="11"/>
      <c r="F1741" s="33"/>
      <c r="G1741" s="13"/>
      <c r="H1741" s="13"/>
    </row>
    <row r="1742" customFormat="false" ht="15" hidden="false" customHeight="true" outlineLevel="0" collapsed="false">
      <c r="B1742" s="14"/>
      <c r="C1742" s="11"/>
      <c r="D1742" s="11"/>
      <c r="E1742" s="11"/>
      <c r="F1742" s="33"/>
      <c r="G1742" s="13"/>
      <c r="H1742" s="13"/>
    </row>
    <row r="1743" customFormat="false" ht="15" hidden="false" customHeight="true" outlineLevel="0" collapsed="false">
      <c r="B1743" s="14"/>
      <c r="C1743" s="11"/>
      <c r="D1743" s="11"/>
      <c r="E1743" s="11"/>
      <c r="F1743" s="33"/>
      <c r="G1743" s="13"/>
      <c r="H1743" s="13"/>
    </row>
    <row r="1744" customFormat="false" ht="15" hidden="false" customHeight="true" outlineLevel="0" collapsed="false">
      <c r="B1744" s="14"/>
      <c r="C1744" s="11"/>
      <c r="D1744" s="11"/>
      <c r="E1744" s="11"/>
      <c r="F1744" s="33"/>
      <c r="G1744" s="13"/>
      <c r="H1744" s="13"/>
    </row>
    <row r="1745" customFormat="false" ht="15" hidden="false" customHeight="true" outlineLevel="0" collapsed="false">
      <c r="B1745" s="14"/>
      <c r="C1745" s="11"/>
      <c r="D1745" s="11"/>
      <c r="E1745" s="11"/>
      <c r="F1745" s="33"/>
      <c r="G1745" s="13"/>
      <c r="H1745" s="13"/>
    </row>
    <row r="1746" customFormat="false" ht="15" hidden="false" customHeight="true" outlineLevel="0" collapsed="false">
      <c r="B1746" s="14"/>
      <c r="C1746" s="11"/>
      <c r="D1746" s="11"/>
      <c r="E1746" s="11"/>
      <c r="F1746" s="33"/>
      <c r="G1746" s="13"/>
      <c r="H1746" s="13"/>
    </row>
    <row r="1747" customFormat="false" ht="15" hidden="false" customHeight="true" outlineLevel="0" collapsed="false">
      <c r="B1747" s="14"/>
      <c r="C1747" s="11"/>
      <c r="D1747" s="11"/>
      <c r="E1747" s="11"/>
      <c r="F1747" s="33"/>
      <c r="G1747" s="13"/>
      <c r="H1747" s="13"/>
    </row>
    <row r="1748" customFormat="false" ht="15" hidden="false" customHeight="true" outlineLevel="0" collapsed="false">
      <c r="B1748" s="14"/>
      <c r="C1748" s="11"/>
      <c r="D1748" s="11"/>
      <c r="E1748" s="11"/>
      <c r="F1748" s="33"/>
      <c r="G1748" s="13"/>
      <c r="H1748" s="13"/>
    </row>
    <row r="1749" customFormat="false" ht="15" hidden="false" customHeight="true" outlineLevel="0" collapsed="false">
      <c r="B1749" s="14"/>
      <c r="C1749" s="11"/>
      <c r="D1749" s="11"/>
      <c r="E1749" s="11"/>
      <c r="F1749" s="33"/>
      <c r="G1749" s="13"/>
      <c r="H1749" s="13"/>
    </row>
    <row r="1750" customFormat="false" ht="15" hidden="false" customHeight="true" outlineLevel="0" collapsed="false">
      <c r="B1750" s="14"/>
      <c r="C1750" s="11"/>
      <c r="D1750" s="11"/>
      <c r="E1750" s="11"/>
      <c r="F1750" s="33"/>
      <c r="G1750" s="13"/>
      <c r="H1750" s="13"/>
    </row>
    <row r="1751" customFormat="false" ht="15" hidden="false" customHeight="true" outlineLevel="0" collapsed="false">
      <c r="B1751" s="14"/>
      <c r="C1751" s="11"/>
      <c r="D1751" s="11"/>
      <c r="E1751" s="11"/>
      <c r="F1751" s="33"/>
      <c r="G1751" s="13"/>
      <c r="H1751" s="13"/>
    </row>
    <row r="1752" customFormat="false" ht="15" hidden="false" customHeight="true" outlineLevel="0" collapsed="false">
      <c r="B1752" s="14"/>
      <c r="C1752" s="11"/>
      <c r="D1752" s="11"/>
      <c r="E1752" s="11"/>
      <c r="F1752" s="33"/>
      <c r="G1752" s="13"/>
      <c r="H1752" s="13"/>
    </row>
    <row r="1753" customFormat="false" ht="15" hidden="false" customHeight="true" outlineLevel="0" collapsed="false">
      <c r="B1753" s="14"/>
      <c r="C1753" s="11"/>
      <c r="D1753" s="11"/>
      <c r="E1753" s="11"/>
      <c r="F1753" s="33"/>
      <c r="G1753" s="13"/>
      <c r="H1753" s="13"/>
    </row>
    <row r="1754" customFormat="false" ht="15" hidden="false" customHeight="true" outlineLevel="0" collapsed="false">
      <c r="B1754" s="14"/>
      <c r="C1754" s="11"/>
      <c r="D1754" s="11"/>
      <c r="E1754" s="11"/>
      <c r="F1754" s="33"/>
      <c r="G1754" s="13"/>
      <c r="H1754" s="13"/>
    </row>
    <row r="1755" customFormat="false" ht="15" hidden="false" customHeight="true" outlineLevel="0" collapsed="false">
      <c r="B1755" s="14"/>
      <c r="C1755" s="11"/>
      <c r="D1755" s="11"/>
      <c r="E1755" s="11"/>
      <c r="F1755" s="33"/>
      <c r="G1755" s="13"/>
      <c r="H1755" s="13"/>
    </row>
    <row r="1756" customFormat="false" ht="15" hidden="false" customHeight="true" outlineLevel="0" collapsed="false">
      <c r="B1756" s="14"/>
      <c r="C1756" s="11"/>
      <c r="D1756" s="11"/>
      <c r="E1756" s="11"/>
      <c r="F1756" s="33"/>
      <c r="G1756" s="13"/>
      <c r="H1756" s="13"/>
    </row>
    <row r="1757" customFormat="false" ht="15" hidden="false" customHeight="true" outlineLevel="0" collapsed="false">
      <c r="B1757" s="14"/>
      <c r="C1757" s="11"/>
      <c r="D1757" s="11"/>
      <c r="E1757" s="11"/>
      <c r="F1757" s="33"/>
      <c r="G1757" s="13"/>
      <c r="H1757" s="13"/>
    </row>
    <row r="1758" customFormat="false" ht="15" hidden="false" customHeight="true" outlineLevel="0" collapsed="false">
      <c r="B1758" s="14"/>
      <c r="C1758" s="11"/>
      <c r="D1758" s="11"/>
      <c r="E1758" s="11"/>
      <c r="F1758" s="33"/>
      <c r="G1758" s="13"/>
      <c r="H1758" s="13"/>
    </row>
    <row r="1759" customFormat="false" ht="15" hidden="false" customHeight="true" outlineLevel="0" collapsed="false">
      <c r="B1759" s="14"/>
      <c r="C1759" s="11"/>
      <c r="D1759" s="11"/>
      <c r="E1759" s="11"/>
      <c r="F1759" s="33"/>
      <c r="G1759" s="13"/>
      <c r="H1759" s="13"/>
    </row>
    <row r="1760" customFormat="false" ht="15" hidden="false" customHeight="true" outlineLevel="0" collapsed="false">
      <c r="B1760" s="14"/>
      <c r="C1760" s="11"/>
      <c r="D1760" s="11"/>
      <c r="E1760" s="11"/>
      <c r="F1760" s="33"/>
      <c r="G1760" s="13"/>
      <c r="H1760" s="13"/>
    </row>
    <row r="1761" customFormat="false" ht="15" hidden="false" customHeight="true" outlineLevel="0" collapsed="false">
      <c r="B1761" s="14"/>
      <c r="C1761" s="11"/>
      <c r="D1761" s="11"/>
      <c r="E1761" s="11"/>
      <c r="F1761" s="33"/>
      <c r="G1761" s="13"/>
      <c r="H1761" s="13"/>
    </row>
    <row r="1762" customFormat="false" ht="15" hidden="false" customHeight="true" outlineLevel="0" collapsed="false">
      <c r="B1762" s="14"/>
      <c r="C1762" s="11"/>
      <c r="D1762" s="11"/>
      <c r="E1762" s="11"/>
      <c r="F1762" s="33"/>
      <c r="G1762" s="13"/>
      <c r="H1762" s="13"/>
    </row>
    <row r="1763" customFormat="false" ht="15" hidden="false" customHeight="true" outlineLevel="0" collapsed="false">
      <c r="B1763" s="14"/>
      <c r="C1763" s="11"/>
      <c r="D1763" s="11"/>
      <c r="E1763" s="11"/>
      <c r="F1763" s="33"/>
      <c r="G1763" s="13"/>
      <c r="H1763" s="13"/>
    </row>
    <row r="1764" customFormat="false" ht="15" hidden="false" customHeight="true" outlineLevel="0" collapsed="false">
      <c r="B1764" s="14"/>
      <c r="C1764" s="11"/>
      <c r="D1764" s="11"/>
      <c r="E1764" s="11"/>
      <c r="F1764" s="33"/>
      <c r="G1764" s="13"/>
      <c r="H1764" s="13"/>
    </row>
    <row r="1765" customFormat="false" ht="15" hidden="false" customHeight="true" outlineLevel="0" collapsed="false">
      <c r="B1765" s="14"/>
      <c r="C1765" s="11"/>
      <c r="D1765" s="11"/>
      <c r="E1765" s="11"/>
      <c r="F1765" s="33"/>
      <c r="G1765" s="13"/>
      <c r="H1765" s="13"/>
    </row>
    <row r="1766" customFormat="false" ht="15" hidden="false" customHeight="true" outlineLevel="0" collapsed="false">
      <c r="B1766" s="14"/>
      <c r="C1766" s="11"/>
      <c r="D1766" s="11"/>
      <c r="E1766" s="11"/>
      <c r="F1766" s="33"/>
      <c r="G1766" s="13"/>
      <c r="H1766" s="13"/>
    </row>
    <row r="1767" customFormat="false" ht="15" hidden="false" customHeight="true" outlineLevel="0" collapsed="false">
      <c r="B1767" s="14"/>
      <c r="C1767" s="11"/>
      <c r="D1767" s="11"/>
      <c r="E1767" s="11"/>
      <c r="F1767" s="33"/>
      <c r="G1767" s="13"/>
      <c r="H1767" s="13"/>
    </row>
    <row r="1768" customFormat="false" ht="15" hidden="false" customHeight="true" outlineLevel="0" collapsed="false">
      <c r="B1768" s="14"/>
      <c r="C1768" s="11"/>
      <c r="D1768" s="11"/>
      <c r="E1768" s="11"/>
      <c r="F1768" s="33"/>
      <c r="G1768" s="13"/>
      <c r="H1768" s="13"/>
    </row>
    <row r="1769" customFormat="false" ht="15" hidden="false" customHeight="true" outlineLevel="0" collapsed="false">
      <c r="B1769" s="14"/>
      <c r="C1769" s="11"/>
      <c r="D1769" s="11"/>
      <c r="E1769" s="11"/>
      <c r="F1769" s="33"/>
      <c r="G1769" s="13"/>
      <c r="H1769" s="13"/>
    </row>
    <row r="1770" customFormat="false" ht="15" hidden="false" customHeight="true" outlineLevel="0" collapsed="false">
      <c r="B1770" s="14"/>
      <c r="C1770" s="11"/>
      <c r="D1770" s="11"/>
      <c r="E1770" s="11"/>
      <c r="F1770" s="33"/>
      <c r="G1770" s="13"/>
      <c r="H1770" s="13"/>
    </row>
    <row r="1771" customFormat="false" ht="15" hidden="false" customHeight="true" outlineLevel="0" collapsed="false">
      <c r="B1771" s="14"/>
      <c r="C1771" s="11"/>
      <c r="D1771" s="11"/>
      <c r="E1771" s="11"/>
      <c r="F1771" s="33"/>
      <c r="G1771" s="13"/>
      <c r="H1771" s="13"/>
    </row>
    <row r="1772" customFormat="false" ht="15" hidden="false" customHeight="true" outlineLevel="0" collapsed="false">
      <c r="B1772" s="14"/>
      <c r="C1772" s="11"/>
      <c r="D1772" s="11"/>
      <c r="E1772" s="11"/>
      <c r="F1772" s="33"/>
      <c r="G1772" s="13"/>
      <c r="H1772" s="13"/>
    </row>
    <row r="1773" customFormat="false" ht="15" hidden="false" customHeight="true" outlineLevel="0" collapsed="false">
      <c r="B1773" s="14"/>
      <c r="C1773" s="11"/>
      <c r="D1773" s="11"/>
      <c r="E1773" s="11"/>
      <c r="F1773" s="33"/>
      <c r="G1773" s="13"/>
      <c r="H1773" s="13"/>
    </row>
    <row r="1774" customFormat="false" ht="15" hidden="false" customHeight="true" outlineLevel="0" collapsed="false">
      <c r="B1774" s="14"/>
      <c r="C1774" s="11"/>
      <c r="D1774" s="11"/>
      <c r="E1774" s="11"/>
      <c r="F1774" s="33"/>
      <c r="G1774" s="13"/>
      <c r="H1774" s="13"/>
    </row>
    <row r="1775" customFormat="false" ht="15" hidden="false" customHeight="true" outlineLevel="0" collapsed="false">
      <c r="B1775" s="14"/>
      <c r="C1775" s="11"/>
      <c r="D1775" s="11"/>
      <c r="E1775" s="11"/>
      <c r="F1775" s="33"/>
      <c r="G1775" s="13"/>
      <c r="H1775" s="13"/>
    </row>
    <row r="1776" customFormat="false" ht="15" hidden="false" customHeight="true" outlineLevel="0" collapsed="false">
      <c r="B1776" s="14"/>
      <c r="C1776" s="11"/>
      <c r="D1776" s="11"/>
      <c r="E1776" s="11"/>
      <c r="F1776" s="33"/>
      <c r="G1776" s="13"/>
      <c r="H1776" s="13"/>
    </row>
    <row r="1777" customFormat="false" ht="15" hidden="false" customHeight="true" outlineLevel="0" collapsed="false">
      <c r="B1777" s="14"/>
      <c r="C1777" s="11"/>
      <c r="D1777" s="11"/>
      <c r="E1777" s="11"/>
      <c r="F1777" s="33"/>
      <c r="G1777" s="13"/>
      <c r="H1777" s="13"/>
    </row>
    <row r="1778" customFormat="false" ht="15" hidden="false" customHeight="true" outlineLevel="0" collapsed="false">
      <c r="B1778" s="14"/>
      <c r="C1778" s="11"/>
      <c r="D1778" s="11"/>
      <c r="E1778" s="11"/>
      <c r="F1778" s="33"/>
      <c r="G1778" s="13"/>
      <c r="H1778" s="13"/>
    </row>
    <row r="1779" customFormat="false" ht="15" hidden="false" customHeight="true" outlineLevel="0" collapsed="false">
      <c r="B1779" s="14"/>
      <c r="C1779" s="11"/>
      <c r="D1779" s="11"/>
      <c r="E1779" s="11"/>
      <c r="F1779" s="33"/>
      <c r="G1779" s="13"/>
      <c r="H1779" s="13"/>
    </row>
    <row r="1780" customFormat="false" ht="15" hidden="false" customHeight="true" outlineLevel="0" collapsed="false">
      <c r="B1780" s="14"/>
      <c r="C1780" s="11"/>
      <c r="D1780" s="11"/>
      <c r="E1780" s="11"/>
      <c r="F1780" s="33"/>
      <c r="G1780" s="13"/>
      <c r="H1780" s="13"/>
    </row>
    <row r="1781" customFormat="false" ht="15" hidden="false" customHeight="true" outlineLevel="0" collapsed="false">
      <c r="B1781" s="14"/>
      <c r="C1781" s="11"/>
      <c r="D1781" s="11"/>
      <c r="E1781" s="11"/>
      <c r="F1781" s="33"/>
      <c r="G1781" s="13"/>
      <c r="H1781" s="13"/>
    </row>
    <row r="1782" customFormat="false" ht="15" hidden="false" customHeight="true" outlineLevel="0" collapsed="false">
      <c r="B1782" s="14"/>
      <c r="C1782" s="11"/>
      <c r="D1782" s="11"/>
      <c r="E1782" s="11"/>
      <c r="F1782" s="33"/>
      <c r="G1782" s="13"/>
      <c r="H1782" s="13"/>
    </row>
    <row r="1783" customFormat="false" ht="15" hidden="false" customHeight="true" outlineLevel="0" collapsed="false">
      <c r="B1783" s="14"/>
      <c r="C1783" s="11"/>
      <c r="D1783" s="11"/>
      <c r="E1783" s="11"/>
      <c r="F1783" s="33"/>
      <c r="G1783" s="13"/>
      <c r="H1783" s="13"/>
    </row>
    <row r="1784" customFormat="false" ht="15" hidden="false" customHeight="true" outlineLevel="0" collapsed="false">
      <c r="B1784" s="14"/>
      <c r="C1784" s="11"/>
      <c r="D1784" s="11"/>
      <c r="E1784" s="11"/>
      <c r="F1784" s="33"/>
      <c r="G1784" s="13"/>
      <c r="H1784" s="13"/>
    </row>
    <row r="1785" customFormat="false" ht="15" hidden="false" customHeight="true" outlineLevel="0" collapsed="false">
      <c r="B1785" s="14"/>
      <c r="C1785" s="11"/>
      <c r="D1785" s="11"/>
      <c r="E1785" s="11"/>
      <c r="F1785" s="33"/>
      <c r="G1785" s="13"/>
      <c r="H1785" s="13"/>
    </row>
    <row r="1786" customFormat="false" ht="15" hidden="false" customHeight="true" outlineLevel="0" collapsed="false">
      <c r="B1786" s="14"/>
      <c r="C1786" s="11"/>
      <c r="D1786" s="11"/>
      <c r="E1786" s="11"/>
      <c r="F1786" s="33"/>
      <c r="G1786" s="13"/>
      <c r="H1786" s="13"/>
    </row>
    <row r="1787" customFormat="false" ht="15" hidden="false" customHeight="true" outlineLevel="0" collapsed="false">
      <c r="B1787" s="14"/>
      <c r="C1787" s="11"/>
      <c r="D1787" s="11"/>
      <c r="E1787" s="11"/>
      <c r="F1787" s="33"/>
      <c r="G1787" s="13"/>
      <c r="H1787" s="13"/>
    </row>
    <row r="1788" customFormat="false" ht="15" hidden="false" customHeight="true" outlineLevel="0" collapsed="false">
      <c r="B1788" s="14"/>
      <c r="C1788" s="11"/>
      <c r="D1788" s="11"/>
      <c r="E1788" s="11"/>
      <c r="F1788" s="33"/>
      <c r="G1788" s="13"/>
      <c r="H1788" s="13"/>
    </row>
    <row r="1789" customFormat="false" ht="15" hidden="false" customHeight="true" outlineLevel="0" collapsed="false">
      <c r="B1789" s="14"/>
      <c r="C1789" s="11"/>
      <c r="D1789" s="11"/>
      <c r="E1789" s="11"/>
      <c r="F1789" s="33"/>
      <c r="G1789" s="13"/>
      <c r="H1789" s="13"/>
    </row>
    <row r="1790" customFormat="false" ht="15" hidden="false" customHeight="true" outlineLevel="0" collapsed="false">
      <c r="B1790" s="14"/>
      <c r="C1790" s="11"/>
      <c r="D1790" s="11"/>
      <c r="E1790" s="11"/>
      <c r="F1790" s="33"/>
      <c r="G1790" s="13"/>
      <c r="H1790" s="13"/>
    </row>
    <row r="1791" customFormat="false" ht="15" hidden="false" customHeight="true" outlineLevel="0" collapsed="false">
      <c r="B1791" s="14"/>
      <c r="C1791" s="11"/>
      <c r="D1791" s="11"/>
      <c r="E1791" s="11"/>
      <c r="F1791" s="33"/>
      <c r="G1791" s="13"/>
      <c r="H1791" s="13"/>
    </row>
    <row r="1792" customFormat="false" ht="15" hidden="false" customHeight="true" outlineLevel="0" collapsed="false">
      <c r="B1792" s="14"/>
      <c r="C1792" s="11"/>
      <c r="D1792" s="11"/>
      <c r="E1792" s="11"/>
      <c r="F1792" s="33"/>
      <c r="G1792" s="13"/>
      <c r="H1792" s="13"/>
    </row>
    <row r="1793" customFormat="false" ht="15" hidden="false" customHeight="true" outlineLevel="0" collapsed="false">
      <c r="B1793" s="14"/>
      <c r="C1793" s="11"/>
      <c r="D1793" s="11"/>
      <c r="E1793" s="11"/>
      <c r="F1793" s="33"/>
      <c r="G1793" s="13"/>
      <c r="H1793" s="13"/>
    </row>
    <row r="1794" customFormat="false" ht="15" hidden="false" customHeight="true" outlineLevel="0" collapsed="false">
      <c r="B1794" s="14"/>
      <c r="C1794" s="11"/>
      <c r="D1794" s="11"/>
      <c r="E1794" s="11"/>
      <c r="F1794" s="33"/>
      <c r="G1794" s="13"/>
      <c r="H1794" s="13"/>
    </row>
    <row r="1795" customFormat="false" ht="15" hidden="false" customHeight="true" outlineLevel="0" collapsed="false">
      <c r="B1795" s="14"/>
      <c r="C1795" s="11"/>
      <c r="D1795" s="11"/>
      <c r="E1795" s="11"/>
      <c r="F1795" s="33"/>
      <c r="G1795" s="13"/>
      <c r="H1795" s="13"/>
    </row>
    <row r="1796" customFormat="false" ht="15" hidden="false" customHeight="true" outlineLevel="0" collapsed="false">
      <c r="B1796" s="14"/>
      <c r="C1796" s="11"/>
      <c r="D1796" s="11"/>
      <c r="E1796" s="11"/>
      <c r="F1796" s="33"/>
      <c r="G1796" s="13"/>
      <c r="H1796" s="13"/>
    </row>
    <row r="1797" customFormat="false" ht="15" hidden="false" customHeight="true" outlineLevel="0" collapsed="false">
      <c r="B1797" s="14"/>
      <c r="C1797" s="11"/>
      <c r="D1797" s="11"/>
      <c r="E1797" s="11"/>
      <c r="F1797" s="33"/>
      <c r="G1797" s="13"/>
      <c r="H1797" s="13"/>
    </row>
    <row r="1798" customFormat="false" ht="15" hidden="false" customHeight="true" outlineLevel="0" collapsed="false">
      <c r="B1798" s="14"/>
      <c r="C1798" s="11"/>
      <c r="D1798" s="11"/>
      <c r="E1798" s="11"/>
      <c r="F1798" s="33"/>
      <c r="G1798" s="13"/>
      <c r="H1798" s="13"/>
    </row>
    <row r="1799" customFormat="false" ht="15" hidden="false" customHeight="true" outlineLevel="0" collapsed="false">
      <c r="B1799" s="14"/>
      <c r="C1799" s="11"/>
      <c r="D1799" s="11"/>
      <c r="E1799" s="11"/>
      <c r="F1799" s="33"/>
      <c r="G1799" s="13"/>
      <c r="H1799" s="13"/>
    </row>
    <row r="1800" customFormat="false" ht="15" hidden="false" customHeight="true" outlineLevel="0" collapsed="false">
      <c r="B1800" s="14"/>
      <c r="C1800" s="11"/>
      <c r="D1800" s="11"/>
      <c r="E1800" s="11"/>
      <c r="F1800" s="33"/>
      <c r="G1800" s="13"/>
      <c r="H1800" s="13"/>
    </row>
    <row r="1801" customFormat="false" ht="15" hidden="false" customHeight="true" outlineLevel="0" collapsed="false">
      <c r="B1801" s="14"/>
      <c r="C1801" s="11"/>
      <c r="D1801" s="11"/>
      <c r="E1801" s="11"/>
      <c r="F1801" s="33"/>
      <c r="G1801" s="13"/>
      <c r="H1801" s="13"/>
    </row>
    <row r="1802" customFormat="false" ht="15" hidden="false" customHeight="true" outlineLevel="0" collapsed="false">
      <c r="B1802" s="14"/>
      <c r="C1802" s="11"/>
      <c r="D1802" s="11"/>
      <c r="E1802" s="11"/>
      <c r="F1802" s="33"/>
      <c r="G1802" s="13"/>
      <c r="H1802" s="13"/>
    </row>
    <row r="1803" customFormat="false" ht="15" hidden="false" customHeight="true" outlineLevel="0" collapsed="false">
      <c r="B1803" s="14"/>
      <c r="C1803" s="11"/>
      <c r="D1803" s="11"/>
      <c r="E1803" s="11"/>
      <c r="F1803" s="33"/>
      <c r="G1803" s="13"/>
      <c r="H1803" s="13"/>
    </row>
    <row r="1804" customFormat="false" ht="15" hidden="false" customHeight="true" outlineLevel="0" collapsed="false">
      <c r="B1804" s="14"/>
      <c r="C1804" s="11"/>
      <c r="D1804" s="11"/>
      <c r="E1804" s="11"/>
      <c r="F1804" s="33"/>
      <c r="G1804" s="13"/>
      <c r="H1804" s="13"/>
    </row>
    <row r="1805" customFormat="false" ht="15" hidden="false" customHeight="true" outlineLevel="0" collapsed="false">
      <c r="B1805" s="14"/>
      <c r="C1805" s="11"/>
      <c r="D1805" s="11"/>
      <c r="E1805" s="11"/>
      <c r="F1805" s="33"/>
      <c r="G1805" s="13"/>
      <c r="H1805" s="13"/>
    </row>
    <row r="1806" customFormat="false" ht="15" hidden="false" customHeight="true" outlineLevel="0" collapsed="false">
      <c r="B1806" s="14"/>
      <c r="C1806" s="11"/>
      <c r="D1806" s="11"/>
      <c r="E1806" s="11"/>
      <c r="F1806" s="33"/>
      <c r="G1806" s="13"/>
      <c r="H1806" s="13"/>
    </row>
    <row r="1807" customFormat="false" ht="15" hidden="false" customHeight="true" outlineLevel="0" collapsed="false">
      <c r="B1807" s="14"/>
      <c r="C1807" s="11"/>
      <c r="D1807" s="11"/>
      <c r="E1807" s="11"/>
      <c r="F1807" s="33"/>
      <c r="G1807" s="13"/>
      <c r="H1807" s="13"/>
    </row>
    <row r="1808" customFormat="false" ht="15" hidden="false" customHeight="true" outlineLevel="0" collapsed="false">
      <c r="B1808" s="14"/>
      <c r="C1808" s="11"/>
      <c r="D1808" s="11"/>
      <c r="E1808" s="11"/>
      <c r="F1808" s="33"/>
      <c r="G1808" s="13"/>
      <c r="H1808" s="13"/>
    </row>
    <row r="1809" customFormat="false" ht="15" hidden="false" customHeight="true" outlineLevel="0" collapsed="false">
      <c r="B1809" s="14"/>
      <c r="C1809" s="11"/>
      <c r="D1809" s="11"/>
      <c r="E1809" s="11"/>
      <c r="F1809" s="33"/>
      <c r="G1809" s="13"/>
      <c r="H1809" s="13"/>
    </row>
    <row r="1810" customFormat="false" ht="15" hidden="false" customHeight="true" outlineLevel="0" collapsed="false">
      <c r="B1810" s="14"/>
      <c r="C1810" s="11"/>
      <c r="D1810" s="11"/>
      <c r="E1810" s="11"/>
      <c r="F1810" s="33"/>
      <c r="G1810" s="13"/>
      <c r="H1810" s="13"/>
    </row>
    <row r="1811" customFormat="false" ht="15" hidden="false" customHeight="true" outlineLevel="0" collapsed="false">
      <c r="B1811" s="14"/>
      <c r="C1811" s="11"/>
      <c r="D1811" s="11"/>
      <c r="E1811" s="11"/>
      <c r="F1811" s="33"/>
      <c r="G1811" s="13"/>
      <c r="H1811" s="13"/>
    </row>
    <row r="1812" customFormat="false" ht="15" hidden="false" customHeight="true" outlineLevel="0" collapsed="false">
      <c r="B1812" s="14"/>
      <c r="C1812" s="11"/>
      <c r="D1812" s="11"/>
      <c r="E1812" s="11"/>
      <c r="F1812" s="33"/>
      <c r="G1812" s="13"/>
      <c r="H1812" s="13"/>
    </row>
    <row r="1813" customFormat="false" ht="15" hidden="false" customHeight="true" outlineLevel="0" collapsed="false">
      <c r="B1813" s="14"/>
      <c r="C1813" s="11"/>
      <c r="D1813" s="11"/>
      <c r="E1813" s="11"/>
      <c r="F1813" s="33"/>
      <c r="G1813" s="13"/>
      <c r="H1813" s="13"/>
    </row>
    <row r="1814" customFormat="false" ht="15" hidden="false" customHeight="true" outlineLevel="0" collapsed="false">
      <c r="B1814" s="14"/>
      <c r="C1814" s="11"/>
      <c r="D1814" s="11"/>
      <c r="E1814" s="11"/>
      <c r="F1814" s="33"/>
      <c r="G1814" s="13"/>
      <c r="H1814" s="13"/>
    </row>
    <row r="1815" customFormat="false" ht="15" hidden="false" customHeight="true" outlineLevel="0" collapsed="false">
      <c r="B1815" s="14"/>
      <c r="C1815" s="11"/>
      <c r="D1815" s="11"/>
      <c r="E1815" s="11"/>
      <c r="F1815" s="33"/>
      <c r="G1815" s="13"/>
      <c r="H1815" s="13"/>
    </row>
    <row r="1816" customFormat="false" ht="15" hidden="false" customHeight="true" outlineLevel="0" collapsed="false">
      <c r="B1816" s="14"/>
      <c r="C1816" s="11"/>
      <c r="D1816" s="11"/>
      <c r="E1816" s="11"/>
      <c r="F1816" s="33"/>
      <c r="G1816" s="13"/>
      <c r="H1816" s="13"/>
    </row>
    <row r="1817" customFormat="false" ht="15" hidden="false" customHeight="true" outlineLevel="0" collapsed="false">
      <c r="B1817" s="14"/>
      <c r="C1817" s="11"/>
      <c r="D1817" s="11"/>
      <c r="E1817" s="11"/>
      <c r="F1817" s="33"/>
      <c r="G1817" s="13"/>
      <c r="H1817" s="13"/>
    </row>
    <row r="1818" customFormat="false" ht="15" hidden="false" customHeight="true" outlineLevel="0" collapsed="false">
      <c r="B1818" s="14"/>
      <c r="C1818" s="11"/>
      <c r="D1818" s="11"/>
      <c r="E1818" s="11"/>
      <c r="F1818" s="33"/>
      <c r="G1818" s="13"/>
      <c r="H1818" s="13"/>
    </row>
    <row r="1819" customFormat="false" ht="15" hidden="false" customHeight="true" outlineLevel="0" collapsed="false">
      <c r="B1819" s="14"/>
      <c r="C1819" s="11"/>
      <c r="D1819" s="11"/>
      <c r="E1819" s="11"/>
      <c r="F1819" s="33"/>
      <c r="G1819" s="13"/>
      <c r="H1819" s="13"/>
    </row>
    <row r="1820" customFormat="false" ht="15" hidden="false" customHeight="true" outlineLevel="0" collapsed="false">
      <c r="B1820" s="14"/>
      <c r="C1820" s="11"/>
      <c r="D1820" s="11"/>
      <c r="E1820" s="11"/>
      <c r="F1820" s="33"/>
      <c r="G1820" s="13"/>
      <c r="H1820" s="13"/>
    </row>
    <row r="1821" customFormat="false" ht="15" hidden="false" customHeight="true" outlineLevel="0" collapsed="false">
      <c r="B1821" s="14"/>
      <c r="C1821" s="11"/>
      <c r="D1821" s="11"/>
      <c r="E1821" s="11"/>
      <c r="F1821" s="33"/>
      <c r="G1821" s="13"/>
      <c r="H1821" s="13"/>
    </row>
    <row r="1822" customFormat="false" ht="15" hidden="false" customHeight="true" outlineLevel="0" collapsed="false">
      <c r="B1822" s="14"/>
      <c r="C1822" s="11"/>
      <c r="D1822" s="11"/>
      <c r="E1822" s="11"/>
      <c r="F1822" s="33"/>
      <c r="G1822" s="13"/>
      <c r="H1822" s="13"/>
    </row>
    <row r="1823" customFormat="false" ht="15" hidden="false" customHeight="true" outlineLevel="0" collapsed="false">
      <c r="B1823" s="14"/>
      <c r="C1823" s="11"/>
      <c r="D1823" s="11"/>
      <c r="E1823" s="11"/>
      <c r="F1823" s="33"/>
      <c r="G1823" s="13"/>
      <c r="H1823" s="13"/>
    </row>
    <row r="1824" customFormat="false" ht="15" hidden="false" customHeight="true" outlineLevel="0" collapsed="false">
      <c r="B1824" s="14"/>
      <c r="C1824" s="11"/>
      <c r="D1824" s="11"/>
      <c r="E1824" s="11"/>
      <c r="F1824" s="33"/>
      <c r="G1824" s="13"/>
      <c r="H1824" s="13"/>
    </row>
    <row r="1825" customFormat="false" ht="15" hidden="false" customHeight="true" outlineLevel="0" collapsed="false">
      <c r="B1825" s="14"/>
      <c r="C1825" s="11"/>
      <c r="D1825" s="11"/>
      <c r="E1825" s="11"/>
      <c r="F1825" s="33"/>
      <c r="G1825" s="13"/>
      <c r="H1825" s="13"/>
    </row>
    <row r="1826" customFormat="false" ht="15" hidden="false" customHeight="true" outlineLevel="0" collapsed="false">
      <c r="B1826" s="14"/>
      <c r="C1826" s="11"/>
      <c r="D1826" s="11"/>
      <c r="E1826" s="11"/>
      <c r="F1826" s="33"/>
      <c r="G1826" s="13"/>
      <c r="H1826" s="13"/>
    </row>
    <row r="1827" customFormat="false" ht="15" hidden="false" customHeight="true" outlineLevel="0" collapsed="false">
      <c r="B1827" s="14"/>
      <c r="C1827" s="11"/>
      <c r="D1827" s="11"/>
      <c r="E1827" s="11"/>
      <c r="F1827" s="33"/>
      <c r="G1827" s="13"/>
      <c r="H1827" s="13"/>
    </row>
    <row r="1828" customFormat="false" ht="15" hidden="false" customHeight="true" outlineLevel="0" collapsed="false">
      <c r="B1828" s="14"/>
      <c r="C1828" s="11"/>
      <c r="D1828" s="11"/>
      <c r="E1828" s="11"/>
      <c r="F1828" s="33"/>
      <c r="G1828" s="13"/>
      <c r="H1828" s="13"/>
    </row>
    <row r="1829" customFormat="false" ht="15" hidden="false" customHeight="true" outlineLevel="0" collapsed="false">
      <c r="B1829" s="14"/>
      <c r="C1829" s="11"/>
      <c r="D1829" s="11"/>
      <c r="E1829" s="11"/>
      <c r="F1829" s="33"/>
      <c r="G1829" s="13"/>
      <c r="H1829" s="13"/>
    </row>
    <row r="1830" customFormat="false" ht="15" hidden="false" customHeight="true" outlineLevel="0" collapsed="false">
      <c r="B1830" s="14"/>
      <c r="C1830" s="11"/>
      <c r="D1830" s="11"/>
      <c r="E1830" s="11"/>
      <c r="F1830" s="33"/>
      <c r="G1830" s="13"/>
      <c r="H1830" s="13"/>
    </row>
    <row r="1831" customFormat="false" ht="15" hidden="false" customHeight="true" outlineLevel="0" collapsed="false">
      <c r="B1831" s="14"/>
      <c r="C1831" s="11"/>
      <c r="D1831" s="11"/>
      <c r="E1831" s="11"/>
      <c r="F1831" s="33"/>
      <c r="G1831" s="13"/>
      <c r="H1831" s="13"/>
    </row>
    <row r="1832" customFormat="false" ht="15" hidden="false" customHeight="true" outlineLevel="0" collapsed="false">
      <c r="B1832" s="14"/>
      <c r="C1832" s="11"/>
      <c r="D1832" s="11"/>
      <c r="E1832" s="11"/>
      <c r="F1832" s="33"/>
      <c r="G1832" s="13"/>
      <c r="H1832" s="13"/>
    </row>
    <row r="1833" customFormat="false" ht="15" hidden="false" customHeight="true" outlineLevel="0" collapsed="false">
      <c r="B1833" s="14"/>
      <c r="C1833" s="11"/>
      <c r="D1833" s="11"/>
      <c r="E1833" s="11"/>
      <c r="F1833" s="33"/>
      <c r="G1833" s="13"/>
      <c r="H1833" s="13"/>
    </row>
    <row r="1834" customFormat="false" ht="15" hidden="false" customHeight="true" outlineLevel="0" collapsed="false">
      <c r="B1834" s="14"/>
      <c r="C1834" s="11"/>
      <c r="D1834" s="11"/>
      <c r="E1834" s="11"/>
      <c r="F1834" s="33"/>
      <c r="G1834" s="13"/>
      <c r="H1834" s="13"/>
    </row>
    <row r="1835" customFormat="false" ht="15" hidden="false" customHeight="true" outlineLevel="0" collapsed="false">
      <c r="B1835" s="14"/>
      <c r="C1835" s="11"/>
      <c r="D1835" s="11"/>
      <c r="E1835" s="11"/>
      <c r="F1835" s="33"/>
      <c r="G1835" s="13"/>
      <c r="H1835" s="13"/>
    </row>
    <row r="1836" customFormat="false" ht="15" hidden="false" customHeight="true" outlineLevel="0" collapsed="false">
      <c r="B1836" s="14"/>
      <c r="C1836" s="11"/>
      <c r="D1836" s="11"/>
      <c r="E1836" s="11"/>
      <c r="F1836" s="33"/>
      <c r="G1836" s="13"/>
      <c r="H1836" s="13"/>
    </row>
    <row r="1837" customFormat="false" ht="15" hidden="false" customHeight="true" outlineLevel="0" collapsed="false">
      <c r="B1837" s="14"/>
      <c r="C1837" s="11"/>
      <c r="D1837" s="11"/>
      <c r="E1837" s="11"/>
      <c r="F1837" s="33"/>
      <c r="G1837" s="13"/>
      <c r="H1837" s="13"/>
    </row>
    <row r="1838" customFormat="false" ht="15" hidden="false" customHeight="true" outlineLevel="0" collapsed="false">
      <c r="B1838" s="14"/>
      <c r="C1838" s="11"/>
      <c r="D1838" s="11"/>
      <c r="E1838" s="11"/>
      <c r="F1838" s="33"/>
      <c r="G1838" s="13"/>
      <c r="H1838" s="13"/>
    </row>
    <row r="1839" customFormat="false" ht="15" hidden="false" customHeight="true" outlineLevel="0" collapsed="false">
      <c r="B1839" s="14"/>
      <c r="C1839" s="11"/>
      <c r="D1839" s="11"/>
      <c r="E1839" s="11"/>
      <c r="F1839" s="33"/>
      <c r="G1839" s="13"/>
      <c r="H1839" s="13"/>
    </row>
    <row r="1840" customFormat="false" ht="15" hidden="false" customHeight="true" outlineLevel="0" collapsed="false">
      <c r="B1840" s="14"/>
      <c r="C1840" s="11"/>
      <c r="D1840" s="11"/>
      <c r="E1840" s="11"/>
      <c r="F1840" s="33"/>
      <c r="G1840" s="13"/>
      <c r="H1840" s="13"/>
    </row>
    <row r="1841" customFormat="false" ht="15" hidden="false" customHeight="true" outlineLevel="0" collapsed="false">
      <c r="B1841" s="14"/>
      <c r="C1841" s="11"/>
      <c r="D1841" s="11"/>
      <c r="E1841" s="11"/>
      <c r="F1841" s="33"/>
      <c r="G1841" s="13"/>
      <c r="H1841" s="13"/>
    </row>
    <row r="1842" customFormat="false" ht="15" hidden="false" customHeight="true" outlineLevel="0" collapsed="false">
      <c r="B1842" s="14"/>
      <c r="C1842" s="11"/>
      <c r="D1842" s="11"/>
      <c r="E1842" s="11"/>
      <c r="F1842" s="33"/>
      <c r="G1842" s="13"/>
      <c r="H1842" s="13"/>
    </row>
    <row r="1843" customFormat="false" ht="15" hidden="false" customHeight="true" outlineLevel="0" collapsed="false">
      <c r="B1843" s="14"/>
      <c r="C1843" s="11"/>
      <c r="D1843" s="11"/>
      <c r="E1843" s="11"/>
      <c r="F1843" s="33"/>
      <c r="G1843" s="13"/>
      <c r="H1843" s="13"/>
    </row>
    <row r="1844" customFormat="false" ht="15" hidden="false" customHeight="true" outlineLevel="0" collapsed="false">
      <c r="B1844" s="14"/>
      <c r="C1844" s="11"/>
      <c r="D1844" s="11"/>
      <c r="E1844" s="11"/>
      <c r="F1844" s="33"/>
      <c r="G1844" s="13"/>
      <c r="H1844" s="13"/>
    </row>
    <row r="1845" customFormat="false" ht="15" hidden="false" customHeight="true" outlineLevel="0" collapsed="false">
      <c r="B1845" s="14"/>
      <c r="C1845" s="11"/>
      <c r="D1845" s="11"/>
      <c r="E1845" s="11"/>
      <c r="F1845" s="33"/>
      <c r="G1845" s="13"/>
      <c r="H1845" s="13"/>
    </row>
    <row r="1846" customFormat="false" ht="15" hidden="false" customHeight="true" outlineLevel="0" collapsed="false">
      <c r="B1846" s="14"/>
      <c r="C1846" s="11"/>
      <c r="D1846" s="11"/>
      <c r="E1846" s="11"/>
      <c r="F1846" s="33"/>
      <c r="G1846" s="13"/>
      <c r="H1846" s="13"/>
    </row>
    <row r="1847" customFormat="false" ht="15" hidden="false" customHeight="true" outlineLevel="0" collapsed="false">
      <c r="B1847" s="14"/>
      <c r="C1847" s="11"/>
      <c r="D1847" s="11"/>
      <c r="E1847" s="11"/>
      <c r="F1847" s="33"/>
      <c r="G1847" s="13"/>
      <c r="H1847" s="13"/>
    </row>
    <row r="1848" customFormat="false" ht="15" hidden="false" customHeight="true" outlineLevel="0" collapsed="false">
      <c r="B1848" s="14"/>
      <c r="C1848" s="11"/>
      <c r="D1848" s="11"/>
      <c r="E1848" s="11"/>
      <c r="F1848" s="33"/>
      <c r="G1848" s="13"/>
      <c r="H1848" s="13"/>
    </row>
    <row r="1849" customFormat="false" ht="15" hidden="false" customHeight="true" outlineLevel="0" collapsed="false">
      <c r="B1849" s="14"/>
      <c r="C1849" s="11"/>
      <c r="D1849" s="11"/>
      <c r="E1849" s="11"/>
      <c r="F1849" s="33"/>
      <c r="G1849" s="13"/>
      <c r="H1849" s="13"/>
    </row>
    <row r="1850" customFormat="false" ht="15" hidden="false" customHeight="true" outlineLevel="0" collapsed="false">
      <c r="B1850" s="14"/>
      <c r="C1850" s="11"/>
      <c r="D1850" s="11"/>
      <c r="E1850" s="11"/>
      <c r="F1850" s="33"/>
      <c r="G1850" s="13"/>
      <c r="H1850" s="13"/>
    </row>
    <row r="1851" customFormat="false" ht="15" hidden="false" customHeight="true" outlineLevel="0" collapsed="false">
      <c r="B1851" s="14"/>
      <c r="C1851" s="11"/>
      <c r="D1851" s="11"/>
      <c r="E1851" s="11"/>
      <c r="F1851" s="33"/>
      <c r="G1851" s="13"/>
      <c r="H1851" s="13"/>
    </row>
    <row r="1852" customFormat="false" ht="15" hidden="false" customHeight="true" outlineLevel="0" collapsed="false">
      <c r="B1852" s="14"/>
      <c r="C1852" s="11"/>
      <c r="D1852" s="11"/>
      <c r="E1852" s="11"/>
      <c r="F1852" s="33"/>
      <c r="G1852" s="13"/>
      <c r="H1852" s="13"/>
    </row>
    <row r="1853" customFormat="false" ht="15" hidden="false" customHeight="true" outlineLevel="0" collapsed="false">
      <c r="B1853" s="14"/>
      <c r="C1853" s="11"/>
      <c r="D1853" s="11"/>
      <c r="E1853" s="11"/>
      <c r="F1853" s="33"/>
      <c r="G1853" s="13"/>
      <c r="H1853" s="13"/>
    </row>
    <row r="1854" customFormat="false" ht="15" hidden="false" customHeight="true" outlineLevel="0" collapsed="false">
      <c r="B1854" s="14"/>
      <c r="C1854" s="11"/>
      <c r="D1854" s="11"/>
      <c r="E1854" s="11"/>
      <c r="F1854" s="33"/>
      <c r="G1854" s="13"/>
      <c r="H1854" s="13"/>
    </row>
    <row r="1855" customFormat="false" ht="15" hidden="false" customHeight="true" outlineLevel="0" collapsed="false">
      <c r="B1855" s="14"/>
      <c r="C1855" s="11"/>
      <c r="D1855" s="11"/>
      <c r="E1855" s="11"/>
      <c r="F1855" s="33"/>
      <c r="G1855" s="13"/>
      <c r="H1855" s="13"/>
    </row>
    <row r="1856" customFormat="false" ht="15" hidden="false" customHeight="true" outlineLevel="0" collapsed="false">
      <c r="B1856" s="14"/>
      <c r="C1856" s="11"/>
      <c r="D1856" s="11"/>
      <c r="E1856" s="11"/>
      <c r="F1856" s="33"/>
      <c r="G1856" s="13"/>
      <c r="H1856" s="13"/>
    </row>
    <row r="1857" customFormat="false" ht="15" hidden="false" customHeight="true" outlineLevel="0" collapsed="false">
      <c r="B1857" s="14"/>
      <c r="C1857" s="11"/>
      <c r="D1857" s="11"/>
      <c r="E1857" s="11"/>
      <c r="F1857" s="33"/>
      <c r="G1857" s="13"/>
      <c r="H1857" s="13"/>
    </row>
    <row r="1858" customFormat="false" ht="15" hidden="false" customHeight="true" outlineLevel="0" collapsed="false">
      <c r="B1858" s="14"/>
      <c r="C1858" s="11"/>
      <c r="D1858" s="11"/>
      <c r="E1858" s="11"/>
      <c r="F1858" s="33"/>
      <c r="G1858" s="13"/>
      <c r="H1858" s="13"/>
    </row>
    <row r="1859" customFormat="false" ht="15" hidden="false" customHeight="true" outlineLevel="0" collapsed="false">
      <c r="B1859" s="14"/>
      <c r="C1859" s="11"/>
      <c r="D1859" s="11"/>
      <c r="E1859" s="11"/>
      <c r="F1859" s="33"/>
      <c r="G1859" s="13"/>
      <c r="H1859" s="13"/>
    </row>
    <row r="1860" customFormat="false" ht="15" hidden="false" customHeight="true" outlineLevel="0" collapsed="false">
      <c r="B1860" s="14"/>
      <c r="C1860" s="11"/>
      <c r="D1860" s="11"/>
      <c r="E1860" s="11"/>
      <c r="F1860" s="33"/>
      <c r="G1860" s="13"/>
      <c r="H1860" s="13"/>
    </row>
    <row r="1861" customFormat="false" ht="15" hidden="false" customHeight="true" outlineLevel="0" collapsed="false">
      <c r="B1861" s="14"/>
      <c r="C1861" s="11"/>
      <c r="D1861" s="11"/>
      <c r="E1861" s="11"/>
      <c r="F1861" s="33"/>
      <c r="G1861" s="13"/>
      <c r="H1861" s="13"/>
    </row>
    <row r="1862" customFormat="false" ht="15" hidden="false" customHeight="true" outlineLevel="0" collapsed="false">
      <c r="B1862" s="14"/>
      <c r="C1862" s="11"/>
      <c r="D1862" s="11"/>
      <c r="E1862" s="11"/>
      <c r="F1862" s="33"/>
      <c r="G1862" s="13"/>
      <c r="H1862" s="13"/>
    </row>
    <row r="1863" customFormat="false" ht="15" hidden="false" customHeight="true" outlineLevel="0" collapsed="false">
      <c r="B1863" s="14"/>
      <c r="C1863" s="11"/>
      <c r="D1863" s="11"/>
      <c r="E1863" s="11"/>
      <c r="F1863" s="33"/>
      <c r="G1863" s="13"/>
      <c r="H1863" s="13"/>
    </row>
    <row r="1864" customFormat="false" ht="15" hidden="false" customHeight="true" outlineLevel="0" collapsed="false">
      <c r="B1864" s="14"/>
      <c r="C1864" s="11"/>
      <c r="D1864" s="11"/>
      <c r="E1864" s="11"/>
      <c r="F1864" s="33"/>
      <c r="G1864" s="13"/>
      <c r="H1864" s="13"/>
    </row>
    <row r="1865" customFormat="false" ht="15" hidden="false" customHeight="true" outlineLevel="0" collapsed="false">
      <c r="B1865" s="14"/>
      <c r="C1865" s="11"/>
      <c r="D1865" s="11"/>
      <c r="E1865" s="11"/>
      <c r="F1865" s="33"/>
      <c r="G1865" s="13"/>
      <c r="H1865" s="13"/>
    </row>
    <row r="1866" customFormat="false" ht="15" hidden="false" customHeight="true" outlineLevel="0" collapsed="false">
      <c r="B1866" s="14"/>
      <c r="C1866" s="11"/>
      <c r="D1866" s="11"/>
      <c r="E1866" s="11"/>
      <c r="F1866" s="33"/>
      <c r="G1866" s="13"/>
      <c r="H1866" s="13"/>
    </row>
    <row r="1867" customFormat="false" ht="15" hidden="false" customHeight="true" outlineLevel="0" collapsed="false">
      <c r="B1867" s="14"/>
      <c r="C1867" s="11"/>
      <c r="D1867" s="11"/>
      <c r="E1867" s="11"/>
      <c r="F1867" s="33"/>
      <c r="G1867" s="13"/>
      <c r="H1867" s="13"/>
    </row>
    <row r="1868" customFormat="false" ht="15" hidden="false" customHeight="true" outlineLevel="0" collapsed="false">
      <c r="B1868" s="14"/>
      <c r="C1868" s="11"/>
      <c r="D1868" s="11"/>
      <c r="E1868" s="11"/>
      <c r="F1868" s="33"/>
      <c r="G1868" s="13"/>
      <c r="H1868" s="13"/>
    </row>
    <row r="1869" customFormat="false" ht="15" hidden="false" customHeight="true" outlineLevel="0" collapsed="false">
      <c r="B1869" s="14"/>
      <c r="C1869" s="11"/>
      <c r="D1869" s="11"/>
      <c r="E1869" s="11"/>
      <c r="F1869" s="33"/>
      <c r="G1869" s="13"/>
      <c r="H1869" s="13"/>
    </row>
    <row r="1870" customFormat="false" ht="15" hidden="false" customHeight="true" outlineLevel="0" collapsed="false">
      <c r="B1870" s="14"/>
      <c r="C1870" s="11"/>
      <c r="D1870" s="11"/>
      <c r="E1870" s="11"/>
      <c r="F1870" s="33"/>
      <c r="G1870" s="13"/>
      <c r="H1870" s="13"/>
    </row>
    <row r="1871" customFormat="false" ht="15" hidden="false" customHeight="true" outlineLevel="0" collapsed="false">
      <c r="B1871" s="14"/>
      <c r="C1871" s="11"/>
      <c r="D1871" s="11"/>
      <c r="E1871" s="11"/>
      <c r="F1871" s="33"/>
      <c r="G1871" s="13"/>
      <c r="H1871" s="13"/>
    </row>
    <row r="1872" customFormat="false" ht="15" hidden="false" customHeight="true" outlineLevel="0" collapsed="false">
      <c r="B1872" s="14"/>
      <c r="C1872" s="11"/>
      <c r="D1872" s="11"/>
      <c r="E1872" s="11"/>
      <c r="F1872" s="33"/>
      <c r="G1872" s="13"/>
      <c r="H1872" s="13"/>
    </row>
    <row r="1873" customFormat="false" ht="15" hidden="false" customHeight="true" outlineLevel="0" collapsed="false">
      <c r="B1873" s="14"/>
      <c r="C1873" s="11"/>
      <c r="D1873" s="11"/>
      <c r="E1873" s="11"/>
      <c r="F1873" s="33"/>
      <c r="G1873" s="13"/>
      <c r="H1873" s="13"/>
    </row>
    <row r="1874" customFormat="false" ht="15" hidden="false" customHeight="true" outlineLevel="0" collapsed="false">
      <c r="B1874" s="14"/>
      <c r="C1874" s="11"/>
      <c r="D1874" s="11"/>
      <c r="E1874" s="11"/>
      <c r="F1874" s="33"/>
      <c r="G1874" s="13"/>
      <c r="H1874" s="13"/>
    </row>
    <row r="1875" customFormat="false" ht="15" hidden="false" customHeight="true" outlineLevel="0" collapsed="false">
      <c r="B1875" s="14"/>
      <c r="C1875" s="11"/>
      <c r="D1875" s="11"/>
      <c r="E1875" s="11"/>
      <c r="F1875" s="33"/>
      <c r="G1875" s="13"/>
      <c r="H1875" s="13"/>
    </row>
    <row r="1876" customFormat="false" ht="15" hidden="false" customHeight="true" outlineLevel="0" collapsed="false">
      <c r="B1876" s="14"/>
      <c r="C1876" s="11"/>
      <c r="D1876" s="11"/>
      <c r="E1876" s="11"/>
      <c r="F1876" s="33"/>
      <c r="G1876" s="13"/>
      <c r="H1876" s="13"/>
    </row>
    <row r="1877" customFormat="false" ht="15" hidden="false" customHeight="true" outlineLevel="0" collapsed="false">
      <c r="B1877" s="14"/>
      <c r="C1877" s="11"/>
      <c r="D1877" s="11"/>
      <c r="E1877" s="11"/>
      <c r="F1877" s="33"/>
      <c r="G1877" s="13"/>
      <c r="H1877" s="13"/>
    </row>
    <row r="1878" customFormat="false" ht="15" hidden="false" customHeight="true" outlineLevel="0" collapsed="false">
      <c r="B1878" s="14"/>
      <c r="C1878" s="11"/>
      <c r="D1878" s="11"/>
      <c r="E1878" s="11"/>
      <c r="F1878" s="33"/>
      <c r="G1878" s="13"/>
      <c r="H1878" s="13"/>
    </row>
    <row r="1879" customFormat="false" ht="15" hidden="false" customHeight="true" outlineLevel="0" collapsed="false">
      <c r="B1879" s="14"/>
      <c r="C1879" s="11"/>
      <c r="D1879" s="11"/>
      <c r="E1879" s="11"/>
      <c r="F1879" s="33"/>
      <c r="G1879" s="13"/>
      <c r="H1879" s="13"/>
    </row>
    <row r="1880" customFormat="false" ht="15" hidden="false" customHeight="true" outlineLevel="0" collapsed="false">
      <c r="B1880" s="14"/>
      <c r="C1880" s="11"/>
      <c r="D1880" s="11"/>
      <c r="E1880" s="11"/>
      <c r="F1880" s="33"/>
      <c r="G1880" s="13"/>
      <c r="H1880" s="13"/>
    </row>
    <row r="1881" customFormat="false" ht="15" hidden="false" customHeight="true" outlineLevel="0" collapsed="false">
      <c r="B1881" s="14"/>
      <c r="C1881" s="11"/>
      <c r="D1881" s="11"/>
      <c r="E1881" s="11"/>
      <c r="F1881" s="33"/>
      <c r="G1881" s="13"/>
      <c r="H1881" s="13"/>
    </row>
    <row r="1882" customFormat="false" ht="15" hidden="false" customHeight="true" outlineLevel="0" collapsed="false">
      <c r="B1882" s="14"/>
      <c r="C1882" s="11"/>
      <c r="D1882" s="11"/>
      <c r="E1882" s="11"/>
      <c r="F1882" s="33"/>
      <c r="G1882" s="13"/>
      <c r="H1882" s="13"/>
    </row>
    <row r="1883" customFormat="false" ht="15" hidden="false" customHeight="true" outlineLevel="0" collapsed="false">
      <c r="B1883" s="14"/>
      <c r="C1883" s="11"/>
      <c r="D1883" s="11"/>
      <c r="E1883" s="11"/>
      <c r="F1883" s="33"/>
      <c r="G1883" s="13"/>
      <c r="H1883" s="13"/>
    </row>
    <row r="1884" customFormat="false" ht="15" hidden="false" customHeight="true" outlineLevel="0" collapsed="false">
      <c r="B1884" s="14"/>
      <c r="C1884" s="11"/>
      <c r="D1884" s="11"/>
      <c r="E1884" s="11"/>
      <c r="F1884" s="33"/>
      <c r="G1884" s="13"/>
      <c r="H1884" s="13"/>
    </row>
    <row r="1885" customFormat="false" ht="15" hidden="false" customHeight="true" outlineLevel="0" collapsed="false">
      <c r="B1885" s="14"/>
      <c r="C1885" s="11"/>
      <c r="D1885" s="11"/>
      <c r="E1885" s="11"/>
      <c r="F1885" s="33"/>
      <c r="G1885" s="13"/>
      <c r="H1885" s="13"/>
    </row>
    <row r="1886" customFormat="false" ht="15" hidden="false" customHeight="true" outlineLevel="0" collapsed="false">
      <c r="B1886" s="14"/>
      <c r="C1886" s="11"/>
      <c r="D1886" s="11"/>
      <c r="E1886" s="11"/>
      <c r="F1886" s="33"/>
      <c r="G1886" s="13"/>
      <c r="H1886" s="13"/>
    </row>
    <row r="1887" customFormat="false" ht="15" hidden="false" customHeight="true" outlineLevel="0" collapsed="false">
      <c r="B1887" s="14"/>
      <c r="C1887" s="11"/>
      <c r="D1887" s="11"/>
      <c r="E1887" s="11"/>
      <c r="F1887" s="33"/>
      <c r="G1887" s="13"/>
      <c r="H1887" s="13"/>
    </row>
    <row r="1888" customFormat="false" ht="15" hidden="false" customHeight="true" outlineLevel="0" collapsed="false">
      <c r="B1888" s="14"/>
      <c r="C1888" s="11"/>
      <c r="D1888" s="11"/>
      <c r="E1888" s="11"/>
      <c r="F1888" s="33"/>
      <c r="G1888" s="13"/>
      <c r="H1888" s="13"/>
    </row>
    <row r="1889" customFormat="false" ht="15" hidden="false" customHeight="true" outlineLevel="0" collapsed="false">
      <c r="B1889" s="14"/>
      <c r="C1889" s="11"/>
      <c r="D1889" s="11"/>
      <c r="E1889" s="11"/>
      <c r="F1889" s="33"/>
      <c r="G1889" s="13"/>
      <c r="H1889" s="13"/>
    </row>
    <row r="1890" customFormat="false" ht="15" hidden="false" customHeight="true" outlineLevel="0" collapsed="false">
      <c r="B1890" s="14"/>
      <c r="C1890" s="11"/>
      <c r="D1890" s="11"/>
      <c r="E1890" s="11"/>
      <c r="F1890" s="33"/>
      <c r="G1890" s="13"/>
      <c r="H1890" s="13"/>
    </row>
    <row r="1891" customFormat="false" ht="15" hidden="false" customHeight="true" outlineLevel="0" collapsed="false">
      <c r="B1891" s="14"/>
      <c r="C1891" s="11"/>
      <c r="D1891" s="11"/>
      <c r="E1891" s="11"/>
      <c r="F1891" s="33"/>
      <c r="G1891" s="13"/>
      <c r="H1891" s="13"/>
    </row>
    <row r="1892" customFormat="false" ht="15" hidden="false" customHeight="true" outlineLevel="0" collapsed="false">
      <c r="B1892" s="14"/>
      <c r="C1892" s="11"/>
      <c r="D1892" s="11"/>
      <c r="E1892" s="11"/>
      <c r="F1892" s="33"/>
      <c r="G1892" s="13"/>
      <c r="H1892" s="13"/>
    </row>
    <row r="1893" customFormat="false" ht="15" hidden="false" customHeight="true" outlineLevel="0" collapsed="false">
      <c r="B1893" s="14"/>
      <c r="C1893" s="11"/>
      <c r="D1893" s="11"/>
      <c r="E1893" s="11"/>
      <c r="F1893" s="33"/>
      <c r="G1893" s="13"/>
      <c r="H1893" s="13"/>
    </row>
    <row r="1894" customFormat="false" ht="15" hidden="false" customHeight="true" outlineLevel="0" collapsed="false">
      <c r="B1894" s="14"/>
      <c r="C1894" s="11"/>
      <c r="D1894" s="11"/>
      <c r="E1894" s="11"/>
      <c r="F1894" s="33"/>
      <c r="G1894" s="13"/>
      <c r="H1894" s="13"/>
    </row>
    <row r="1895" customFormat="false" ht="15" hidden="false" customHeight="true" outlineLevel="0" collapsed="false">
      <c r="B1895" s="14"/>
      <c r="C1895" s="11"/>
      <c r="D1895" s="11"/>
      <c r="E1895" s="11"/>
      <c r="F1895" s="33"/>
      <c r="G1895" s="13"/>
      <c r="H1895" s="13"/>
    </row>
    <row r="1896" customFormat="false" ht="15" hidden="false" customHeight="true" outlineLevel="0" collapsed="false">
      <c r="B1896" s="14"/>
      <c r="C1896" s="11"/>
      <c r="D1896" s="11"/>
      <c r="E1896" s="11"/>
      <c r="F1896" s="33"/>
      <c r="G1896" s="13"/>
      <c r="H1896" s="13"/>
    </row>
    <row r="1897" customFormat="false" ht="15" hidden="false" customHeight="true" outlineLevel="0" collapsed="false">
      <c r="B1897" s="14"/>
      <c r="C1897" s="11"/>
      <c r="D1897" s="11"/>
      <c r="E1897" s="11"/>
      <c r="F1897" s="33"/>
      <c r="G1897" s="13"/>
      <c r="H1897" s="13"/>
    </row>
    <row r="1898" customFormat="false" ht="15" hidden="false" customHeight="true" outlineLevel="0" collapsed="false">
      <c r="B1898" s="14"/>
      <c r="C1898" s="11"/>
      <c r="D1898" s="11"/>
      <c r="E1898" s="11"/>
      <c r="F1898" s="33"/>
      <c r="G1898" s="13"/>
      <c r="H1898" s="13"/>
    </row>
    <row r="1899" customFormat="false" ht="15" hidden="false" customHeight="true" outlineLevel="0" collapsed="false">
      <c r="B1899" s="14"/>
      <c r="C1899" s="11"/>
      <c r="D1899" s="11"/>
      <c r="E1899" s="11"/>
      <c r="F1899" s="33"/>
      <c r="G1899" s="13"/>
      <c r="H1899" s="13"/>
    </row>
    <row r="1900" customFormat="false" ht="15" hidden="false" customHeight="true" outlineLevel="0" collapsed="false">
      <c r="B1900" s="14"/>
      <c r="C1900" s="11"/>
      <c r="D1900" s="11"/>
      <c r="E1900" s="11"/>
      <c r="F1900" s="33"/>
      <c r="G1900" s="13"/>
      <c r="H1900" s="13"/>
    </row>
    <row r="1901" customFormat="false" ht="15" hidden="false" customHeight="true" outlineLevel="0" collapsed="false">
      <c r="B1901" s="14"/>
      <c r="C1901" s="11"/>
      <c r="D1901" s="11"/>
      <c r="E1901" s="11"/>
      <c r="F1901" s="33"/>
      <c r="G1901" s="13"/>
      <c r="H1901" s="13"/>
    </row>
    <row r="1902" customFormat="false" ht="15" hidden="false" customHeight="true" outlineLevel="0" collapsed="false">
      <c r="B1902" s="14"/>
      <c r="C1902" s="11"/>
      <c r="D1902" s="11"/>
      <c r="E1902" s="11"/>
      <c r="F1902" s="33"/>
      <c r="G1902" s="13"/>
      <c r="H1902" s="13"/>
    </row>
    <row r="1903" customFormat="false" ht="15" hidden="false" customHeight="true" outlineLevel="0" collapsed="false">
      <c r="B1903" s="14"/>
      <c r="C1903" s="11"/>
      <c r="D1903" s="11"/>
      <c r="E1903" s="11"/>
      <c r="F1903" s="33"/>
      <c r="G1903" s="13"/>
      <c r="H1903" s="13"/>
    </row>
    <row r="1904" customFormat="false" ht="15" hidden="false" customHeight="true" outlineLevel="0" collapsed="false">
      <c r="B1904" s="14"/>
      <c r="C1904" s="11"/>
      <c r="D1904" s="11"/>
      <c r="E1904" s="11"/>
      <c r="F1904" s="33"/>
      <c r="G1904" s="13"/>
      <c r="H1904" s="13"/>
    </row>
    <row r="1905" customFormat="false" ht="15" hidden="false" customHeight="true" outlineLevel="0" collapsed="false">
      <c r="B1905" s="14"/>
      <c r="C1905" s="11"/>
      <c r="D1905" s="11"/>
      <c r="E1905" s="11"/>
      <c r="F1905" s="33"/>
      <c r="G1905" s="13"/>
      <c r="H1905" s="13"/>
    </row>
    <row r="1906" customFormat="false" ht="15" hidden="false" customHeight="true" outlineLevel="0" collapsed="false">
      <c r="B1906" s="14"/>
      <c r="C1906" s="11"/>
      <c r="D1906" s="11"/>
      <c r="E1906" s="11"/>
      <c r="F1906" s="33"/>
      <c r="G1906" s="13"/>
      <c r="H1906" s="13"/>
    </row>
    <row r="1907" customFormat="false" ht="15" hidden="false" customHeight="true" outlineLevel="0" collapsed="false">
      <c r="B1907" s="14"/>
      <c r="C1907" s="11"/>
      <c r="D1907" s="11"/>
      <c r="E1907" s="11"/>
      <c r="F1907" s="33"/>
      <c r="G1907" s="13"/>
      <c r="H1907" s="13"/>
    </row>
    <row r="1908" customFormat="false" ht="15" hidden="false" customHeight="true" outlineLevel="0" collapsed="false">
      <c r="B1908" s="14"/>
      <c r="C1908" s="11"/>
      <c r="D1908" s="11"/>
      <c r="E1908" s="11"/>
      <c r="F1908" s="33"/>
      <c r="G1908" s="13"/>
      <c r="H1908" s="13"/>
    </row>
    <row r="1909" customFormat="false" ht="15" hidden="false" customHeight="true" outlineLevel="0" collapsed="false">
      <c r="B1909" s="14"/>
      <c r="C1909" s="11"/>
      <c r="D1909" s="11"/>
      <c r="E1909" s="11"/>
      <c r="F1909" s="33"/>
      <c r="G1909" s="13"/>
      <c r="H1909" s="13"/>
    </row>
    <row r="1910" customFormat="false" ht="15" hidden="false" customHeight="true" outlineLevel="0" collapsed="false">
      <c r="B1910" s="14"/>
      <c r="C1910" s="11"/>
      <c r="D1910" s="11"/>
      <c r="E1910" s="11"/>
      <c r="F1910" s="33"/>
      <c r="G1910" s="13"/>
      <c r="H1910" s="13"/>
    </row>
    <row r="1911" customFormat="false" ht="15" hidden="false" customHeight="true" outlineLevel="0" collapsed="false">
      <c r="B1911" s="14"/>
      <c r="C1911" s="11"/>
      <c r="D1911" s="11"/>
      <c r="E1911" s="11"/>
      <c r="F1911" s="33"/>
      <c r="G1911" s="13"/>
      <c r="H1911" s="13"/>
    </row>
    <row r="1912" customFormat="false" ht="15" hidden="false" customHeight="true" outlineLevel="0" collapsed="false">
      <c r="B1912" s="14"/>
      <c r="C1912" s="11"/>
      <c r="D1912" s="11"/>
      <c r="E1912" s="11"/>
      <c r="F1912" s="33"/>
      <c r="G1912" s="13"/>
      <c r="H1912" s="13"/>
    </row>
    <row r="1913" customFormat="false" ht="15" hidden="false" customHeight="true" outlineLevel="0" collapsed="false">
      <c r="B1913" s="14"/>
      <c r="C1913" s="11"/>
      <c r="D1913" s="11"/>
      <c r="E1913" s="11"/>
      <c r="F1913" s="33"/>
      <c r="G1913" s="13"/>
      <c r="H1913" s="13"/>
    </row>
    <row r="1914" customFormat="false" ht="15" hidden="false" customHeight="true" outlineLevel="0" collapsed="false">
      <c r="B1914" s="14"/>
      <c r="C1914" s="11"/>
      <c r="D1914" s="11"/>
      <c r="E1914" s="11"/>
      <c r="F1914" s="33"/>
      <c r="G1914" s="13"/>
      <c r="H1914" s="13"/>
    </row>
    <row r="1915" customFormat="false" ht="15" hidden="false" customHeight="true" outlineLevel="0" collapsed="false">
      <c r="B1915" s="14"/>
      <c r="C1915" s="11"/>
      <c r="D1915" s="11"/>
      <c r="E1915" s="11"/>
      <c r="F1915" s="33"/>
      <c r="G1915" s="13"/>
      <c r="H1915" s="13"/>
    </row>
    <row r="1916" customFormat="false" ht="15" hidden="false" customHeight="true" outlineLevel="0" collapsed="false">
      <c r="B1916" s="14"/>
      <c r="C1916" s="11"/>
      <c r="D1916" s="11"/>
      <c r="E1916" s="11"/>
      <c r="F1916" s="33"/>
      <c r="G1916" s="13"/>
      <c r="H1916" s="13"/>
    </row>
    <row r="1917" customFormat="false" ht="15" hidden="false" customHeight="true" outlineLevel="0" collapsed="false">
      <c r="B1917" s="14"/>
      <c r="C1917" s="11"/>
      <c r="D1917" s="11"/>
      <c r="E1917" s="11"/>
      <c r="F1917" s="33"/>
      <c r="G1917" s="13"/>
      <c r="H1917" s="13"/>
    </row>
    <row r="1918" customFormat="false" ht="15" hidden="false" customHeight="true" outlineLevel="0" collapsed="false">
      <c r="B1918" s="14"/>
      <c r="C1918" s="11"/>
      <c r="D1918" s="11"/>
      <c r="E1918" s="11"/>
      <c r="F1918" s="33"/>
      <c r="G1918" s="13"/>
      <c r="H1918" s="13"/>
    </row>
    <row r="1919" customFormat="false" ht="15" hidden="false" customHeight="true" outlineLevel="0" collapsed="false">
      <c r="B1919" s="14"/>
      <c r="C1919" s="11"/>
      <c r="D1919" s="11"/>
      <c r="E1919" s="11"/>
      <c r="F1919" s="33"/>
      <c r="G1919" s="13"/>
      <c r="H1919" s="13"/>
    </row>
    <row r="1920" customFormat="false" ht="15" hidden="false" customHeight="true" outlineLevel="0" collapsed="false">
      <c r="B1920" s="14"/>
      <c r="C1920" s="11"/>
      <c r="D1920" s="11"/>
      <c r="E1920" s="11"/>
      <c r="F1920" s="33"/>
      <c r="G1920" s="13"/>
      <c r="H1920" s="13"/>
    </row>
    <row r="1921" customFormat="false" ht="15" hidden="false" customHeight="true" outlineLevel="0" collapsed="false">
      <c r="B1921" s="14"/>
      <c r="C1921" s="11"/>
      <c r="D1921" s="11"/>
      <c r="E1921" s="11"/>
      <c r="F1921" s="33"/>
      <c r="G1921" s="13"/>
      <c r="H1921" s="13"/>
    </row>
    <row r="1922" customFormat="false" ht="15" hidden="false" customHeight="true" outlineLevel="0" collapsed="false">
      <c r="B1922" s="14"/>
      <c r="C1922" s="11"/>
      <c r="D1922" s="11"/>
      <c r="E1922" s="11"/>
      <c r="F1922" s="33"/>
      <c r="G1922" s="13"/>
      <c r="H1922" s="13"/>
    </row>
    <row r="1923" customFormat="false" ht="15" hidden="false" customHeight="true" outlineLevel="0" collapsed="false">
      <c r="B1923" s="19"/>
      <c r="C1923" s="19"/>
      <c r="D1923" s="19"/>
      <c r="E1923" s="19"/>
      <c r="F1923" s="33"/>
      <c r="G1923" s="13"/>
      <c r="H1923" s="13"/>
    </row>
    <row r="1924" customFormat="false" ht="15" hidden="false" customHeight="true" outlineLevel="0" collapsed="false">
      <c r="B1924" s="19"/>
      <c r="C1924" s="19"/>
      <c r="D1924" s="19"/>
      <c r="E1924" s="19"/>
      <c r="F1924" s="33"/>
      <c r="G1924" s="13"/>
      <c r="H1924" s="13"/>
    </row>
    <row r="1925" customFormat="false" ht="15" hidden="false" customHeight="true" outlineLevel="0" collapsed="false">
      <c r="B1925" s="19"/>
      <c r="C1925" s="19"/>
      <c r="D1925" s="19"/>
      <c r="E1925" s="19"/>
      <c r="F1925" s="33"/>
      <c r="G1925" s="13"/>
      <c r="H1925" s="13"/>
    </row>
    <row r="1926" customFormat="false" ht="15" hidden="false" customHeight="true" outlineLevel="0" collapsed="false">
      <c r="B1926" s="19"/>
      <c r="C1926" s="19"/>
      <c r="D1926" s="19"/>
      <c r="E1926" s="19"/>
      <c r="F1926" s="33"/>
      <c r="G1926" s="13"/>
      <c r="H1926" s="13"/>
    </row>
    <row r="1927" customFormat="false" ht="15" hidden="false" customHeight="true" outlineLevel="0" collapsed="false">
      <c r="B1927" s="19"/>
      <c r="C1927" s="19"/>
      <c r="D1927" s="19"/>
      <c r="E1927" s="19"/>
      <c r="F1927" s="33"/>
      <c r="G1927" s="13"/>
      <c r="H1927" s="13"/>
    </row>
    <row r="1928" customFormat="false" ht="15" hidden="false" customHeight="true" outlineLevel="0" collapsed="false">
      <c r="B1928" s="19"/>
      <c r="C1928" s="19"/>
      <c r="D1928" s="19"/>
      <c r="E1928" s="19"/>
      <c r="F1928" s="33"/>
      <c r="G1928" s="13"/>
      <c r="H1928" s="13"/>
    </row>
    <row r="1929" customFormat="false" ht="15" hidden="false" customHeight="true" outlineLevel="0" collapsed="false">
      <c r="B1929" s="19"/>
      <c r="C1929" s="19"/>
      <c r="D1929" s="19"/>
      <c r="E1929" s="19"/>
      <c r="F1929" s="33"/>
      <c r="G1929" s="13"/>
      <c r="H1929" s="13"/>
    </row>
    <row r="1930" customFormat="false" ht="15" hidden="false" customHeight="true" outlineLevel="0" collapsed="false">
      <c r="B1930" s="19"/>
      <c r="C1930" s="19"/>
      <c r="D1930" s="19"/>
      <c r="E1930" s="19"/>
      <c r="F1930" s="33"/>
      <c r="G1930" s="13"/>
      <c r="H1930" s="13"/>
    </row>
    <row r="1931" customFormat="false" ht="15" hidden="false" customHeight="true" outlineLevel="0" collapsed="false">
      <c r="B1931" s="19"/>
      <c r="C1931" s="19"/>
      <c r="D1931" s="19"/>
      <c r="E1931" s="19"/>
      <c r="F1931" s="33"/>
      <c r="G1931" s="13"/>
      <c r="H1931" s="13"/>
    </row>
    <row r="1932" customFormat="false" ht="15" hidden="false" customHeight="true" outlineLevel="0" collapsed="false">
      <c r="B1932" s="19"/>
      <c r="C1932" s="19"/>
      <c r="D1932" s="19"/>
      <c r="E1932" s="19"/>
      <c r="F1932" s="33"/>
      <c r="G1932" s="13"/>
      <c r="H1932" s="13"/>
    </row>
    <row r="1933" customFormat="false" ht="15" hidden="false" customHeight="true" outlineLevel="0" collapsed="false">
      <c r="B1933" s="19"/>
      <c r="C1933" s="19"/>
      <c r="D1933" s="19"/>
      <c r="E1933" s="19"/>
      <c r="F1933" s="33"/>
      <c r="G1933" s="13"/>
      <c r="H1933" s="13"/>
    </row>
    <row r="1934" customFormat="false" ht="15" hidden="false" customHeight="true" outlineLevel="0" collapsed="false">
      <c r="B1934" s="19"/>
      <c r="C1934" s="19"/>
      <c r="D1934" s="19"/>
      <c r="E1934" s="19"/>
      <c r="F1934" s="33"/>
      <c r="G1934" s="13"/>
      <c r="H1934" s="13"/>
    </row>
    <row r="1935" customFormat="false" ht="15" hidden="false" customHeight="true" outlineLevel="0" collapsed="false">
      <c r="B1935" s="19"/>
      <c r="C1935" s="19"/>
      <c r="D1935" s="19"/>
      <c r="E1935" s="19"/>
      <c r="F1935" s="33"/>
      <c r="G1935" s="13"/>
      <c r="H1935" s="13"/>
    </row>
    <row r="1936" customFormat="false" ht="15" hidden="false" customHeight="true" outlineLevel="0" collapsed="false">
      <c r="B1936" s="19"/>
      <c r="C1936" s="19"/>
      <c r="D1936" s="19"/>
      <c r="E1936" s="19"/>
      <c r="F1936" s="33"/>
      <c r="G1936" s="13"/>
      <c r="H1936" s="13"/>
    </row>
    <row r="1937" customFormat="false" ht="15" hidden="false" customHeight="true" outlineLevel="0" collapsed="false">
      <c r="B1937" s="19"/>
      <c r="C1937" s="19"/>
      <c r="D1937" s="19"/>
      <c r="E1937" s="19"/>
      <c r="F1937" s="33"/>
      <c r="G1937" s="13"/>
      <c r="H1937" s="13"/>
    </row>
    <row r="1938" customFormat="false" ht="15" hidden="false" customHeight="true" outlineLevel="0" collapsed="false">
      <c r="B1938" s="19"/>
      <c r="C1938" s="19"/>
      <c r="D1938" s="19"/>
      <c r="E1938" s="19"/>
      <c r="F1938" s="33"/>
      <c r="G1938" s="13"/>
      <c r="H1938" s="13"/>
    </row>
    <row r="1939" customFormat="false" ht="15" hidden="false" customHeight="true" outlineLevel="0" collapsed="false">
      <c r="B1939" s="19"/>
      <c r="C1939" s="19"/>
      <c r="D1939" s="19"/>
      <c r="E1939" s="19"/>
      <c r="F1939" s="33"/>
      <c r="G1939" s="13"/>
      <c r="H1939" s="13"/>
    </row>
    <row r="1940" customFormat="false" ht="15" hidden="false" customHeight="true" outlineLevel="0" collapsed="false">
      <c r="B1940" s="19"/>
      <c r="C1940" s="19"/>
      <c r="D1940" s="19"/>
      <c r="E1940" s="19"/>
      <c r="F1940" s="33"/>
      <c r="G1940" s="13"/>
      <c r="H1940" s="13"/>
    </row>
    <row r="1941" customFormat="false" ht="15" hidden="false" customHeight="true" outlineLevel="0" collapsed="false">
      <c r="B1941" s="19"/>
      <c r="C1941" s="19"/>
      <c r="D1941" s="19"/>
      <c r="E1941" s="19"/>
      <c r="F1941" s="33"/>
      <c r="G1941" s="13"/>
      <c r="H1941" s="13"/>
    </row>
    <row r="1942" customFormat="false" ht="15" hidden="false" customHeight="true" outlineLevel="0" collapsed="false">
      <c r="B1942" s="19"/>
      <c r="C1942" s="19"/>
      <c r="D1942" s="19"/>
      <c r="E1942" s="19"/>
      <c r="F1942" s="33"/>
      <c r="G1942" s="13"/>
      <c r="H1942" s="13"/>
    </row>
    <row r="1943" customFormat="false" ht="15" hidden="false" customHeight="true" outlineLevel="0" collapsed="false">
      <c r="B1943" s="19"/>
      <c r="C1943" s="19"/>
      <c r="D1943" s="19"/>
      <c r="E1943" s="19"/>
      <c r="F1943" s="33"/>
      <c r="G1943" s="13"/>
      <c r="H1943" s="13"/>
    </row>
    <row r="1944" customFormat="false" ht="15" hidden="false" customHeight="true" outlineLevel="0" collapsed="false">
      <c r="B1944" s="19"/>
      <c r="C1944" s="19"/>
      <c r="D1944" s="19"/>
      <c r="E1944" s="19"/>
      <c r="F1944" s="33"/>
      <c r="G1944" s="13"/>
      <c r="H1944" s="13"/>
    </row>
    <row r="1945" customFormat="false" ht="15" hidden="false" customHeight="true" outlineLevel="0" collapsed="false">
      <c r="B1945" s="19"/>
      <c r="C1945" s="19"/>
      <c r="D1945" s="19"/>
      <c r="E1945" s="19"/>
      <c r="F1945" s="33"/>
      <c r="G1945" s="13"/>
      <c r="H1945" s="13"/>
    </row>
    <row r="1946" customFormat="false" ht="15" hidden="false" customHeight="true" outlineLevel="0" collapsed="false">
      <c r="B1946" s="19"/>
      <c r="C1946" s="19"/>
      <c r="D1946" s="19"/>
      <c r="E1946" s="19"/>
      <c r="F1946" s="33"/>
      <c r="G1946" s="13"/>
      <c r="H1946" s="13"/>
    </row>
    <row r="1947" customFormat="false" ht="15" hidden="false" customHeight="true" outlineLevel="0" collapsed="false">
      <c r="B1947" s="19"/>
      <c r="C1947" s="19"/>
      <c r="D1947" s="19"/>
      <c r="E1947" s="19"/>
      <c r="F1947" s="33"/>
      <c r="G1947" s="13"/>
      <c r="H1947" s="13"/>
    </row>
    <row r="1948" customFormat="false" ht="15" hidden="false" customHeight="true" outlineLevel="0" collapsed="false">
      <c r="B1948" s="19"/>
      <c r="C1948" s="19"/>
      <c r="D1948" s="19"/>
      <c r="E1948" s="19"/>
      <c r="F1948" s="33"/>
      <c r="G1948" s="13"/>
      <c r="H1948" s="13"/>
    </row>
    <row r="1949" customFormat="false" ht="15" hidden="false" customHeight="true" outlineLevel="0" collapsed="false">
      <c r="B1949" s="19"/>
      <c r="C1949" s="19"/>
      <c r="D1949" s="19"/>
      <c r="E1949" s="19"/>
      <c r="F1949" s="33"/>
      <c r="G1949" s="13"/>
      <c r="H1949" s="13"/>
    </row>
    <row r="1950" customFormat="false" ht="15" hidden="false" customHeight="true" outlineLevel="0" collapsed="false">
      <c r="B1950" s="19"/>
      <c r="C1950" s="19"/>
      <c r="D1950" s="19"/>
      <c r="E1950" s="19"/>
      <c r="F1950" s="33"/>
      <c r="G1950" s="13"/>
      <c r="H1950" s="13"/>
    </row>
    <row r="1951" customFormat="false" ht="15" hidden="false" customHeight="true" outlineLevel="0" collapsed="false">
      <c r="B1951" s="19"/>
      <c r="C1951" s="19"/>
      <c r="D1951" s="19"/>
      <c r="E1951" s="19"/>
      <c r="F1951" s="33"/>
      <c r="G1951" s="13"/>
      <c r="H1951" s="13"/>
    </row>
    <row r="1952" customFormat="false" ht="15" hidden="false" customHeight="true" outlineLevel="0" collapsed="false">
      <c r="B1952" s="19"/>
      <c r="C1952" s="19"/>
      <c r="D1952" s="19"/>
      <c r="E1952" s="19"/>
      <c r="F1952" s="33"/>
      <c r="G1952" s="13"/>
      <c r="H1952" s="13"/>
    </row>
    <row r="1953" customFormat="false" ht="15" hidden="false" customHeight="true" outlineLevel="0" collapsed="false">
      <c r="B1953" s="19"/>
      <c r="C1953" s="19"/>
      <c r="D1953" s="19"/>
      <c r="E1953" s="19"/>
      <c r="F1953" s="33"/>
      <c r="G1953" s="13"/>
      <c r="H1953" s="13"/>
    </row>
    <row r="1954" customFormat="false" ht="15" hidden="false" customHeight="true" outlineLevel="0" collapsed="false">
      <c r="B1954" s="19"/>
      <c r="C1954" s="19"/>
      <c r="D1954" s="19"/>
      <c r="E1954" s="19"/>
      <c r="F1954" s="33"/>
      <c r="G1954" s="13"/>
      <c r="H1954" s="13"/>
    </row>
    <row r="1955" customFormat="false" ht="15" hidden="false" customHeight="true" outlineLevel="0" collapsed="false">
      <c r="B1955" s="19"/>
      <c r="C1955" s="19"/>
      <c r="D1955" s="19"/>
      <c r="E1955" s="19"/>
      <c r="F1955" s="33"/>
      <c r="G1955" s="13"/>
      <c r="H1955" s="13"/>
    </row>
    <row r="1956" customFormat="false" ht="15" hidden="false" customHeight="true" outlineLevel="0" collapsed="false">
      <c r="B1956" s="19"/>
      <c r="C1956" s="19"/>
      <c r="D1956" s="19"/>
      <c r="E1956" s="19"/>
      <c r="F1956" s="33"/>
      <c r="G1956" s="13"/>
      <c r="H1956" s="13"/>
    </row>
    <row r="1957" customFormat="false" ht="15" hidden="false" customHeight="true" outlineLevel="0" collapsed="false">
      <c r="B1957" s="19"/>
      <c r="C1957" s="19"/>
      <c r="D1957" s="19"/>
      <c r="E1957" s="19"/>
      <c r="F1957" s="33"/>
      <c r="G1957" s="13"/>
      <c r="H1957" s="13"/>
    </row>
    <row r="1958" customFormat="false" ht="15" hidden="false" customHeight="true" outlineLevel="0" collapsed="false">
      <c r="B1958" s="19"/>
      <c r="C1958" s="19"/>
      <c r="D1958" s="19"/>
      <c r="E1958" s="19"/>
      <c r="F1958" s="33"/>
      <c r="G1958" s="13"/>
      <c r="H1958" s="13"/>
    </row>
    <row r="1959" customFormat="false" ht="15" hidden="false" customHeight="true" outlineLevel="0" collapsed="false">
      <c r="B1959" s="19"/>
      <c r="C1959" s="19"/>
      <c r="D1959" s="19"/>
      <c r="E1959" s="19"/>
      <c r="F1959" s="33"/>
      <c r="G1959" s="13"/>
      <c r="H1959" s="13"/>
    </row>
    <row r="1960" customFormat="false" ht="15" hidden="false" customHeight="true" outlineLevel="0" collapsed="false">
      <c r="B1960" s="19"/>
      <c r="C1960" s="19"/>
      <c r="D1960" s="19"/>
      <c r="E1960" s="19"/>
      <c r="F1960" s="33"/>
      <c r="G1960" s="13"/>
      <c r="H1960" s="13"/>
    </row>
    <row r="1961" customFormat="false" ht="15" hidden="false" customHeight="true" outlineLevel="0" collapsed="false">
      <c r="B1961" s="19"/>
      <c r="C1961" s="19"/>
      <c r="D1961" s="19"/>
      <c r="E1961" s="19"/>
      <c r="F1961" s="33"/>
      <c r="G1961" s="13"/>
      <c r="H1961" s="13"/>
    </row>
    <row r="1962" customFormat="false" ht="15" hidden="false" customHeight="true" outlineLevel="0" collapsed="false">
      <c r="B1962" s="19"/>
      <c r="C1962" s="19"/>
      <c r="D1962" s="19"/>
      <c r="E1962" s="19"/>
      <c r="F1962" s="33"/>
      <c r="G1962" s="13"/>
      <c r="H1962" s="13"/>
    </row>
    <row r="1963" customFormat="false" ht="15" hidden="false" customHeight="true" outlineLevel="0" collapsed="false">
      <c r="B1963" s="19"/>
      <c r="C1963" s="19"/>
      <c r="D1963" s="19"/>
      <c r="E1963" s="19"/>
      <c r="F1963" s="33"/>
      <c r="G1963" s="13"/>
      <c r="H1963" s="13"/>
    </row>
    <row r="1964" customFormat="false" ht="15" hidden="false" customHeight="true" outlineLevel="0" collapsed="false">
      <c r="B1964" s="19"/>
      <c r="C1964" s="19"/>
      <c r="D1964" s="19"/>
      <c r="E1964" s="19"/>
      <c r="F1964" s="33"/>
      <c r="G1964" s="13"/>
      <c r="H1964" s="13"/>
    </row>
    <row r="1965" customFormat="false" ht="15" hidden="false" customHeight="true" outlineLevel="0" collapsed="false">
      <c r="B1965" s="19"/>
      <c r="C1965" s="19"/>
      <c r="D1965" s="19"/>
      <c r="E1965" s="19"/>
      <c r="F1965" s="33"/>
      <c r="G1965" s="13"/>
      <c r="H1965" s="13"/>
    </row>
    <row r="1966" customFormat="false" ht="15" hidden="false" customHeight="true" outlineLevel="0" collapsed="false">
      <c r="B1966" s="19"/>
      <c r="C1966" s="19"/>
      <c r="D1966" s="19"/>
      <c r="E1966" s="19"/>
      <c r="F1966" s="33"/>
      <c r="G1966" s="13"/>
      <c r="H1966" s="13"/>
    </row>
    <row r="1967" customFormat="false" ht="15" hidden="false" customHeight="true" outlineLevel="0" collapsed="false">
      <c r="B1967" s="19"/>
      <c r="C1967" s="19"/>
      <c r="D1967" s="19"/>
      <c r="E1967" s="19"/>
      <c r="F1967" s="33"/>
      <c r="G1967" s="13"/>
      <c r="H1967" s="13"/>
    </row>
    <row r="1968" customFormat="false" ht="15" hidden="false" customHeight="true" outlineLevel="0" collapsed="false">
      <c r="B1968" s="19"/>
      <c r="C1968" s="19"/>
      <c r="D1968" s="19"/>
      <c r="E1968" s="19"/>
      <c r="F1968" s="33"/>
      <c r="G1968" s="13"/>
      <c r="H1968" s="13"/>
    </row>
    <row r="1969" customFormat="false" ht="15" hidden="false" customHeight="true" outlineLevel="0" collapsed="false">
      <c r="B1969" s="19"/>
      <c r="C1969" s="19"/>
      <c r="D1969" s="19"/>
      <c r="E1969" s="19"/>
      <c r="F1969" s="33"/>
      <c r="G1969" s="13"/>
      <c r="H1969" s="13"/>
    </row>
    <row r="1970" customFormat="false" ht="15" hidden="false" customHeight="true" outlineLevel="0" collapsed="false">
      <c r="B1970" s="19"/>
      <c r="C1970" s="19"/>
      <c r="D1970" s="19"/>
      <c r="E1970" s="19"/>
      <c r="F1970" s="33"/>
      <c r="G1970" s="13"/>
      <c r="H1970" s="13"/>
    </row>
    <row r="1971" customFormat="false" ht="15" hidden="false" customHeight="true" outlineLevel="0" collapsed="false">
      <c r="B1971" s="19"/>
      <c r="C1971" s="19"/>
      <c r="D1971" s="19"/>
      <c r="E1971" s="19"/>
      <c r="F1971" s="33"/>
      <c r="G1971" s="13"/>
      <c r="H1971" s="13"/>
    </row>
    <row r="1972" customFormat="false" ht="15" hidden="false" customHeight="true" outlineLevel="0" collapsed="false">
      <c r="B1972" s="19"/>
      <c r="C1972" s="19"/>
      <c r="D1972" s="19"/>
      <c r="E1972" s="19"/>
      <c r="F1972" s="33"/>
      <c r="G1972" s="13"/>
      <c r="H1972" s="13"/>
    </row>
    <row r="1973" customFormat="false" ht="15" hidden="false" customHeight="true" outlineLevel="0" collapsed="false">
      <c r="B1973" s="19"/>
      <c r="C1973" s="19"/>
      <c r="D1973" s="19"/>
      <c r="E1973" s="19"/>
      <c r="F1973" s="33"/>
      <c r="G1973" s="13"/>
      <c r="H1973" s="13"/>
    </row>
    <row r="1974" customFormat="false" ht="15" hidden="false" customHeight="true" outlineLevel="0" collapsed="false">
      <c r="B1974" s="19"/>
      <c r="C1974" s="19"/>
      <c r="D1974" s="19"/>
      <c r="E1974" s="19"/>
      <c r="F1974" s="33"/>
      <c r="G1974" s="13"/>
      <c r="H1974" s="13"/>
    </row>
    <row r="1975" customFormat="false" ht="15" hidden="false" customHeight="true" outlineLevel="0" collapsed="false">
      <c r="B1975" s="19"/>
      <c r="C1975" s="19"/>
      <c r="D1975" s="19"/>
      <c r="E1975" s="19"/>
      <c r="F1975" s="33"/>
      <c r="G1975" s="13"/>
      <c r="H1975" s="13"/>
    </row>
    <row r="1976" customFormat="false" ht="15" hidden="false" customHeight="true" outlineLevel="0" collapsed="false">
      <c r="B1976" s="19"/>
      <c r="C1976" s="19"/>
      <c r="D1976" s="19"/>
      <c r="E1976" s="19"/>
      <c r="F1976" s="33"/>
      <c r="G1976" s="13"/>
      <c r="H1976" s="13"/>
    </row>
    <row r="1977" customFormat="false" ht="15" hidden="false" customHeight="true" outlineLevel="0" collapsed="false">
      <c r="B1977" s="19"/>
      <c r="C1977" s="19"/>
      <c r="D1977" s="19"/>
      <c r="E1977" s="19"/>
      <c r="F1977" s="33"/>
      <c r="G1977" s="13"/>
      <c r="H1977" s="13"/>
    </row>
    <row r="1978" customFormat="false" ht="15" hidden="false" customHeight="true" outlineLevel="0" collapsed="false">
      <c r="B1978" s="19"/>
      <c r="C1978" s="19"/>
      <c r="D1978" s="19"/>
      <c r="E1978" s="19"/>
      <c r="F1978" s="33"/>
      <c r="G1978" s="13"/>
      <c r="H1978" s="13"/>
    </row>
    <row r="1979" customFormat="false" ht="15" hidden="false" customHeight="true" outlineLevel="0" collapsed="false">
      <c r="B1979" s="19"/>
      <c r="C1979" s="19"/>
      <c r="D1979" s="19"/>
      <c r="E1979" s="19"/>
      <c r="F1979" s="33"/>
      <c r="G1979" s="13"/>
      <c r="H1979" s="13"/>
    </row>
    <row r="1980" customFormat="false" ht="15" hidden="false" customHeight="true" outlineLevel="0" collapsed="false">
      <c r="B1980" s="19"/>
      <c r="C1980" s="19"/>
      <c r="D1980" s="19"/>
      <c r="E1980" s="19"/>
      <c r="F1980" s="33"/>
      <c r="G1980" s="13"/>
      <c r="H1980" s="13"/>
    </row>
    <row r="1981" customFormat="false" ht="15" hidden="false" customHeight="true" outlineLevel="0" collapsed="false">
      <c r="B1981" s="19"/>
      <c r="C1981" s="19"/>
      <c r="D1981" s="19"/>
      <c r="E1981" s="19"/>
      <c r="F1981" s="33"/>
      <c r="G1981" s="13"/>
      <c r="H1981" s="13"/>
    </row>
    <row r="1982" customFormat="false" ht="15" hidden="false" customHeight="true" outlineLevel="0" collapsed="false">
      <c r="B1982" s="19"/>
      <c r="C1982" s="19"/>
      <c r="D1982" s="19"/>
      <c r="E1982" s="19"/>
      <c r="F1982" s="33"/>
      <c r="G1982" s="13"/>
      <c r="H1982" s="13"/>
    </row>
    <row r="1983" customFormat="false" ht="15" hidden="false" customHeight="true" outlineLevel="0" collapsed="false">
      <c r="B1983" s="19"/>
      <c r="C1983" s="19"/>
      <c r="D1983" s="19"/>
      <c r="E1983" s="19"/>
      <c r="F1983" s="33"/>
      <c r="G1983" s="13"/>
      <c r="H1983" s="13"/>
    </row>
    <row r="1984" customFormat="false" ht="15" hidden="false" customHeight="true" outlineLevel="0" collapsed="false">
      <c r="B1984" s="19"/>
      <c r="C1984" s="19"/>
      <c r="D1984" s="19"/>
      <c r="E1984" s="19"/>
      <c r="F1984" s="33"/>
      <c r="G1984" s="13"/>
      <c r="H1984" s="13"/>
    </row>
    <row r="1985" customFormat="false" ht="15" hidden="false" customHeight="true" outlineLevel="0" collapsed="false">
      <c r="B1985" s="19"/>
      <c r="C1985" s="19"/>
      <c r="D1985" s="19"/>
      <c r="E1985" s="19"/>
      <c r="F1985" s="33"/>
      <c r="G1985" s="13"/>
      <c r="H1985" s="13"/>
    </row>
    <row r="1986" customFormat="false" ht="15" hidden="false" customHeight="true" outlineLevel="0" collapsed="false">
      <c r="B1986" s="19"/>
      <c r="C1986" s="19"/>
      <c r="D1986" s="19"/>
      <c r="E1986" s="19"/>
      <c r="F1986" s="33"/>
      <c r="G1986" s="13"/>
      <c r="H1986" s="13"/>
    </row>
    <row r="1987" customFormat="false" ht="15" hidden="false" customHeight="true" outlineLevel="0" collapsed="false">
      <c r="B1987" s="19"/>
      <c r="C1987" s="19"/>
      <c r="D1987" s="19"/>
      <c r="E1987" s="19"/>
      <c r="F1987" s="33"/>
      <c r="G1987" s="13"/>
      <c r="H1987" s="13"/>
    </row>
    <row r="1988" customFormat="false" ht="15" hidden="false" customHeight="true" outlineLevel="0" collapsed="false">
      <c r="B1988" s="19"/>
      <c r="C1988" s="19"/>
      <c r="D1988" s="19"/>
      <c r="E1988" s="19"/>
      <c r="F1988" s="33"/>
      <c r="G1988" s="13"/>
      <c r="H1988" s="13"/>
    </row>
    <row r="1989" customFormat="false" ht="15" hidden="false" customHeight="true" outlineLevel="0" collapsed="false">
      <c r="B1989" s="19"/>
      <c r="C1989" s="19"/>
      <c r="D1989" s="19"/>
      <c r="E1989" s="19"/>
      <c r="F1989" s="33"/>
      <c r="G1989" s="13"/>
      <c r="H1989" s="13"/>
    </row>
    <row r="1990" customFormat="false" ht="15" hidden="false" customHeight="true" outlineLevel="0" collapsed="false">
      <c r="B1990" s="19"/>
      <c r="C1990" s="19"/>
      <c r="D1990" s="19"/>
      <c r="E1990" s="19"/>
      <c r="F1990" s="33"/>
      <c r="G1990" s="13"/>
      <c r="H1990" s="13"/>
    </row>
    <row r="1991" customFormat="false" ht="15" hidden="false" customHeight="true" outlineLevel="0" collapsed="false">
      <c r="B1991" s="19"/>
      <c r="C1991" s="19"/>
      <c r="D1991" s="19"/>
      <c r="E1991" s="19"/>
      <c r="F1991" s="33"/>
      <c r="G1991" s="13"/>
      <c r="H1991" s="13"/>
    </row>
    <row r="1992" customFormat="false" ht="15" hidden="false" customHeight="true" outlineLevel="0" collapsed="false">
      <c r="B1992" s="19"/>
      <c r="C1992" s="19"/>
      <c r="D1992" s="19"/>
      <c r="E1992" s="19"/>
      <c r="F1992" s="33"/>
      <c r="G1992" s="13"/>
      <c r="H1992" s="13"/>
    </row>
    <row r="1993" customFormat="false" ht="15" hidden="false" customHeight="true" outlineLevel="0" collapsed="false">
      <c r="B1993" s="19"/>
      <c r="C1993" s="19"/>
      <c r="D1993" s="19"/>
      <c r="E1993" s="19"/>
      <c r="F1993" s="33"/>
      <c r="G1993" s="13"/>
      <c r="H1993" s="13"/>
    </row>
    <row r="1994" customFormat="false" ht="15" hidden="false" customHeight="true" outlineLevel="0" collapsed="false">
      <c r="B1994" s="19"/>
      <c r="C1994" s="19"/>
      <c r="D1994" s="19"/>
      <c r="E1994" s="19"/>
      <c r="F1994" s="33"/>
      <c r="G1994" s="13"/>
      <c r="H1994" s="13"/>
    </row>
    <row r="1995" customFormat="false" ht="15" hidden="false" customHeight="true" outlineLevel="0" collapsed="false">
      <c r="B1995" s="19"/>
      <c r="C1995" s="19"/>
      <c r="D1995" s="19"/>
      <c r="E1995" s="19"/>
      <c r="F1995" s="33"/>
      <c r="G1995" s="13"/>
      <c r="H1995" s="13"/>
    </row>
    <row r="1996" customFormat="false" ht="15" hidden="false" customHeight="true" outlineLevel="0" collapsed="false">
      <c r="B1996" s="19"/>
      <c r="C1996" s="19"/>
      <c r="D1996" s="19"/>
      <c r="E1996" s="19"/>
      <c r="F1996" s="33"/>
      <c r="G1996" s="13"/>
      <c r="H1996" s="13"/>
    </row>
    <row r="1997" customFormat="false" ht="15" hidden="false" customHeight="true" outlineLevel="0" collapsed="false">
      <c r="B1997" s="19"/>
      <c r="C1997" s="19"/>
      <c r="D1997" s="19"/>
      <c r="E1997" s="19"/>
      <c r="F1997" s="33"/>
      <c r="G1997" s="13"/>
      <c r="H1997" s="13"/>
    </row>
    <row r="1998" customFormat="false" ht="15" hidden="false" customHeight="true" outlineLevel="0" collapsed="false">
      <c r="B1998" s="19"/>
      <c r="C1998" s="19"/>
      <c r="D1998" s="19"/>
      <c r="E1998" s="19"/>
      <c r="F1998" s="33"/>
      <c r="G1998" s="13"/>
      <c r="H1998" s="13"/>
    </row>
    <row r="1999" customFormat="false" ht="15" hidden="false" customHeight="true" outlineLevel="0" collapsed="false">
      <c r="B1999" s="19"/>
      <c r="C1999" s="19"/>
      <c r="D1999" s="19"/>
      <c r="E1999" s="19"/>
      <c r="F1999" s="33"/>
      <c r="G1999" s="13"/>
      <c r="H1999" s="13"/>
    </row>
    <row r="2000" customFormat="false" ht="15" hidden="false" customHeight="true" outlineLevel="0" collapsed="false">
      <c r="B2000" s="19"/>
      <c r="C2000" s="19"/>
      <c r="D2000" s="19"/>
      <c r="E2000" s="19"/>
      <c r="F2000" s="33"/>
      <c r="G2000" s="13"/>
      <c r="H2000" s="13"/>
    </row>
    <row r="2001" customFormat="false" ht="15" hidden="false" customHeight="true" outlineLevel="0" collapsed="false">
      <c r="B2001" s="19"/>
      <c r="C2001" s="19"/>
      <c r="D2001" s="19"/>
      <c r="E2001" s="19"/>
      <c r="F2001" s="33"/>
      <c r="G2001" s="13"/>
      <c r="H2001" s="13"/>
    </row>
    <row r="2002" customFormat="false" ht="15" hidden="false" customHeight="true" outlineLevel="0" collapsed="false">
      <c r="B2002" s="19"/>
      <c r="C2002" s="19"/>
      <c r="D2002" s="19"/>
      <c r="E2002" s="19"/>
      <c r="F2002" s="33"/>
      <c r="G2002" s="13"/>
      <c r="H2002" s="13"/>
    </row>
    <row r="2003" customFormat="false" ht="15" hidden="false" customHeight="true" outlineLevel="0" collapsed="false">
      <c r="B2003" s="19"/>
      <c r="C2003" s="19"/>
      <c r="D2003" s="19"/>
      <c r="E2003" s="19"/>
      <c r="F2003" s="33"/>
      <c r="G2003" s="13"/>
      <c r="H2003" s="13"/>
    </row>
    <row r="2004" customFormat="false" ht="15" hidden="false" customHeight="true" outlineLevel="0" collapsed="false">
      <c r="B2004" s="19"/>
      <c r="C2004" s="19"/>
      <c r="D2004" s="19"/>
      <c r="E2004" s="19"/>
      <c r="F2004" s="33"/>
      <c r="G2004" s="13"/>
      <c r="H2004" s="13"/>
    </row>
    <row r="2005" customFormat="false" ht="15" hidden="false" customHeight="true" outlineLevel="0" collapsed="false">
      <c r="B2005" s="19"/>
      <c r="C2005" s="19"/>
      <c r="D2005" s="19"/>
      <c r="E2005" s="19"/>
      <c r="F2005" s="33"/>
      <c r="G2005" s="13"/>
      <c r="H2005" s="13"/>
    </row>
    <row r="2006" customFormat="false" ht="15" hidden="false" customHeight="true" outlineLevel="0" collapsed="false">
      <c r="B2006" s="19"/>
      <c r="C2006" s="19"/>
      <c r="D2006" s="19"/>
      <c r="E2006" s="19"/>
      <c r="F2006" s="33"/>
      <c r="G2006" s="13"/>
      <c r="H2006" s="13"/>
    </row>
    <row r="2007" customFormat="false" ht="15" hidden="false" customHeight="true" outlineLevel="0" collapsed="false">
      <c r="B2007" s="19"/>
      <c r="C2007" s="19"/>
      <c r="D2007" s="19"/>
      <c r="E2007" s="19"/>
      <c r="F2007" s="33"/>
      <c r="G2007" s="13"/>
      <c r="H2007" s="13"/>
    </row>
    <row r="2008" customFormat="false" ht="15" hidden="false" customHeight="true" outlineLevel="0" collapsed="false">
      <c r="B2008" s="19"/>
      <c r="C2008" s="19"/>
      <c r="D2008" s="19"/>
      <c r="E2008" s="19"/>
      <c r="F2008" s="33"/>
      <c r="G2008" s="13"/>
      <c r="H2008" s="13"/>
    </row>
    <row r="2009" customFormat="false" ht="15" hidden="false" customHeight="true" outlineLevel="0" collapsed="false">
      <c r="B2009" s="19"/>
      <c r="C2009" s="19"/>
      <c r="D2009" s="19"/>
      <c r="E2009" s="19"/>
      <c r="F2009" s="33"/>
      <c r="G2009" s="13"/>
      <c r="H2009" s="13"/>
    </row>
    <row r="2010" customFormat="false" ht="15" hidden="false" customHeight="true" outlineLevel="0" collapsed="false">
      <c r="B2010" s="19"/>
      <c r="C2010" s="19"/>
      <c r="D2010" s="19"/>
      <c r="E2010" s="19"/>
      <c r="F2010" s="33"/>
      <c r="G2010" s="13"/>
      <c r="H2010" s="13"/>
    </row>
    <row r="2011" customFormat="false" ht="15" hidden="false" customHeight="true" outlineLevel="0" collapsed="false">
      <c r="B2011" s="19"/>
      <c r="C2011" s="19"/>
      <c r="D2011" s="19"/>
      <c r="E2011" s="19"/>
      <c r="F2011" s="33"/>
      <c r="G2011" s="13"/>
      <c r="H2011" s="13"/>
    </row>
    <row r="2012" customFormat="false" ht="15" hidden="false" customHeight="true" outlineLevel="0" collapsed="false">
      <c r="B2012" s="19"/>
      <c r="C2012" s="19"/>
      <c r="D2012" s="19"/>
      <c r="E2012" s="19"/>
      <c r="F2012" s="33"/>
      <c r="G2012" s="13"/>
      <c r="H2012" s="13"/>
    </row>
    <row r="2013" customFormat="false" ht="15" hidden="false" customHeight="true" outlineLevel="0" collapsed="false">
      <c r="B2013" s="19"/>
      <c r="C2013" s="19"/>
      <c r="D2013" s="19"/>
      <c r="E2013" s="19"/>
      <c r="F2013" s="33"/>
      <c r="G2013" s="13"/>
      <c r="H2013" s="13"/>
    </row>
    <row r="2014" customFormat="false" ht="15" hidden="false" customHeight="true" outlineLevel="0" collapsed="false">
      <c r="B2014" s="19"/>
      <c r="C2014" s="19"/>
      <c r="D2014" s="19"/>
      <c r="E2014" s="19"/>
      <c r="F2014" s="33"/>
      <c r="G2014" s="13"/>
      <c r="H2014" s="13"/>
    </row>
    <row r="2015" customFormat="false" ht="15" hidden="false" customHeight="true" outlineLevel="0" collapsed="false">
      <c r="B2015" s="19"/>
      <c r="C2015" s="19"/>
      <c r="D2015" s="19"/>
      <c r="E2015" s="19"/>
      <c r="F2015" s="33"/>
      <c r="G2015" s="13"/>
      <c r="H2015" s="13"/>
    </row>
    <row r="2016" customFormat="false" ht="15" hidden="false" customHeight="true" outlineLevel="0" collapsed="false">
      <c r="B2016" s="19"/>
      <c r="C2016" s="19"/>
      <c r="D2016" s="19"/>
      <c r="E2016" s="19"/>
      <c r="F2016" s="33"/>
      <c r="G2016" s="13"/>
      <c r="H2016" s="13"/>
    </row>
    <row r="2017" customFormat="false" ht="15" hidden="false" customHeight="true" outlineLevel="0" collapsed="false">
      <c r="B2017" s="19"/>
      <c r="C2017" s="19"/>
      <c r="D2017" s="19"/>
      <c r="E2017" s="19"/>
      <c r="F2017" s="33"/>
      <c r="G2017" s="13"/>
      <c r="H2017" s="13"/>
    </row>
    <row r="2018" customFormat="false" ht="15" hidden="false" customHeight="true" outlineLevel="0" collapsed="false">
      <c r="B2018" s="19"/>
      <c r="C2018" s="19"/>
      <c r="D2018" s="19"/>
      <c r="E2018" s="19"/>
      <c r="F2018" s="33"/>
      <c r="G2018" s="13"/>
      <c r="H2018" s="13"/>
    </row>
    <row r="2019" customFormat="false" ht="15" hidden="false" customHeight="true" outlineLevel="0" collapsed="false">
      <c r="B2019" s="19"/>
      <c r="C2019" s="19"/>
      <c r="D2019" s="19"/>
      <c r="E2019" s="19"/>
      <c r="F2019" s="33"/>
      <c r="G2019" s="13"/>
      <c r="H2019" s="13"/>
    </row>
    <row r="2020" customFormat="false" ht="15" hidden="false" customHeight="true" outlineLevel="0" collapsed="false">
      <c r="B2020" s="19"/>
      <c r="C2020" s="19"/>
      <c r="D2020" s="19"/>
      <c r="E2020" s="19"/>
      <c r="F2020" s="33"/>
      <c r="G2020" s="13"/>
      <c r="H2020" s="13"/>
    </row>
    <row r="2021" customFormat="false" ht="15" hidden="false" customHeight="true" outlineLevel="0" collapsed="false">
      <c r="B2021" s="19"/>
      <c r="C2021" s="19"/>
      <c r="D2021" s="19"/>
      <c r="E2021" s="19"/>
      <c r="F2021" s="33"/>
      <c r="G2021" s="13"/>
      <c r="H2021" s="13"/>
    </row>
    <row r="2022" customFormat="false" ht="15" hidden="false" customHeight="true" outlineLevel="0" collapsed="false">
      <c r="B2022" s="19"/>
      <c r="C2022" s="19"/>
      <c r="D2022" s="19"/>
      <c r="E2022" s="19"/>
      <c r="F2022" s="33"/>
      <c r="G2022" s="13"/>
      <c r="H2022" s="13"/>
    </row>
  </sheetData>
  <mergeCells count="3">
    <mergeCell ref="B3:J3"/>
    <mergeCell ref="B5:J5"/>
    <mergeCell ref="B326:H326"/>
  </mergeCells>
  <dataValidations count="1">
    <dataValidation allowBlank="true" error="Pick an ingredient from the Ingredients tab" errorStyle="stop" errorTitle="Invalid ingredient" operator="between" showDropDown="false" showErrorMessage="false" showInputMessage="false" sqref="C328:C2022" type="list">
      <formula1>Ingredients!$B$6:$B$206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4"/>
    <col collapsed="false" customWidth="true" hidden="false" outlineLevel="0" max="7" min="6" style="1" width="14"/>
    <col collapsed="false" customWidth="true" hidden="false" outlineLevel="0" max="8" min="8" style="1" width="12"/>
    <col collapsed="false" customWidth="true" hidden="false" outlineLevel="0" max="9" min="9" style="1" width="26"/>
  </cols>
  <sheetData>
    <row r="2" customFormat="false" ht="17.25" hidden="false" customHeight="true" outlineLevel="0" collapsed="false">
      <c r="B2" s="9" t="s">
        <v>507</v>
      </c>
    </row>
    <row r="3" customFormat="false" ht="15" hidden="false" customHeight="true" outlineLevel="0" collapsed="false">
      <c r="B3" s="3" t="s">
        <v>508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10" t="s">
        <v>509</v>
      </c>
      <c r="C5" s="10" t="s">
        <v>256</v>
      </c>
      <c r="D5" s="10" t="s">
        <v>257</v>
      </c>
      <c r="E5" s="10" t="s">
        <v>56</v>
      </c>
      <c r="F5" s="10" t="s">
        <v>258</v>
      </c>
      <c r="G5" s="10" t="s">
        <v>259</v>
      </c>
      <c r="H5" s="10" t="s">
        <v>261</v>
      </c>
      <c r="I5" s="10" t="s">
        <v>510</v>
      </c>
    </row>
    <row r="6" customFormat="false" ht="15" hidden="false" customHeight="true" outlineLevel="0" collapsed="false">
      <c r="B6" s="14" t="n">
        <v>1</v>
      </c>
      <c r="C6" s="11" t="s">
        <v>454</v>
      </c>
      <c r="D6" s="11" t="s">
        <v>266</v>
      </c>
      <c r="E6" s="11" t="s">
        <v>511</v>
      </c>
      <c r="F6" s="22" t="n">
        <v>3</v>
      </c>
      <c r="G6" s="13" t="n">
        <f aca="false">IFERROR(VLOOKUP(279,Recipes!$B$7:$G$323,6,FALSE()),0)</f>
        <v>0</v>
      </c>
      <c r="H6" s="23" t="n">
        <f aca="false">IFERROR((F6-G6)/F6,0)</f>
        <v>1</v>
      </c>
      <c r="I6" s="14"/>
    </row>
    <row r="7" customFormat="false" ht="15" hidden="false" customHeight="true" outlineLevel="0" collapsed="false">
      <c r="B7" s="14" t="n">
        <v>2</v>
      </c>
      <c r="C7" s="11" t="s">
        <v>443</v>
      </c>
      <c r="D7" s="11" t="s">
        <v>266</v>
      </c>
      <c r="E7" s="11" t="s">
        <v>512</v>
      </c>
      <c r="F7" s="22" t="n">
        <v>5</v>
      </c>
      <c r="G7" s="13" t="n">
        <f aca="false">IFERROR(VLOOKUP(270,Recipes!$B$7:$G$323,6,FALSE()),0)</f>
        <v>0</v>
      </c>
      <c r="H7" s="23" t="n">
        <f aca="false">IFERROR((F7-G7)/F7,0)</f>
        <v>1</v>
      </c>
      <c r="I7" s="14"/>
    </row>
    <row r="8" customFormat="false" ht="15" hidden="false" customHeight="true" outlineLevel="0" collapsed="false">
      <c r="B8" s="14" t="n">
        <v>3</v>
      </c>
      <c r="C8" s="11" t="s">
        <v>445</v>
      </c>
      <c r="D8" s="11" t="s">
        <v>266</v>
      </c>
      <c r="E8" s="11" t="s">
        <v>513</v>
      </c>
      <c r="F8" s="22" t="n">
        <v>1.6</v>
      </c>
      <c r="G8" s="13" t="n">
        <f aca="false">IFERROR(VLOOKUP(271,Recipes!$B$7:$G$323,6,FALSE()),0)</f>
        <v>0</v>
      </c>
      <c r="H8" s="23" t="n">
        <f aca="false">IFERROR((F8-G8)/F8,0)</f>
        <v>1</v>
      </c>
      <c r="I8" s="14"/>
    </row>
    <row r="9" customFormat="false" ht="15" hidden="false" customHeight="true" outlineLevel="0" collapsed="false">
      <c r="B9" s="14" t="n">
        <v>4</v>
      </c>
      <c r="C9" s="11" t="s">
        <v>448</v>
      </c>
      <c r="D9" s="11" t="s">
        <v>266</v>
      </c>
      <c r="E9" s="11" t="s">
        <v>514</v>
      </c>
      <c r="F9" s="22" t="n">
        <v>20</v>
      </c>
      <c r="G9" s="13" t="n">
        <f aca="false">IFERROR(VLOOKUP(274,Recipes!$B$7:$G$323,6,FALSE()),0)</f>
        <v>0</v>
      </c>
      <c r="H9" s="23" t="n">
        <f aca="false">IFERROR((F9-G9)/F9,0)</f>
        <v>1</v>
      </c>
      <c r="I9" s="14"/>
    </row>
    <row r="10" customFormat="false" ht="15" hidden="false" customHeight="true" outlineLevel="0" collapsed="false">
      <c r="B10" s="14" t="n">
        <v>5</v>
      </c>
      <c r="C10" s="11" t="s">
        <v>446</v>
      </c>
      <c r="D10" s="11" t="s">
        <v>266</v>
      </c>
      <c r="E10" s="11" t="s">
        <v>511</v>
      </c>
      <c r="F10" s="22" t="n">
        <v>0.5</v>
      </c>
      <c r="G10" s="13" t="n">
        <f aca="false">IFERROR(VLOOKUP(272,Recipes!$B$7:$G$323,6,FALSE()),0)</f>
        <v>0</v>
      </c>
      <c r="H10" s="23" t="n">
        <f aca="false">IFERROR((F10-G10)/F10,0)</f>
        <v>1</v>
      </c>
      <c r="I10" s="14"/>
    </row>
    <row r="11" customFormat="false" ht="15" hidden="false" customHeight="true" outlineLevel="0" collapsed="false">
      <c r="B11" s="14" t="n">
        <v>6</v>
      </c>
      <c r="C11" s="11" t="s">
        <v>265</v>
      </c>
      <c r="D11" s="11" t="s">
        <v>268</v>
      </c>
      <c r="E11" s="11" t="s">
        <v>267</v>
      </c>
      <c r="F11" s="22" t="n">
        <v>4.4</v>
      </c>
      <c r="G11" s="13" t="n">
        <f aca="false">IFERROR(VLOOKUP(2,Recipes!$B$7:$G$323,6,FALSE()),0)</f>
        <v>0.909911894273128</v>
      </c>
      <c r="H11" s="23" t="n">
        <f aca="false">IFERROR((F11-G11)/F11,0)</f>
        <v>0.793201842210653</v>
      </c>
      <c r="I11" s="14"/>
    </row>
    <row r="12" customFormat="false" ht="15" hidden="false" customHeight="true" outlineLevel="0" collapsed="false">
      <c r="B12" s="14" t="n">
        <v>7</v>
      </c>
      <c r="C12" s="11" t="s">
        <v>265</v>
      </c>
      <c r="D12" s="11" t="s">
        <v>266</v>
      </c>
      <c r="E12" s="11" t="s">
        <v>267</v>
      </c>
      <c r="F12" s="22" t="n">
        <v>4.6</v>
      </c>
      <c r="G12" s="13" t="n">
        <f aca="false">IFERROR(VLOOKUP(1,Recipes!$B$7:$G$323,6,FALSE()),0)</f>
        <v>0.939911894273128</v>
      </c>
      <c r="H12" s="23" t="n">
        <f aca="false">IFERROR((F12-G12)/F12,0)</f>
        <v>0.795671327331929</v>
      </c>
      <c r="I12" s="14"/>
    </row>
    <row r="13" customFormat="false" ht="15" hidden="false" customHeight="true" outlineLevel="0" collapsed="false">
      <c r="B13" s="14" t="n">
        <v>8</v>
      </c>
      <c r="C13" s="11" t="s">
        <v>269</v>
      </c>
      <c r="D13" s="11" t="s">
        <v>266</v>
      </c>
      <c r="E13" s="11" t="s">
        <v>514</v>
      </c>
      <c r="F13" s="22" t="n">
        <v>3.2</v>
      </c>
      <c r="G13" s="13" t="n">
        <f aca="false">IFERROR(VLOOKUP(3,Recipes!$B$7:$G$323,6,FALSE()),0)</f>
        <v>1.3</v>
      </c>
      <c r="H13" s="23" t="n">
        <f aca="false">IFERROR((F13-G13)/F13,0)</f>
        <v>0.59375</v>
      </c>
      <c r="I13" s="14"/>
    </row>
    <row r="14" customFormat="false" ht="15" hidden="false" customHeight="true" outlineLevel="0" collapsed="false">
      <c r="B14" s="26" t="n">
        <v>9</v>
      </c>
      <c r="C14" s="26" t="s">
        <v>271</v>
      </c>
      <c r="D14" s="26" t="s">
        <v>268</v>
      </c>
      <c r="E14" s="26" t="s">
        <v>515</v>
      </c>
      <c r="F14" s="27" t="n">
        <v>0</v>
      </c>
      <c r="G14" s="27" t="n">
        <f aca="false">IFERROR(VLOOKUP(5,Recipes!$B$7:$G$323,6,FALSE()),0)</f>
        <v>0</v>
      </c>
      <c r="H14" s="28" t="n">
        <f aca="false">IFERROR((F14-G14)/F14,0)</f>
        <v>0</v>
      </c>
      <c r="I14" s="26"/>
    </row>
    <row r="15" customFormat="false" ht="15" hidden="false" customHeight="true" outlineLevel="0" collapsed="false">
      <c r="B15" s="26" t="n">
        <v>10</v>
      </c>
      <c r="C15" s="26" t="s">
        <v>271</v>
      </c>
      <c r="D15" s="26" t="s">
        <v>266</v>
      </c>
      <c r="E15" s="26" t="s">
        <v>515</v>
      </c>
      <c r="F15" s="27" t="n">
        <v>0</v>
      </c>
      <c r="G15" s="27" t="n">
        <f aca="false">IFERROR(VLOOKUP(4,Recipes!$B$7:$G$323,6,FALSE()),0)</f>
        <v>0</v>
      </c>
      <c r="H15" s="28" t="n">
        <f aca="false">IFERROR((F15-G15)/F15,0)</f>
        <v>0</v>
      </c>
      <c r="I15" s="26"/>
    </row>
    <row r="16" customFormat="false" ht="15" hidden="false" customHeight="true" outlineLevel="0" collapsed="false">
      <c r="B16" s="14" t="n">
        <v>11</v>
      </c>
      <c r="C16" s="11" t="s">
        <v>273</v>
      </c>
      <c r="D16" s="11" t="s">
        <v>274</v>
      </c>
      <c r="E16" s="11" t="s">
        <v>111</v>
      </c>
      <c r="F16" s="22" t="n">
        <v>1.9</v>
      </c>
      <c r="G16" s="13" t="n">
        <f aca="false">IFERROR(VLOOKUP(6,Recipes!$B$7:$G$323,6,FALSE()),0)</f>
        <v>0.199875</v>
      </c>
      <c r="H16" s="23" t="n">
        <f aca="false">IFERROR((F16-G16)/F16,0)</f>
        <v>0.894802631578947</v>
      </c>
      <c r="I16" s="14" t="s">
        <v>275</v>
      </c>
    </row>
    <row r="17" customFormat="false" ht="15" hidden="false" customHeight="true" outlineLevel="0" collapsed="false">
      <c r="B17" s="14" t="n">
        <v>12</v>
      </c>
      <c r="C17" s="11" t="s">
        <v>172</v>
      </c>
      <c r="D17" s="11" t="s">
        <v>266</v>
      </c>
      <c r="E17" s="11" t="s">
        <v>514</v>
      </c>
      <c r="F17" s="22" t="n">
        <v>3.6</v>
      </c>
      <c r="G17" s="13" t="n">
        <f aca="false">IFERROR(VLOOKUP(273,Recipes!$B$7:$G$323,6,FALSE()),0)</f>
        <v>1.21</v>
      </c>
      <c r="H17" s="23" t="n">
        <f aca="false">IFERROR((F17-G17)/F17,0)</f>
        <v>0.663888888888889</v>
      </c>
      <c r="I17" s="14"/>
    </row>
    <row r="18" customFormat="false" ht="15" hidden="false" customHeight="true" outlineLevel="0" collapsed="false">
      <c r="B18" s="14" t="n">
        <v>13</v>
      </c>
      <c r="C18" s="11" t="s">
        <v>277</v>
      </c>
      <c r="D18" s="11" t="s">
        <v>268</v>
      </c>
      <c r="E18" s="11" t="s">
        <v>278</v>
      </c>
      <c r="F18" s="22" t="n">
        <v>2.8</v>
      </c>
      <c r="G18" s="13" t="n">
        <f aca="false">IFERROR(VLOOKUP(8,Recipes!$B$7:$G$323,6,FALSE()),0)</f>
        <v>0.705</v>
      </c>
      <c r="H18" s="23" t="n">
        <f aca="false">IFERROR((F18-G18)/F18,0)</f>
        <v>0.748214285714286</v>
      </c>
      <c r="I18" s="14"/>
    </row>
    <row r="19" customFormat="false" ht="15" hidden="false" customHeight="true" outlineLevel="0" collapsed="false">
      <c r="B19" s="14" t="n">
        <v>14</v>
      </c>
      <c r="C19" s="11" t="s">
        <v>277</v>
      </c>
      <c r="D19" s="11" t="s">
        <v>266</v>
      </c>
      <c r="E19" s="11" t="s">
        <v>278</v>
      </c>
      <c r="F19" s="22" t="n">
        <v>3.1</v>
      </c>
      <c r="G19" s="13" t="n">
        <f aca="false">IFERROR(VLOOKUP(7,Recipes!$B$7:$G$323,6,FALSE()),0)</f>
        <v>0.725</v>
      </c>
      <c r="H19" s="23" t="n">
        <f aca="false">IFERROR((F19-G19)/F19,0)</f>
        <v>0.766129032258065</v>
      </c>
      <c r="I19" s="14"/>
    </row>
    <row r="20" customFormat="false" ht="15" hidden="false" customHeight="true" outlineLevel="0" collapsed="false">
      <c r="B20" s="14" t="n">
        <v>15</v>
      </c>
      <c r="C20" s="11" t="s">
        <v>277</v>
      </c>
      <c r="D20" s="11" t="s">
        <v>279</v>
      </c>
      <c r="E20" s="11" t="s">
        <v>278</v>
      </c>
      <c r="F20" s="22" t="n">
        <v>3.4</v>
      </c>
      <c r="G20" s="13" t="n">
        <f aca="false">IFERROR(VLOOKUP(9,Recipes!$B$7:$G$323,6,FALSE()),0)</f>
        <v>1.34</v>
      </c>
      <c r="H20" s="23" t="n">
        <f aca="false">IFERROR((F20-G20)/F20,0)</f>
        <v>0.605882352941177</v>
      </c>
      <c r="I20" s="14"/>
    </row>
    <row r="21" customFormat="false" ht="15" hidden="false" customHeight="true" outlineLevel="0" collapsed="false">
      <c r="B21" s="14" t="n">
        <v>16</v>
      </c>
      <c r="C21" s="11" t="s">
        <v>280</v>
      </c>
      <c r="D21" s="11" t="s">
        <v>268</v>
      </c>
      <c r="E21" s="11" t="s">
        <v>111</v>
      </c>
      <c r="F21" s="22" t="n">
        <v>3.8</v>
      </c>
      <c r="G21" s="13" t="n">
        <f aca="false">IFERROR(VLOOKUP(11,Recipes!$B$7:$G$323,6,FALSE()),0)</f>
        <v>0.347875</v>
      </c>
      <c r="H21" s="23" t="n">
        <f aca="false">IFERROR((F21-G21)/F21,0)</f>
        <v>0.908453947368421</v>
      </c>
      <c r="I21" s="14"/>
    </row>
    <row r="22" customFormat="false" ht="15" hidden="false" customHeight="true" outlineLevel="0" collapsed="false">
      <c r="B22" s="14" t="n">
        <v>17</v>
      </c>
      <c r="C22" s="11" t="s">
        <v>280</v>
      </c>
      <c r="D22" s="11" t="s">
        <v>266</v>
      </c>
      <c r="E22" s="11" t="s">
        <v>111</v>
      </c>
      <c r="F22" s="22" t="n">
        <v>4</v>
      </c>
      <c r="G22" s="13" t="n">
        <f aca="false">IFERROR(VLOOKUP(10,Recipes!$B$7:$G$323,6,FALSE()),0)</f>
        <v>0.367875</v>
      </c>
      <c r="H22" s="23" t="n">
        <f aca="false">IFERROR((F22-G22)/F22,0)</f>
        <v>0.90803125</v>
      </c>
      <c r="I22" s="14"/>
    </row>
    <row r="23" customFormat="false" ht="15" hidden="false" customHeight="true" outlineLevel="0" collapsed="false">
      <c r="B23" s="14" t="n">
        <v>18</v>
      </c>
      <c r="C23" s="11" t="s">
        <v>282</v>
      </c>
      <c r="D23" s="11" t="s">
        <v>268</v>
      </c>
      <c r="E23" s="11" t="s">
        <v>516</v>
      </c>
      <c r="F23" s="22" t="n">
        <v>4</v>
      </c>
      <c r="G23" s="13" t="n">
        <f aca="false">IFERROR(VLOOKUP(13,Recipes!$B$7:$G$323,6,FALSE()),0)</f>
        <v>0.674204111600587</v>
      </c>
      <c r="H23" s="23" t="n">
        <f aca="false">IFERROR((F23-G23)/F23,0)</f>
        <v>0.831448972099853</v>
      </c>
      <c r="I23" s="14" t="s">
        <v>283</v>
      </c>
    </row>
    <row r="24" customFormat="false" ht="15" hidden="false" customHeight="true" outlineLevel="0" collapsed="false">
      <c r="B24" s="14" t="n">
        <v>19</v>
      </c>
      <c r="C24" s="11" t="s">
        <v>282</v>
      </c>
      <c r="D24" s="11" t="s">
        <v>266</v>
      </c>
      <c r="E24" s="11" t="s">
        <v>516</v>
      </c>
      <c r="F24" s="22" t="n">
        <v>4.2</v>
      </c>
      <c r="G24" s="13" t="n">
        <f aca="false">IFERROR(VLOOKUP(12,Recipes!$B$7:$G$323,6,FALSE()),0)</f>
        <v>0.78213362701909</v>
      </c>
      <c r="H24" s="23" t="n">
        <f aca="false">IFERROR((F24-G24)/F24,0)</f>
        <v>0.813777707852598</v>
      </c>
      <c r="I24" s="14" t="s">
        <v>283</v>
      </c>
    </row>
    <row r="25" customFormat="false" ht="15" hidden="false" customHeight="true" outlineLevel="0" collapsed="false">
      <c r="B25" s="14" t="n">
        <v>20</v>
      </c>
      <c r="C25" s="11" t="s">
        <v>282</v>
      </c>
      <c r="D25" s="11" t="s">
        <v>279</v>
      </c>
      <c r="E25" s="11" t="s">
        <v>516</v>
      </c>
      <c r="F25" s="22" t="n">
        <v>4.6</v>
      </c>
      <c r="G25" s="13" t="n">
        <f aca="false">IFERROR(VLOOKUP(14,Recipes!$B$7:$G$323,6,FALSE()),0)</f>
        <v>0.900063142437592</v>
      </c>
      <c r="H25" s="23" t="n">
        <f aca="false">IFERROR((F25-G25)/F25,0)</f>
        <v>0.804334099470089</v>
      </c>
      <c r="I25" s="14" t="s">
        <v>283</v>
      </c>
    </row>
    <row r="26" customFormat="false" ht="15" hidden="false" customHeight="true" outlineLevel="0" collapsed="false">
      <c r="B26" s="14" t="n">
        <v>21</v>
      </c>
      <c r="C26" s="11" t="s">
        <v>285</v>
      </c>
      <c r="D26" s="11" t="s">
        <v>268</v>
      </c>
      <c r="E26" s="11" t="s">
        <v>516</v>
      </c>
      <c r="F26" s="22" t="n">
        <v>4</v>
      </c>
      <c r="G26" s="13" t="n">
        <f aca="false">IFERROR(VLOOKUP(16,Recipes!$B$7:$G$323,6,FALSE()),0)</f>
        <v>0.656204111600587</v>
      </c>
      <c r="H26" s="23" t="n">
        <f aca="false">IFERROR((F26-G26)/F26,0)</f>
        <v>0.835948972099853</v>
      </c>
      <c r="I26" s="14" t="s">
        <v>283</v>
      </c>
    </row>
    <row r="27" customFormat="false" ht="15" hidden="false" customHeight="true" outlineLevel="0" collapsed="false">
      <c r="B27" s="14" t="n">
        <v>22</v>
      </c>
      <c r="C27" s="11" t="s">
        <v>285</v>
      </c>
      <c r="D27" s="11" t="s">
        <v>266</v>
      </c>
      <c r="E27" s="11" t="s">
        <v>516</v>
      </c>
      <c r="F27" s="22" t="n">
        <v>4.2</v>
      </c>
      <c r="G27" s="13" t="n">
        <f aca="false">IFERROR(VLOOKUP(15,Recipes!$B$7:$G$323,6,FALSE()),0)</f>
        <v>0.76413362701909</v>
      </c>
      <c r="H27" s="23" t="n">
        <f aca="false">IFERROR((F27-G27)/F27,0)</f>
        <v>0.818063422138312</v>
      </c>
      <c r="I27" s="14" t="s">
        <v>283</v>
      </c>
    </row>
    <row r="28" customFormat="false" ht="15" hidden="false" customHeight="true" outlineLevel="0" collapsed="false">
      <c r="B28" s="14" t="n">
        <v>23</v>
      </c>
      <c r="C28" s="11" t="s">
        <v>285</v>
      </c>
      <c r="D28" s="11" t="s">
        <v>279</v>
      </c>
      <c r="E28" s="11" t="s">
        <v>516</v>
      </c>
      <c r="F28" s="22" t="n">
        <v>4.6</v>
      </c>
      <c r="G28" s="13" t="n">
        <f aca="false">IFERROR(VLOOKUP(17,Recipes!$B$7:$G$323,6,FALSE()),0)</f>
        <v>0.882063142437592</v>
      </c>
      <c r="H28" s="23" t="n">
        <f aca="false">IFERROR((F28-G28)/F28,0)</f>
        <v>0.80824714294835</v>
      </c>
      <c r="I28" s="14" t="s">
        <v>283</v>
      </c>
    </row>
    <row r="29" customFormat="false" ht="15" hidden="false" customHeight="true" outlineLevel="0" collapsed="false">
      <c r="B29" s="14" t="n">
        <v>24</v>
      </c>
      <c r="C29" s="11" t="s">
        <v>286</v>
      </c>
      <c r="D29" s="11" t="s">
        <v>268</v>
      </c>
      <c r="E29" s="11" t="s">
        <v>516</v>
      </c>
      <c r="F29" s="22" t="n">
        <v>4</v>
      </c>
      <c r="G29" s="13" t="n">
        <f aca="false">IFERROR(VLOOKUP(19,Recipes!$B$7:$G$323,6,FALSE()),0)</f>
        <v>0.656204111600587</v>
      </c>
      <c r="H29" s="23" t="n">
        <f aca="false">IFERROR((F29-G29)/F29,0)</f>
        <v>0.835948972099853</v>
      </c>
      <c r="I29" s="14" t="s">
        <v>283</v>
      </c>
    </row>
    <row r="30" customFormat="false" ht="15" hidden="false" customHeight="true" outlineLevel="0" collapsed="false">
      <c r="B30" s="14" t="n">
        <v>25</v>
      </c>
      <c r="C30" s="11" t="s">
        <v>286</v>
      </c>
      <c r="D30" s="11" t="s">
        <v>266</v>
      </c>
      <c r="E30" s="11" t="s">
        <v>516</v>
      </c>
      <c r="F30" s="22" t="n">
        <v>4.2</v>
      </c>
      <c r="G30" s="13" t="n">
        <f aca="false">IFERROR(VLOOKUP(18,Recipes!$B$7:$G$323,6,FALSE()),0)</f>
        <v>0.76413362701909</v>
      </c>
      <c r="H30" s="23" t="n">
        <f aca="false">IFERROR((F30-G30)/F30,0)</f>
        <v>0.818063422138312</v>
      </c>
      <c r="I30" s="14" t="s">
        <v>283</v>
      </c>
    </row>
    <row r="31" customFormat="false" ht="15" hidden="false" customHeight="true" outlineLevel="0" collapsed="false">
      <c r="B31" s="14" t="n">
        <v>26</v>
      </c>
      <c r="C31" s="11" t="s">
        <v>286</v>
      </c>
      <c r="D31" s="11" t="s">
        <v>279</v>
      </c>
      <c r="E31" s="11" t="s">
        <v>516</v>
      </c>
      <c r="F31" s="22" t="n">
        <v>4.6</v>
      </c>
      <c r="G31" s="13" t="n">
        <f aca="false">IFERROR(VLOOKUP(20,Recipes!$B$7:$G$323,6,FALSE()),0)</f>
        <v>0.882063142437592</v>
      </c>
      <c r="H31" s="23" t="n">
        <f aca="false">IFERROR((F31-G31)/F31,0)</f>
        <v>0.80824714294835</v>
      </c>
      <c r="I31" s="14" t="s">
        <v>283</v>
      </c>
    </row>
    <row r="32" customFormat="false" ht="15" hidden="false" customHeight="true" outlineLevel="0" collapsed="false">
      <c r="B32" s="14" t="n">
        <v>27</v>
      </c>
      <c r="C32" s="11" t="s">
        <v>449</v>
      </c>
      <c r="D32" s="11" t="s">
        <v>266</v>
      </c>
      <c r="E32" s="11" t="s">
        <v>514</v>
      </c>
      <c r="F32" s="22" t="n">
        <v>3.2</v>
      </c>
      <c r="G32" s="13" t="n">
        <f aca="false">IFERROR(VLOOKUP(275,Recipes!$B$7:$G$323,6,FALSE()),0)</f>
        <v>1.76</v>
      </c>
      <c r="H32" s="23" t="n">
        <f aca="false">IFERROR((F32-G32)/F32,0)</f>
        <v>0.45</v>
      </c>
      <c r="I32" s="14"/>
    </row>
    <row r="33" customFormat="false" ht="15" hidden="false" customHeight="true" outlineLevel="0" collapsed="false">
      <c r="B33" s="14" t="n">
        <v>28</v>
      </c>
      <c r="C33" s="11" t="s">
        <v>450</v>
      </c>
      <c r="D33" s="11" t="s">
        <v>266</v>
      </c>
      <c r="E33" s="11" t="s">
        <v>514</v>
      </c>
      <c r="F33" s="22" t="n">
        <v>2.05</v>
      </c>
      <c r="G33" s="13" t="n">
        <f aca="false">IFERROR(VLOOKUP(276,Recipes!$B$7:$G$323,6,FALSE()),0)</f>
        <v>1.09</v>
      </c>
      <c r="H33" s="23" t="n">
        <f aca="false">IFERROR((F33-G33)/F33,0)</f>
        <v>0.468292682926829</v>
      </c>
      <c r="I33" s="14"/>
    </row>
    <row r="34" customFormat="false" ht="15" hidden="false" customHeight="true" outlineLevel="0" collapsed="false">
      <c r="B34" s="14" t="n">
        <v>29</v>
      </c>
      <c r="C34" s="11" t="s">
        <v>287</v>
      </c>
      <c r="D34" s="11" t="s">
        <v>268</v>
      </c>
      <c r="E34" s="11" t="s">
        <v>517</v>
      </c>
      <c r="F34" s="22" t="n">
        <v>3.9</v>
      </c>
      <c r="G34" s="13" t="n">
        <f aca="false">IFERROR(VLOOKUP(22,Recipes!$B$7:$G$323,6,FALSE()),0)</f>
        <v>0.986894273127753</v>
      </c>
      <c r="H34" s="23" t="n">
        <f aca="false">IFERROR((F34-G34)/F34,0)</f>
        <v>0.746950186377499</v>
      </c>
      <c r="I34" s="14" t="s">
        <v>283</v>
      </c>
    </row>
    <row r="35" customFormat="false" ht="15" hidden="false" customHeight="true" outlineLevel="0" collapsed="false">
      <c r="B35" s="14" t="n">
        <v>30</v>
      </c>
      <c r="C35" s="11" t="s">
        <v>287</v>
      </c>
      <c r="D35" s="11" t="s">
        <v>266</v>
      </c>
      <c r="E35" s="11" t="s">
        <v>517</v>
      </c>
      <c r="F35" s="22" t="n">
        <v>4.1</v>
      </c>
      <c r="G35" s="13" t="n">
        <f aca="false">IFERROR(VLOOKUP(21,Recipes!$B$7:$G$323,6,FALSE()),0)</f>
        <v>1.09482378854626</v>
      </c>
      <c r="H35" s="23" t="n">
        <f aca="false">IFERROR((F35-G35)/F35,0)</f>
        <v>0.732969807671645</v>
      </c>
      <c r="I35" s="14" t="s">
        <v>283</v>
      </c>
    </row>
    <row r="36" customFormat="false" ht="15" hidden="false" customHeight="true" outlineLevel="0" collapsed="false">
      <c r="B36" s="14" t="n">
        <v>31</v>
      </c>
      <c r="C36" s="11" t="s">
        <v>287</v>
      </c>
      <c r="D36" s="11" t="s">
        <v>279</v>
      </c>
      <c r="E36" s="11" t="s">
        <v>517</v>
      </c>
      <c r="F36" s="22" t="n">
        <v>4.3</v>
      </c>
      <c r="G36" s="13" t="n">
        <f aca="false">IFERROR(VLOOKUP(23,Recipes!$B$7:$G$323,6,FALSE()),0)</f>
        <v>1.75378854625551</v>
      </c>
      <c r="H36" s="23" t="n">
        <f aca="false">IFERROR((F36-G36)/F36,0)</f>
        <v>0.592142198545231</v>
      </c>
      <c r="I36" s="14" t="s">
        <v>283</v>
      </c>
    </row>
    <row r="37" customFormat="false" ht="15" hidden="false" customHeight="true" outlineLevel="0" collapsed="false">
      <c r="B37" s="14" t="n">
        <v>32</v>
      </c>
      <c r="C37" s="11" t="s">
        <v>289</v>
      </c>
      <c r="D37" s="11" t="s">
        <v>268</v>
      </c>
      <c r="E37" s="11" t="s">
        <v>290</v>
      </c>
      <c r="F37" s="22" t="n">
        <v>4</v>
      </c>
      <c r="G37" s="13" t="n">
        <f aca="false">IFERROR(VLOOKUP(25,Recipes!$B$7:$G$323,6,FALSE()),0)</f>
        <v>0.421204111600587</v>
      </c>
      <c r="H37" s="23" t="n">
        <f aca="false">IFERROR((F37-G37)/F37,0)</f>
        <v>0.894698972099853</v>
      </c>
      <c r="I37" s="14"/>
    </row>
    <row r="38" customFormat="false" ht="15" hidden="false" customHeight="true" outlineLevel="0" collapsed="false">
      <c r="B38" s="14" t="n">
        <v>33</v>
      </c>
      <c r="C38" s="11" t="s">
        <v>289</v>
      </c>
      <c r="D38" s="11" t="s">
        <v>266</v>
      </c>
      <c r="E38" s="11" t="s">
        <v>290</v>
      </c>
      <c r="F38" s="22" t="n">
        <v>4.2</v>
      </c>
      <c r="G38" s="13" t="n">
        <f aca="false">IFERROR(VLOOKUP(24,Recipes!$B$7:$G$323,6,FALSE()),0)</f>
        <v>0.59913362701909</v>
      </c>
      <c r="H38" s="23" t="n">
        <f aca="false">IFERROR((F38-G38)/F38,0)</f>
        <v>0.857349136424026</v>
      </c>
      <c r="I38" s="14"/>
    </row>
    <row r="39" customFormat="false" ht="15" hidden="false" customHeight="true" outlineLevel="0" collapsed="false">
      <c r="B39" s="14" t="n">
        <v>34</v>
      </c>
      <c r="C39" s="11" t="s">
        <v>289</v>
      </c>
      <c r="D39" s="11" t="s">
        <v>279</v>
      </c>
      <c r="E39" s="11" t="s">
        <v>290</v>
      </c>
      <c r="F39" s="22" t="n">
        <v>4.4</v>
      </c>
      <c r="G39" s="13" t="n">
        <f aca="false">IFERROR(VLOOKUP(26,Recipes!$B$7:$G$323,6,FALSE()),0)</f>
        <v>0.787063142437592</v>
      </c>
      <c r="H39" s="23" t="n">
        <f aca="false">IFERROR((F39-G39)/F39,0)</f>
        <v>0.821122013082366</v>
      </c>
      <c r="I39" s="14"/>
    </row>
    <row r="40" customFormat="false" ht="15" hidden="false" customHeight="true" outlineLevel="0" collapsed="false">
      <c r="B40" s="14" t="n">
        <v>35</v>
      </c>
      <c r="C40" s="11" t="s">
        <v>291</v>
      </c>
      <c r="D40" s="11" t="s">
        <v>268</v>
      </c>
      <c r="E40" s="11" t="s">
        <v>291</v>
      </c>
      <c r="F40" s="22" t="n">
        <v>3.2</v>
      </c>
      <c r="G40" s="13" t="n">
        <f aca="false">IFERROR(VLOOKUP(28,Recipes!$B$7:$G$323,6,FALSE()),0)</f>
        <v>0.836894273127753</v>
      </c>
      <c r="H40" s="23" t="n">
        <f aca="false">IFERROR((F40-G40)/F40,0)</f>
        <v>0.738470539647577</v>
      </c>
      <c r="I40" s="14"/>
    </row>
    <row r="41" customFormat="false" ht="15" hidden="false" customHeight="true" outlineLevel="0" collapsed="false">
      <c r="B41" s="14" t="n">
        <v>36</v>
      </c>
      <c r="C41" s="11" t="s">
        <v>291</v>
      </c>
      <c r="D41" s="11" t="s">
        <v>266</v>
      </c>
      <c r="E41" s="11" t="s">
        <v>291</v>
      </c>
      <c r="F41" s="22" t="n">
        <v>3.5</v>
      </c>
      <c r="G41" s="13" t="n">
        <f aca="false">IFERROR(VLOOKUP(27,Recipes!$B$7:$G$323,6,FALSE()),0)</f>
        <v>0.944823788546256</v>
      </c>
      <c r="H41" s="23" t="n">
        <f aca="false">IFERROR((F41-G41)/F41,0)</f>
        <v>0.730050346129641</v>
      </c>
      <c r="I41" s="14"/>
    </row>
    <row r="42" customFormat="false" ht="15" hidden="false" customHeight="true" outlineLevel="0" collapsed="false">
      <c r="B42" s="14" t="n">
        <v>37</v>
      </c>
      <c r="C42" s="11" t="s">
        <v>291</v>
      </c>
      <c r="D42" s="11" t="s">
        <v>279</v>
      </c>
      <c r="E42" s="11" t="s">
        <v>291</v>
      </c>
      <c r="F42" s="22" t="n">
        <v>3.8</v>
      </c>
      <c r="G42" s="13" t="n">
        <f aca="false">IFERROR(VLOOKUP(29,Recipes!$B$7:$G$323,6,FALSE()),0)</f>
        <v>1.60378854625551</v>
      </c>
      <c r="H42" s="23" t="n">
        <f aca="false">IFERROR((F42-G42)/F42,0)</f>
        <v>0.57795038256434</v>
      </c>
      <c r="I42" s="14"/>
    </row>
    <row r="43" customFormat="false" ht="15" hidden="false" customHeight="true" outlineLevel="0" collapsed="false">
      <c r="B43" s="14" t="n">
        <v>38</v>
      </c>
      <c r="C43" s="11" t="s">
        <v>451</v>
      </c>
      <c r="D43" s="11" t="s">
        <v>266</v>
      </c>
      <c r="E43" s="11" t="s">
        <v>513</v>
      </c>
      <c r="F43" s="22" t="n">
        <v>1.6</v>
      </c>
      <c r="G43" s="13" t="n">
        <f aca="false">IFERROR(VLOOKUP(277,Recipes!$B$7:$G$323,6,FALSE()),0)</f>
        <v>0</v>
      </c>
      <c r="H43" s="23" t="n">
        <f aca="false">IFERROR((F43-G43)/F43,0)</f>
        <v>1</v>
      </c>
      <c r="I43" s="14"/>
    </row>
    <row r="44" customFormat="false" ht="15" hidden="false" customHeight="true" outlineLevel="0" collapsed="false">
      <c r="B44" s="14" t="n">
        <v>39</v>
      </c>
      <c r="C44" s="11" t="s">
        <v>452</v>
      </c>
      <c r="D44" s="11" t="s">
        <v>266</v>
      </c>
      <c r="E44" s="11" t="s">
        <v>518</v>
      </c>
      <c r="F44" s="22" t="n">
        <v>0.4</v>
      </c>
      <c r="G44" s="13" t="n">
        <f aca="false">IFERROR(VLOOKUP(278,Recipes!$B$7:$G$323,6,FALSE()),0)</f>
        <v>0.15</v>
      </c>
      <c r="H44" s="23" t="n">
        <f aca="false">IFERROR((F44-G44)/F44,0)</f>
        <v>0.625</v>
      </c>
      <c r="I44" s="14"/>
    </row>
    <row r="45" customFormat="false" ht="15" hidden="false" customHeight="true" outlineLevel="0" collapsed="false">
      <c r="B45" s="14" t="n">
        <v>40</v>
      </c>
      <c r="C45" s="11" t="s">
        <v>292</v>
      </c>
      <c r="D45" s="11" t="s">
        <v>268</v>
      </c>
      <c r="E45" s="11" t="s">
        <v>517</v>
      </c>
      <c r="F45" s="22" t="n">
        <v>3.4</v>
      </c>
      <c r="G45" s="13" t="n">
        <f aca="false">IFERROR(VLOOKUP(31,Recipes!$B$7:$G$323,6,FALSE()),0)</f>
        <v>0.551894273127753</v>
      </c>
      <c r="H45" s="23" t="n">
        <f aca="false">IFERROR((F45-G45)/F45,0)</f>
        <v>0.837678154962426</v>
      </c>
      <c r="I45" s="14"/>
    </row>
    <row r="46" customFormat="false" ht="15" hidden="false" customHeight="true" outlineLevel="0" collapsed="false">
      <c r="B46" s="14" t="n">
        <v>41</v>
      </c>
      <c r="C46" s="11" t="s">
        <v>292</v>
      </c>
      <c r="D46" s="11" t="s">
        <v>266</v>
      </c>
      <c r="E46" s="11" t="s">
        <v>517</v>
      </c>
      <c r="F46" s="22" t="n">
        <v>3.7</v>
      </c>
      <c r="G46" s="13" t="n">
        <f aca="false">IFERROR(VLOOKUP(30,Recipes!$B$7:$G$323,6,FALSE()),0)</f>
        <v>0.78784140969163</v>
      </c>
      <c r="H46" s="23" t="n">
        <f aca="false">IFERROR((F46-G46)/F46,0)</f>
        <v>0.787069889272532</v>
      </c>
      <c r="I46" s="14"/>
    </row>
    <row r="47" customFormat="false" ht="15" hidden="false" customHeight="true" outlineLevel="0" collapsed="false">
      <c r="B47" s="14" t="n">
        <v>42</v>
      </c>
      <c r="C47" s="11" t="s">
        <v>292</v>
      </c>
      <c r="D47" s="11" t="s">
        <v>279</v>
      </c>
      <c r="E47" s="11" t="s">
        <v>517</v>
      </c>
      <c r="F47" s="22" t="n">
        <v>4</v>
      </c>
      <c r="G47" s="13" t="n">
        <f aca="false">IFERROR(VLOOKUP(32,Recipes!$B$7:$G$323,6,FALSE()),0)</f>
        <v>1.03378854625551</v>
      </c>
      <c r="H47" s="23" t="n">
        <f aca="false">IFERROR((F47-G47)/F47,0)</f>
        <v>0.741552863436123</v>
      </c>
      <c r="I47" s="14"/>
    </row>
    <row r="48" customFormat="false" ht="15" hidden="false" customHeight="true" outlineLevel="0" collapsed="false">
      <c r="B48" s="14" t="n">
        <v>43</v>
      </c>
      <c r="C48" s="11" t="s">
        <v>294</v>
      </c>
      <c r="D48" s="11" t="s">
        <v>268</v>
      </c>
      <c r="E48" s="11" t="s">
        <v>267</v>
      </c>
      <c r="F48" s="22" t="n">
        <v>4.4</v>
      </c>
      <c r="G48" s="13" t="n">
        <f aca="false">IFERROR(VLOOKUP(34,Recipes!$B$7:$G$323,6,FALSE()),0)</f>
        <v>1.26241189427313</v>
      </c>
      <c r="H48" s="23" t="n">
        <f aca="false">IFERROR((F48-G48)/F48,0)</f>
        <v>0.713088205847017</v>
      </c>
      <c r="I48" s="14"/>
    </row>
    <row r="49" customFormat="false" ht="15" hidden="false" customHeight="true" outlineLevel="0" collapsed="false">
      <c r="B49" s="14" t="n">
        <v>44</v>
      </c>
      <c r="C49" s="11" t="s">
        <v>294</v>
      </c>
      <c r="D49" s="11" t="s">
        <v>266</v>
      </c>
      <c r="E49" s="11" t="s">
        <v>267</v>
      </c>
      <c r="F49" s="22" t="n">
        <v>4.6</v>
      </c>
      <c r="G49" s="13" t="n">
        <f aca="false">IFERROR(VLOOKUP(33,Recipes!$B$7:$G$323,6,FALSE()),0)</f>
        <v>1.29241189427313</v>
      </c>
      <c r="H49" s="23" t="n">
        <f aca="false">IFERROR((F49-G49)/F49,0)</f>
        <v>0.71904089254932</v>
      </c>
      <c r="I49" s="14"/>
    </row>
    <row r="50" customFormat="false" ht="15" hidden="false" customHeight="true" outlineLevel="0" collapsed="false">
      <c r="B50" s="14" t="n">
        <v>45</v>
      </c>
      <c r="C50" s="11" t="s">
        <v>295</v>
      </c>
      <c r="D50" s="11" t="s">
        <v>268</v>
      </c>
      <c r="E50" s="11" t="s">
        <v>267</v>
      </c>
      <c r="F50" s="22" t="n">
        <v>4.2</v>
      </c>
      <c r="G50" s="13" t="n">
        <f aca="false">IFERROR(VLOOKUP(36,Recipes!$B$7:$G$323,6,FALSE()),0)</f>
        <v>0.969911894273128</v>
      </c>
      <c r="H50" s="23" t="n">
        <f aca="false">IFERROR((F50-G50)/F50,0)</f>
        <v>0.769068596601636</v>
      </c>
      <c r="I50" s="14"/>
    </row>
    <row r="51" customFormat="false" ht="15" hidden="false" customHeight="true" outlineLevel="0" collapsed="false">
      <c r="B51" s="14" t="n">
        <v>46</v>
      </c>
      <c r="C51" s="11" t="s">
        <v>295</v>
      </c>
      <c r="D51" s="11" t="s">
        <v>266</v>
      </c>
      <c r="E51" s="11" t="s">
        <v>267</v>
      </c>
      <c r="F51" s="22" t="n">
        <v>4.6</v>
      </c>
      <c r="G51" s="13" t="n">
        <f aca="false">IFERROR(VLOOKUP(35,Recipes!$B$7:$G$323,6,FALSE()),0)</f>
        <v>0.999911894273128</v>
      </c>
      <c r="H51" s="23" t="n">
        <f aca="false">IFERROR((F51-G51)/F51,0)</f>
        <v>0.782627849071059</v>
      </c>
      <c r="I51" s="14"/>
    </row>
    <row r="52" customFormat="false" ht="15" hidden="false" customHeight="true" outlineLevel="0" collapsed="false">
      <c r="B52" s="14" t="n">
        <v>47</v>
      </c>
      <c r="C52" s="11" t="s">
        <v>297</v>
      </c>
      <c r="D52" s="11" t="s">
        <v>268</v>
      </c>
      <c r="E52" s="11" t="s">
        <v>290</v>
      </c>
      <c r="F52" s="22" t="n">
        <v>4</v>
      </c>
      <c r="G52" s="13" t="n">
        <f aca="false">IFERROR(VLOOKUP(39,Recipes!$B$7:$G$323,6,FALSE()),0)</f>
        <v>0.421204111600587</v>
      </c>
      <c r="H52" s="23" t="n">
        <f aca="false">IFERROR((F52-G52)/F52,0)</f>
        <v>0.894698972099853</v>
      </c>
      <c r="I52" s="14"/>
    </row>
    <row r="53" customFormat="false" ht="15" hidden="false" customHeight="true" outlineLevel="0" collapsed="false">
      <c r="B53" s="14" t="n">
        <v>48</v>
      </c>
      <c r="C53" s="11" t="s">
        <v>297</v>
      </c>
      <c r="D53" s="11" t="s">
        <v>266</v>
      </c>
      <c r="E53" s="11" t="s">
        <v>290</v>
      </c>
      <c r="F53" s="22" t="n">
        <v>4.2</v>
      </c>
      <c r="G53" s="13" t="n">
        <f aca="false">IFERROR(VLOOKUP(38,Recipes!$B$7:$G$323,6,FALSE()),0)</f>
        <v>0.59913362701909</v>
      </c>
      <c r="H53" s="23" t="n">
        <f aca="false">IFERROR((F53-G53)/F53,0)</f>
        <v>0.857349136424026</v>
      </c>
      <c r="I53" s="14"/>
    </row>
    <row r="54" customFormat="false" ht="15" hidden="false" customHeight="true" outlineLevel="0" collapsed="false">
      <c r="B54" s="14" t="n">
        <v>49</v>
      </c>
      <c r="C54" s="11" t="s">
        <v>297</v>
      </c>
      <c r="D54" s="11" t="s">
        <v>279</v>
      </c>
      <c r="E54" s="11" t="s">
        <v>290</v>
      </c>
      <c r="F54" s="22" t="n">
        <v>4.6</v>
      </c>
      <c r="G54" s="13" t="n">
        <f aca="false">IFERROR(VLOOKUP(40,Recipes!$B$7:$G$323,6,FALSE()),0)</f>
        <v>0.787063142437592</v>
      </c>
      <c r="H54" s="23" t="n">
        <f aca="false">IFERROR((F54-G54)/F54,0)</f>
        <v>0.828899316861393</v>
      </c>
      <c r="I54" s="14"/>
    </row>
    <row r="55" customFormat="false" ht="15" hidden="false" customHeight="true" outlineLevel="0" collapsed="false">
      <c r="B55" s="14" t="n">
        <v>50</v>
      </c>
      <c r="C55" s="11" t="s">
        <v>298</v>
      </c>
      <c r="D55" s="11" t="s">
        <v>268</v>
      </c>
      <c r="E55" s="11" t="s">
        <v>517</v>
      </c>
      <c r="F55" s="22" t="n">
        <v>3.9</v>
      </c>
      <c r="G55" s="13" t="n">
        <f aca="false">IFERROR(VLOOKUP(42,Recipes!$B$7:$G$323,6,FALSE()),0)</f>
        <v>0.836894273127753</v>
      </c>
      <c r="H55" s="23" t="n">
        <f aca="false">IFERROR((F55-G55)/F55,0)</f>
        <v>0.785411724839038</v>
      </c>
      <c r="I55" s="14"/>
    </row>
    <row r="56" customFormat="false" ht="15" hidden="false" customHeight="true" outlineLevel="0" collapsed="false">
      <c r="B56" s="14" t="n">
        <v>51</v>
      </c>
      <c r="C56" s="11" t="s">
        <v>298</v>
      </c>
      <c r="D56" s="11" t="s">
        <v>266</v>
      </c>
      <c r="E56" s="11" t="s">
        <v>517</v>
      </c>
      <c r="F56" s="22" t="n">
        <v>4.1</v>
      </c>
      <c r="G56" s="13" t="n">
        <f aca="false">IFERROR(VLOOKUP(41,Recipes!$B$7:$G$323,6,FALSE()),0)</f>
        <v>0.944823788546256</v>
      </c>
      <c r="H56" s="23" t="n">
        <f aca="false">IFERROR((F56-G56)/F56,0)</f>
        <v>0.769555173525304</v>
      </c>
      <c r="I56" s="14"/>
    </row>
    <row r="57" customFormat="false" ht="15" hidden="false" customHeight="true" outlineLevel="0" collapsed="false">
      <c r="B57" s="14" t="n">
        <v>52</v>
      </c>
      <c r="C57" s="11" t="s">
        <v>298</v>
      </c>
      <c r="D57" s="11" t="s">
        <v>279</v>
      </c>
      <c r="E57" s="11" t="s">
        <v>517</v>
      </c>
      <c r="F57" s="22" t="n">
        <v>4.5</v>
      </c>
      <c r="G57" s="13" t="n">
        <f aca="false">IFERROR(VLOOKUP(43,Recipes!$B$7:$G$323,6,FALSE()),0)</f>
        <v>1.60378854625551</v>
      </c>
      <c r="H57" s="23" t="n">
        <f aca="false">IFERROR((F57-G57)/F57,0)</f>
        <v>0.643602545276554</v>
      </c>
      <c r="I57" s="14"/>
    </row>
    <row r="58" customFormat="false" ht="15" hidden="false" customHeight="true" outlineLevel="0" collapsed="false">
      <c r="B58" s="14" t="n">
        <v>53</v>
      </c>
      <c r="C58" s="11" t="s">
        <v>296</v>
      </c>
      <c r="D58" s="11" t="s">
        <v>266</v>
      </c>
      <c r="E58" s="11" t="s">
        <v>514</v>
      </c>
      <c r="F58" s="22" t="n">
        <v>3</v>
      </c>
      <c r="G58" s="13" t="n">
        <f aca="false">IFERROR(VLOOKUP(37,Recipes!$B$7:$G$323,6,FALSE()),0)</f>
        <v>1.74</v>
      </c>
      <c r="H58" s="23" t="n">
        <f aca="false">IFERROR((F58-G58)/F58,0)</f>
        <v>0.42</v>
      </c>
      <c r="I58" s="14"/>
    </row>
    <row r="59" customFormat="false" ht="15" hidden="false" customHeight="true" outlineLevel="0" collapsed="false">
      <c r="B59" s="14" t="n">
        <v>54</v>
      </c>
      <c r="C59" s="11" t="s">
        <v>201</v>
      </c>
      <c r="D59" s="11" t="s">
        <v>266</v>
      </c>
      <c r="E59" s="11" t="s">
        <v>513</v>
      </c>
      <c r="F59" s="22" t="n">
        <v>1.9</v>
      </c>
      <c r="G59" s="13" t="n">
        <f aca="false">IFERROR(VLOOKUP(280,Recipes!$B$7:$G$323,6,FALSE()),0)</f>
        <v>0</v>
      </c>
      <c r="H59" s="23" t="n">
        <f aca="false">IFERROR((F59-G59)/F59,0)</f>
        <v>1</v>
      </c>
      <c r="I59" s="14"/>
    </row>
    <row r="60" customFormat="false" ht="15" hidden="false" customHeight="true" outlineLevel="0" collapsed="false">
      <c r="B60" s="14" t="n">
        <v>55</v>
      </c>
      <c r="C60" s="11" t="s">
        <v>456</v>
      </c>
      <c r="D60" s="11" t="s">
        <v>266</v>
      </c>
      <c r="E60" s="11" t="s">
        <v>518</v>
      </c>
      <c r="F60" s="22" t="n">
        <v>0.5</v>
      </c>
      <c r="G60" s="13" t="n">
        <f aca="false">IFERROR(VLOOKUP(281,Recipes!$B$7:$G$323,6,FALSE()),0)</f>
        <v>0.125</v>
      </c>
      <c r="H60" s="23" t="n">
        <f aca="false">IFERROR((F60-G60)/F60,0)</f>
        <v>0.75</v>
      </c>
      <c r="I60" s="14"/>
    </row>
    <row r="61" customFormat="false" ht="15" hidden="false" customHeight="true" outlineLevel="0" collapsed="false">
      <c r="B61" s="14" t="n">
        <v>56</v>
      </c>
      <c r="C61" s="11" t="s">
        <v>300</v>
      </c>
      <c r="D61" s="11" t="s">
        <v>268</v>
      </c>
      <c r="E61" s="11" t="s">
        <v>267</v>
      </c>
      <c r="F61" s="22" t="n">
        <v>4.1</v>
      </c>
      <c r="G61" s="13" t="n">
        <f aca="false">IFERROR(VLOOKUP(45,Recipes!$B$7:$G$323,6,FALSE()),0)</f>
        <v>1.05241189427313</v>
      </c>
      <c r="H61" s="23" t="n">
        <f aca="false">IFERROR((F61-G61)/F61,0)</f>
        <v>0.743314172128505</v>
      </c>
      <c r="I61" s="14"/>
    </row>
    <row r="62" customFormat="false" ht="15" hidden="false" customHeight="true" outlineLevel="0" collapsed="false">
      <c r="B62" s="14" t="n">
        <v>57</v>
      </c>
      <c r="C62" s="11" t="s">
        <v>300</v>
      </c>
      <c r="D62" s="11" t="s">
        <v>266</v>
      </c>
      <c r="E62" s="11" t="s">
        <v>267</v>
      </c>
      <c r="F62" s="22" t="n">
        <v>4.5</v>
      </c>
      <c r="G62" s="13" t="n">
        <f aca="false">IFERROR(VLOOKUP(44,Recipes!$B$7:$G$323,6,FALSE()),0)</f>
        <v>1.08241189427313</v>
      </c>
      <c r="H62" s="23" t="n">
        <f aca="false">IFERROR((F62-G62)/F62,0)</f>
        <v>0.75946402349486</v>
      </c>
      <c r="I62" s="14"/>
    </row>
    <row r="63" customFormat="false" ht="15" hidden="false" customHeight="true" outlineLevel="0" collapsed="false">
      <c r="B63" s="14" t="n">
        <v>58</v>
      </c>
      <c r="C63" s="11" t="s">
        <v>301</v>
      </c>
      <c r="D63" s="11" t="s">
        <v>274</v>
      </c>
      <c r="E63" s="11" t="s">
        <v>511</v>
      </c>
      <c r="F63" s="22" t="n">
        <v>3.1</v>
      </c>
      <c r="G63" s="13" t="n">
        <f aca="false">IFERROR(VLOOKUP(46,Recipes!$B$7:$G$323,6,FALSE()),0)</f>
        <v>0.836894273127753</v>
      </c>
      <c r="H63" s="23" t="n">
        <f aca="false">IFERROR((F63-G63)/F63,0)</f>
        <v>0.73003410544266</v>
      </c>
      <c r="I63" s="14"/>
    </row>
    <row r="64" customFormat="false" ht="15" hidden="false" customHeight="true" outlineLevel="0" collapsed="false">
      <c r="B64" s="14" t="n">
        <v>59</v>
      </c>
      <c r="C64" s="11" t="s">
        <v>458</v>
      </c>
      <c r="D64" s="11" t="s">
        <v>266</v>
      </c>
      <c r="E64" s="11" t="s">
        <v>519</v>
      </c>
      <c r="F64" s="22" t="n">
        <v>2.5</v>
      </c>
      <c r="G64" s="13" t="n">
        <f aca="false">IFERROR(VLOOKUP(282,Recipes!$B$7:$G$323,6,FALSE()),0)</f>
        <v>0.65</v>
      </c>
      <c r="H64" s="23" t="n">
        <f aca="false">IFERROR((F64-G64)/F64,0)</f>
        <v>0.74</v>
      </c>
      <c r="I64" s="14"/>
    </row>
    <row r="65" customFormat="false" ht="15" hidden="false" customHeight="true" outlineLevel="0" collapsed="false">
      <c r="B65" s="14" t="n">
        <v>60</v>
      </c>
      <c r="C65" s="11" t="s">
        <v>460</v>
      </c>
      <c r="D65" s="11" t="s">
        <v>266</v>
      </c>
      <c r="E65" s="11" t="s">
        <v>513</v>
      </c>
      <c r="F65" s="22" t="n">
        <v>1.9</v>
      </c>
      <c r="G65" s="13" t="n">
        <f aca="false">IFERROR(VLOOKUP(283,Recipes!$B$7:$G$323,6,FALSE()),0)</f>
        <v>0</v>
      </c>
      <c r="H65" s="23" t="n">
        <f aca="false">IFERROR((F65-G65)/F65,0)</f>
        <v>1</v>
      </c>
      <c r="I65" s="14"/>
    </row>
    <row r="66" customFormat="false" ht="15" hidden="false" customHeight="true" outlineLevel="0" collapsed="false">
      <c r="B66" s="14" t="n">
        <v>61</v>
      </c>
      <c r="C66" s="11" t="s">
        <v>302</v>
      </c>
      <c r="D66" s="11" t="s">
        <v>274</v>
      </c>
      <c r="E66" s="11" t="s">
        <v>111</v>
      </c>
      <c r="F66" s="22" t="n">
        <v>1.9</v>
      </c>
      <c r="G66" s="13" t="n">
        <f aca="false">IFERROR(VLOOKUP(47,Recipes!$B$7:$G$323,6,FALSE()),0)</f>
        <v>0.199875</v>
      </c>
      <c r="H66" s="23" t="n">
        <f aca="false">IFERROR((F66-G66)/F66,0)</f>
        <v>0.894802631578947</v>
      </c>
      <c r="I66" s="14" t="s">
        <v>275</v>
      </c>
    </row>
    <row r="67" customFormat="false" ht="15" hidden="false" customHeight="true" outlineLevel="0" collapsed="false">
      <c r="B67" s="14" t="n">
        <v>62</v>
      </c>
      <c r="C67" s="11" t="s">
        <v>303</v>
      </c>
      <c r="D67" s="11" t="s">
        <v>274</v>
      </c>
      <c r="E67" s="11" t="s">
        <v>520</v>
      </c>
      <c r="F67" s="22" t="n">
        <v>2</v>
      </c>
      <c r="G67" s="13" t="n">
        <f aca="false">IFERROR(VLOOKUP(48,Recipes!$B$7:$G$323,6,FALSE()),0)</f>
        <v>0.705</v>
      </c>
      <c r="H67" s="23" t="n">
        <f aca="false">IFERROR((F67-G67)/F67,0)</f>
        <v>0.6475</v>
      </c>
      <c r="I67" s="14"/>
    </row>
    <row r="68" customFormat="false" ht="15" hidden="false" customHeight="true" outlineLevel="0" collapsed="false">
      <c r="B68" s="14" t="n">
        <v>63</v>
      </c>
      <c r="C68" s="11" t="s">
        <v>305</v>
      </c>
      <c r="D68" s="11" t="s">
        <v>274</v>
      </c>
      <c r="E68" s="11" t="s">
        <v>520</v>
      </c>
      <c r="F68" s="22" t="n">
        <v>2.4</v>
      </c>
      <c r="G68" s="13" t="n">
        <f aca="false">IFERROR(VLOOKUP(49,Recipes!$B$7:$G$323,6,FALSE()),0)</f>
        <v>0.841</v>
      </c>
      <c r="H68" s="23" t="n">
        <f aca="false">IFERROR((F68-G68)/F68,0)</f>
        <v>0.649583333333333</v>
      </c>
      <c r="I68" s="14"/>
    </row>
    <row r="69" customFormat="false" ht="15" hidden="false" customHeight="true" outlineLevel="0" collapsed="false">
      <c r="B69" s="14" t="n">
        <v>64</v>
      </c>
      <c r="C69" s="11" t="s">
        <v>307</v>
      </c>
      <c r="D69" s="11" t="s">
        <v>274</v>
      </c>
      <c r="E69" s="11" t="s">
        <v>511</v>
      </c>
      <c r="F69" s="22" t="n">
        <v>2.1</v>
      </c>
      <c r="G69" s="13" t="n">
        <f aca="false">IFERROR(VLOOKUP(50,Recipes!$B$7:$G$323,6,FALSE()),0)</f>
        <v>0.814911894273128</v>
      </c>
      <c r="H69" s="23" t="n">
        <f aca="false">IFERROR((F69-G69)/F69,0)</f>
        <v>0.611946717012796</v>
      </c>
      <c r="I69" s="14"/>
    </row>
    <row r="70" customFormat="false" ht="15" hidden="false" customHeight="true" outlineLevel="0" collapsed="false">
      <c r="B70" s="14" t="n">
        <v>65</v>
      </c>
      <c r="C70" s="11" t="s">
        <v>309</v>
      </c>
      <c r="D70" s="11" t="s">
        <v>274</v>
      </c>
      <c r="E70" s="11" t="s">
        <v>111</v>
      </c>
      <c r="F70" s="22" t="n">
        <v>1.9</v>
      </c>
      <c r="G70" s="13" t="n">
        <f aca="false">IFERROR(VLOOKUP(51,Recipes!$B$7:$G$323,6,FALSE()),0)</f>
        <v>0.199875</v>
      </c>
      <c r="H70" s="23" t="n">
        <f aca="false">IFERROR((F70-G70)/F70,0)</f>
        <v>0.894802631578947</v>
      </c>
      <c r="I70" s="14" t="s">
        <v>275</v>
      </c>
    </row>
    <row r="71" customFormat="false" ht="15" hidden="false" customHeight="true" outlineLevel="0" collapsed="false">
      <c r="B71" s="26" t="n">
        <v>66</v>
      </c>
      <c r="C71" s="26" t="s">
        <v>310</v>
      </c>
      <c r="D71" s="26" t="s">
        <v>268</v>
      </c>
      <c r="E71" s="26" t="s">
        <v>515</v>
      </c>
      <c r="F71" s="27" t="n">
        <v>0</v>
      </c>
      <c r="G71" s="27" t="n">
        <f aca="false">IFERROR(VLOOKUP(53,Recipes!$B$7:$G$323,6,FALSE()),0)</f>
        <v>0</v>
      </c>
      <c r="H71" s="28" t="n">
        <f aca="false">IFERROR((F71-G71)/F71,0)</f>
        <v>0</v>
      </c>
      <c r="I71" s="26"/>
    </row>
    <row r="72" customFormat="false" ht="15" hidden="false" customHeight="true" outlineLevel="0" collapsed="false">
      <c r="B72" s="26" t="n">
        <v>67</v>
      </c>
      <c r="C72" s="26" t="s">
        <v>310</v>
      </c>
      <c r="D72" s="26" t="s">
        <v>266</v>
      </c>
      <c r="E72" s="26" t="s">
        <v>515</v>
      </c>
      <c r="F72" s="27" t="n">
        <v>0</v>
      </c>
      <c r="G72" s="27" t="n">
        <f aca="false">IFERROR(VLOOKUP(52,Recipes!$B$7:$G$323,6,FALSE()),0)</f>
        <v>0</v>
      </c>
      <c r="H72" s="28" t="n">
        <f aca="false">IFERROR((F72-G72)/F72,0)</f>
        <v>0</v>
      </c>
      <c r="I72" s="26"/>
    </row>
    <row r="73" customFormat="false" ht="15" hidden="false" customHeight="true" outlineLevel="0" collapsed="false">
      <c r="B73" s="14" t="n">
        <v>68</v>
      </c>
      <c r="C73" s="11" t="s">
        <v>312</v>
      </c>
      <c r="D73" s="11" t="s">
        <v>274</v>
      </c>
      <c r="E73" s="11" t="s">
        <v>111</v>
      </c>
      <c r="F73" s="22" t="n">
        <v>1.9</v>
      </c>
      <c r="G73" s="13" t="n">
        <f aca="false">IFERROR(VLOOKUP(54,Recipes!$B$7:$G$323,6,FALSE()),0)</f>
        <v>0.199875</v>
      </c>
      <c r="H73" s="23" t="n">
        <f aca="false">IFERROR((F73-G73)/F73,0)</f>
        <v>0.894802631578947</v>
      </c>
      <c r="I73" s="14" t="s">
        <v>275</v>
      </c>
    </row>
    <row r="74" customFormat="false" ht="15" hidden="false" customHeight="true" outlineLevel="0" collapsed="false">
      <c r="B74" s="14" t="n">
        <v>69</v>
      </c>
      <c r="C74" s="11" t="s">
        <v>313</v>
      </c>
      <c r="D74" s="11" t="s">
        <v>268</v>
      </c>
      <c r="E74" s="11" t="s">
        <v>520</v>
      </c>
      <c r="F74" s="22" t="n">
        <v>3.5</v>
      </c>
      <c r="G74" s="13" t="n">
        <f aca="false">IFERROR(VLOOKUP(56,Recipes!$B$7:$G$323,6,FALSE()),0)</f>
        <v>1.55833333333333</v>
      </c>
      <c r="H74" s="23" t="n">
        <f aca="false">IFERROR((F74-G74)/F74,0)</f>
        <v>0.554761904761905</v>
      </c>
      <c r="I74" s="14"/>
    </row>
    <row r="75" customFormat="false" ht="15" hidden="false" customHeight="true" outlineLevel="0" collapsed="false">
      <c r="B75" s="14" t="n">
        <v>70</v>
      </c>
      <c r="C75" s="11" t="s">
        <v>313</v>
      </c>
      <c r="D75" s="11" t="s">
        <v>266</v>
      </c>
      <c r="E75" s="11" t="s">
        <v>520</v>
      </c>
      <c r="F75" s="22" t="n">
        <v>3.7</v>
      </c>
      <c r="G75" s="13" t="n">
        <f aca="false">IFERROR(VLOOKUP(55,Recipes!$B$7:$G$323,6,FALSE()),0)</f>
        <v>1.58833333333333</v>
      </c>
      <c r="H75" s="23" t="n">
        <f aca="false">IFERROR((F75-G75)/F75,0)</f>
        <v>0.570720720720721</v>
      </c>
      <c r="I75" s="14"/>
    </row>
    <row r="76" customFormat="false" ht="15" hidden="false" customHeight="true" outlineLevel="0" collapsed="false">
      <c r="B76" s="14" t="n">
        <v>71</v>
      </c>
      <c r="C76" s="11" t="s">
        <v>461</v>
      </c>
      <c r="D76" s="11" t="s">
        <v>266</v>
      </c>
      <c r="E76" s="11" t="s">
        <v>520</v>
      </c>
      <c r="F76" s="22" t="n">
        <v>0.5</v>
      </c>
      <c r="G76" s="13" t="n">
        <f aca="false">IFERROR(VLOOKUP(284,Recipes!$B$7:$G$323,6,FALSE()),0)</f>
        <v>0.2925</v>
      </c>
      <c r="H76" s="23" t="n">
        <f aca="false">IFERROR((F76-G76)/F76,0)</f>
        <v>0.415</v>
      </c>
      <c r="I76" s="14"/>
    </row>
    <row r="77" customFormat="false" ht="15" hidden="false" customHeight="true" outlineLevel="0" collapsed="false">
      <c r="B77" s="14" t="n">
        <v>72</v>
      </c>
      <c r="C77" s="11" t="s">
        <v>203</v>
      </c>
      <c r="D77" s="11" t="s">
        <v>266</v>
      </c>
      <c r="E77" s="11" t="s">
        <v>513</v>
      </c>
      <c r="F77" s="22" t="n">
        <v>1.9</v>
      </c>
      <c r="G77" s="13" t="n">
        <f aca="false">IFERROR(VLOOKUP(285,Recipes!$B$7:$G$323,6,FALSE()),0)</f>
        <v>0</v>
      </c>
      <c r="H77" s="23" t="n">
        <f aca="false">IFERROR((F77-G77)/F77,0)</f>
        <v>1</v>
      </c>
      <c r="I77" s="14"/>
    </row>
    <row r="78" customFormat="false" ht="15" hidden="false" customHeight="true" outlineLevel="0" collapsed="false">
      <c r="B78" s="14" t="n">
        <v>73</v>
      </c>
      <c r="C78" s="11" t="s">
        <v>315</v>
      </c>
      <c r="D78" s="11" t="s">
        <v>274</v>
      </c>
      <c r="E78" s="11" t="s">
        <v>316</v>
      </c>
      <c r="F78" s="22" t="n">
        <v>3.25</v>
      </c>
      <c r="G78" s="13" t="n">
        <f aca="false">IFERROR(VLOOKUP(57,Recipes!$B$7:$G$323,6,FALSE()),0)</f>
        <v>0.836894273127753</v>
      </c>
      <c r="H78" s="23" t="n">
        <f aca="false">IFERROR((F78-G78)/F78,0)</f>
        <v>0.742494069806845</v>
      </c>
      <c r="I78" s="14"/>
    </row>
    <row r="79" customFormat="false" ht="15" hidden="false" customHeight="true" outlineLevel="0" collapsed="false">
      <c r="B79" s="14" t="n">
        <v>74</v>
      </c>
      <c r="C79" s="11" t="s">
        <v>317</v>
      </c>
      <c r="D79" s="11" t="s">
        <v>274</v>
      </c>
      <c r="E79" s="11" t="s">
        <v>111</v>
      </c>
      <c r="F79" s="22" t="n">
        <v>2</v>
      </c>
      <c r="G79" s="13" t="n">
        <f aca="false">IFERROR(VLOOKUP(58,Recipes!$B$7:$G$323,6,FALSE()),0)</f>
        <v>0.199875</v>
      </c>
      <c r="H79" s="23" t="n">
        <f aca="false">IFERROR((F79-G79)/F79,0)</f>
        <v>0.9000625</v>
      </c>
      <c r="I79" s="14"/>
    </row>
    <row r="80" customFormat="false" ht="15" hidden="false" customHeight="true" outlineLevel="0" collapsed="false">
      <c r="B80" s="14" t="n">
        <v>75</v>
      </c>
      <c r="C80" s="11" t="s">
        <v>318</v>
      </c>
      <c r="D80" s="11" t="s">
        <v>274</v>
      </c>
      <c r="E80" s="11" t="s">
        <v>111</v>
      </c>
      <c r="F80" s="22" t="n">
        <v>2</v>
      </c>
      <c r="G80" s="13" t="n">
        <f aca="false">IFERROR(VLOOKUP(59,Recipes!$B$7:$G$323,6,FALSE()),0)</f>
        <v>0.199875</v>
      </c>
      <c r="H80" s="23" t="n">
        <f aca="false">IFERROR((F80-G80)/F80,0)</f>
        <v>0.9000625</v>
      </c>
      <c r="I80" s="14"/>
    </row>
    <row r="81" customFormat="false" ht="15" hidden="false" customHeight="true" outlineLevel="0" collapsed="false">
      <c r="B81" s="14" t="n">
        <v>76</v>
      </c>
      <c r="C81" s="11" t="s">
        <v>319</v>
      </c>
      <c r="D81" s="11" t="s">
        <v>274</v>
      </c>
      <c r="E81" s="11" t="s">
        <v>111</v>
      </c>
      <c r="F81" s="22" t="n">
        <v>1.9</v>
      </c>
      <c r="G81" s="13" t="n">
        <f aca="false">IFERROR(VLOOKUP(60,Recipes!$B$7:$G$323,6,FALSE()),0)</f>
        <v>0.199875</v>
      </c>
      <c r="H81" s="23" t="n">
        <f aca="false">IFERROR((F81-G81)/F81,0)</f>
        <v>0.894802631578947</v>
      </c>
      <c r="I81" s="14" t="s">
        <v>275</v>
      </c>
    </row>
    <row r="82" customFormat="false" ht="15" hidden="false" customHeight="true" outlineLevel="0" collapsed="false">
      <c r="B82" s="14" t="n">
        <v>77</v>
      </c>
      <c r="C82" s="11" t="s">
        <v>320</v>
      </c>
      <c r="D82" s="11" t="s">
        <v>268</v>
      </c>
      <c r="E82" s="11" t="s">
        <v>321</v>
      </c>
      <c r="F82" s="22" t="n">
        <v>4.4</v>
      </c>
      <c r="G82" s="13" t="n">
        <f aca="false">IFERROR(VLOOKUP(62,Recipes!$B$7:$G$323,6,FALSE()),0)</f>
        <v>0.55529919236417</v>
      </c>
      <c r="H82" s="23" t="n">
        <f aca="false">IFERROR((F82-G82)/F82,0)</f>
        <v>0.873795638099052</v>
      </c>
      <c r="I82" s="14"/>
    </row>
    <row r="83" customFormat="false" ht="15" hidden="false" customHeight="true" outlineLevel="0" collapsed="false">
      <c r="B83" s="14" t="n">
        <v>78</v>
      </c>
      <c r="C83" s="11" t="s">
        <v>320</v>
      </c>
      <c r="D83" s="11" t="s">
        <v>266</v>
      </c>
      <c r="E83" s="11" t="s">
        <v>321</v>
      </c>
      <c r="F83" s="22" t="n">
        <v>4.8</v>
      </c>
      <c r="G83" s="13" t="n">
        <f aca="false">IFERROR(VLOOKUP(61,Recipes!$B$7:$G$323,6,FALSE()),0)</f>
        <v>0.58529919236417</v>
      </c>
      <c r="H83" s="23" t="n">
        <f aca="false">IFERROR((F83-G83)/F83,0)</f>
        <v>0.878062668257464</v>
      </c>
      <c r="I83" s="14"/>
    </row>
    <row r="84" customFormat="false" ht="15" hidden="false" customHeight="true" outlineLevel="0" collapsed="false">
      <c r="B84" s="14" t="n">
        <v>79</v>
      </c>
      <c r="C84" s="11" t="s">
        <v>467</v>
      </c>
      <c r="D84" s="11" t="s">
        <v>266</v>
      </c>
      <c r="E84" s="11" t="s">
        <v>519</v>
      </c>
      <c r="F84" s="22" t="n">
        <v>3.6</v>
      </c>
      <c r="G84" s="13" t="n">
        <f aca="false">IFERROR(VLOOKUP(288,Recipes!$B$7:$G$323,6,FALSE()),0)</f>
        <v>0.65</v>
      </c>
      <c r="H84" s="23" t="n">
        <f aca="false">IFERROR((F84-G84)/F84,0)</f>
        <v>0.819444444444444</v>
      </c>
      <c r="I84" s="14"/>
    </row>
    <row r="85" customFormat="false" ht="15" hidden="false" customHeight="true" outlineLevel="0" collapsed="false">
      <c r="B85" s="14" t="n">
        <v>80</v>
      </c>
      <c r="C85" s="11" t="s">
        <v>463</v>
      </c>
      <c r="D85" s="11" t="s">
        <v>266</v>
      </c>
      <c r="E85" s="11" t="s">
        <v>519</v>
      </c>
      <c r="F85" s="22" t="n">
        <v>4</v>
      </c>
      <c r="G85" s="13" t="n">
        <f aca="false">IFERROR(VLOOKUP(286,Recipes!$B$7:$G$323,6,FALSE()),0)</f>
        <v>0</v>
      </c>
      <c r="H85" s="23" t="n">
        <f aca="false">IFERROR((F85-G85)/F85,0)</f>
        <v>1</v>
      </c>
      <c r="I85" s="14"/>
    </row>
    <row r="86" customFormat="false" ht="15" hidden="false" customHeight="true" outlineLevel="0" collapsed="false">
      <c r="B86" s="14" t="n">
        <v>81</v>
      </c>
      <c r="C86" s="11" t="s">
        <v>465</v>
      </c>
      <c r="D86" s="11" t="s">
        <v>266</v>
      </c>
      <c r="E86" s="11" t="s">
        <v>519</v>
      </c>
      <c r="F86" s="22" t="n">
        <v>4.2</v>
      </c>
      <c r="G86" s="13" t="n">
        <f aca="false">IFERROR(VLOOKUP(287,Recipes!$B$7:$G$323,6,FALSE()),0)</f>
        <v>0</v>
      </c>
      <c r="H86" s="23" t="n">
        <f aca="false">IFERROR((F86-G86)/F86,0)</f>
        <v>1</v>
      </c>
      <c r="I86" s="14"/>
    </row>
    <row r="87" customFormat="false" ht="15" hidden="false" customHeight="true" outlineLevel="0" collapsed="false">
      <c r="B87" s="14" t="n">
        <v>82</v>
      </c>
      <c r="C87" s="11" t="s">
        <v>469</v>
      </c>
      <c r="D87" s="11" t="s">
        <v>266</v>
      </c>
      <c r="E87" s="11" t="s">
        <v>511</v>
      </c>
      <c r="F87" s="22" t="n">
        <v>3.8</v>
      </c>
      <c r="G87" s="13" t="n">
        <f aca="false">IFERROR(VLOOKUP(289,Recipes!$B$7:$G$323,6,FALSE()),0)</f>
        <v>0</v>
      </c>
      <c r="H87" s="23" t="n">
        <f aca="false">IFERROR((F87-G87)/F87,0)</f>
        <v>1</v>
      </c>
      <c r="I87" s="14"/>
    </row>
    <row r="88" customFormat="false" ht="15" hidden="false" customHeight="true" outlineLevel="0" collapsed="false">
      <c r="B88" s="14" t="n">
        <v>83</v>
      </c>
      <c r="C88" s="11" t="s">
        <v>471</v>
      </c>
      <c r="D88" s="11" t="s">
        <v>266</v>
      </c>
      <c r="E88" s="11" t="s">
        <v>511</v>
      </c>
      <c r="F88" s="22" t="n">
        <v>3</v>
      </c>
      <c r="G88" s="13" t="n">
        <f aca="false">IFERROR(VLOOKUP(290,Recipes!$B$7:$G$323,6,FALSE()),0)</f>
        <v>0</v>
      </c>
      <c r="H88" s="23" t="n">
        <f aca="false">IFERROR((F88-G88)/F88,0)</f>
        <v>1</v>
      </c>
      <c r="I88" s="14"/>
    </row>
    <row r="89" customFormat="false" ht="15" hidden="false" customHeight="true" outlineLevel="0" collapsed="false">
      <c r="B89" s="14" t="n">
        <v>84</v>
      </c>
      <c r="C89" s="11" t="s">
        <v>322</v>
      </c>
      <c r="D89" s="11" t="s">
        <v>268</v>
      </c>
      <c r="E89" s="11" t="s">
        <v>321</v>
      </c>
      <c r="F89" s="22" t="n">
        <v>4.4</v>
      </c>
      <c r="G89" s="13" t="n">
        <f aca="false">IFERROR(VLOOKUP(64,Recipes!$B$7:$G$323,6,FALSE()),0)</f>
        <v>0.74129919236417</v>
      </c>
      <c r="H89" s="23" t="n">
        <f aca="false">IFERROR((F89-G89)/F89,0)</f>
        <v>0.831522910826325</v>
      </c>
      <c r="I89" s="14"/>
    </row>
    <row r="90" customFormat="false" ht="15" hidden="false" customHeight="true" outlineLevel="0" collapsed="false">
      <c r="B90" s="14" t="n">
        <v>85</v>
      </c>
      <c r="C90" s="11" t="s">
        <v>322</v>
      </c>
      <c r="D90" s="11" t="s">
        <v>266</v>
      </c>
      <c r="E90" s="11" t="s">
        <v>321</v>
      </c>
      <c r="F90" s="22" t="n">
        <v>4.8</v>
      </c>
      <c r="G90" s="13" t="n">
        <f aca="false">IFERROR(VLOOKUP(63,Recipes!$B$7:$G$323,6,FALSE()),0)</f>
        <v>0.77129919236417</v>
      </c>
      <c r="H90" s="23" t="n">
        <f aca="false">IFERROR((F90-G90)/F90,0)</f>
        <v>0.839312668257464</v>
      </c>
      <c r="I90" s="14"/>
    </row>
    <row r="91" customFormat="false" ht="15" hidden="false" customHeight="true" outlineLevel="0" collapsed="false">
      <c r="B91" s="14" t="n">
        <v>86</v>
      </c>
      <c r="C91" s="11" t="s">
        <v>323</v>
      </c>
      <c r="D91" s="11" t="s">
        <v>268</v>
      </c>
      <c r="E91" s="11" t="s">
        <v>517</v>
      </c>
      <c r="F91" s="22" t="n">
        <v>3.9</v>
      </c>
      <c r="G91" s="13" t="n">
        <f aca="false">IFERROR(VLOOKUP(66,Recipes!$B$7:$G$323,6,FALSE()),0)</f>
        <v>1.07989427312775</v>
      </c>
      <c r="H91" s="23" t="n">
        <f aca="false">IFERROR((F91-G91)/F91,0)</f>
        <v>0.723104032531345</v>
      </c>
      <c r="I91" s="14" t="s">
        <v>283</v>
      </c>
    </row>
    <row r="92" customFormat="false" ht="15" hidden="false" customHeight="true" outlineLevel="0" collapsed="false">
      <c r="B92" s="14" t="n">
        <v>87</v>
      </c>
      <c r="C92" s="11" t="s">
        <v>323</v>
      </c>
      <c r="D92" s="11" t="s">
        <v>266</v>
      </c>
      <c r="E92" s="11" t="s">
        <v>517</v>
      </c>
      <c r="F92" s="22" t="n">
        <v>4.1</v>
      </c>
      <c r="G92" s="13" t="n">
        <f aca="false">IFERROR(VLOOKUP(65,Recipes!$B$7:$G$323,6,FALSE()),0)</f>
        <v>1.18782378854626</v>
      </c>
      <c r="H92" s="23" t="n">
        <f aca="false">IFERROR((F92-G92)/F92,0)</f>
        <v>0.710286880842377</v>
      </c>
      <c r="I92" s="14" t="s">
        <v>283</v>
      </c>
    </row>
    <row r="93" customFormat="false" ht="15" hidden="false" customHeight="true" outlineLevel="0" collapsed="false">
      <c r="B93" s="14" t="n">
        <v>88</v>
      </c>
      <c r="C93" s="11" t="s">
        <v>323</v>
      </c>
      <c r="D93" s="11" t="s">
        <v>279</v>
      </c>
      <c r="E93" s="11" t="s">
        <v>517</v>
      </c>
      <c r="F93" s="22" t="n">
        <v>4.3</v>
      </c>
      <c r="G93" s="13" t="n">
        <f aca="false">IFERROR(VLOOKUP(67,Recipes!$B$7:$G$323,6,FALSE()),0)</f>
        <v>1.84678854625551</v>
      </c>
      <c r="H93" s="23" t="n">
        <f aca="false">IFERROR((F93-G93)/F93,0)</f>
        <v>0.570514291568487</v>
      </c>
      <c r="I93" s="14" t="s">
        <v>283</v>
      </c>
    </row>
    <row r="94" customFormat="false" ht="15" hidden="false" customHeight="true" outlineLevel="0" collapsed="false">
      <c r="B94" s="14" t="n">
        <v>89</v>
      </c>
      <c r="C94" s="11" t="s">
        <v>325</v>
      </c>
      <c r="D94" s="11" t="s">
        <v>268</v>
      </c>
      <c r="E94" s="11" t="s">
        <v>290</v>
      </c>
      <c r="F94" s="22" t="n">
        <v>3.4</v>
      </c>
      <c r="G94" s="13" t="n">
        <f aca="false">IFERROR(VLOOKUP(69,Recipes!$B$7:$G$323,6,FALSE()),0)</f>
        <v>0.421204111600587</v>
      </c>
      <c r="H94" s="23" t="n">
        <f aca="false">IFERROR((F94-G94)/F94,0)</f>
        <v>0.876116437764533</v>
      </c>
      <c r="I94" s="14"/>
    </row>
    <row r="95" customFormat="false" ht="15" hidden="false" customHeight="true" outlineLevel="0" collapsed="false">
      <c r="B95" s="14" t="n">
        <v>90</v>
      </c>
      <c r="C95" s="11" t="s">
        <v>325</v>
      </c>
      <c r="D95" s="11" t="s">
        <v>266</v>
      </c>
      <c r="E95" s="11" t="s">
        <v>290</v>
      </c>
      <c r="F95" s="22" t="n">
        <v>3.7</v>
      </c>
      <c r="G95" s="13" t="n">
        <f aca="false">IFERROR(VLOOKUP(68,Recipes!$B$7:$G$323,6,FALSE()),0)</f>
        <v>0.59913362701909</v>
      </c>
      <c r="H95" s="23" t="n">
        <f aca="false">IFERROR((F95-G95)/F95,0)</f>
        <v>0.838071992697543</v>
      </c>
      <c r="I95" s="14"/>
    </row>
    <row r="96" customFormat="false" ht="15" hidden="false" customHeight="true" outlineLevel="0" collapsed="false">
      <c r="B96" s="14" t="n">
        <v>91</v>
      </c>
      <c r="C96" s="11" t="s">
        <v>325</v>
      </c>
      <c r="D96" s="11" t="s">
        <v>279</v>
      </c>
      <c r="E96" s="11" t="s">
        <v>290</v>
      </c>
      <c r="F96" s="22" t="n">
        <v>4</v>
      </c>
      <c r="G96" s="13" t="n">
        <f aca="false">IFERROR(VLOOKUP(70,Recipes!$B$7:$G$323,6,FALSE()),0)</f>
        <v>0.787063142437592</v>
      </c>
      <c r="H96" s="23" t="n">
        <f aca="false">IFERROR((F96-G96)/F96,0)</f>
        <v>0.803234214390602</v>
      </c>
      <c r="I96" s="14"/>
    </row>
    <row r="97" customFormat="false" ht="15" hidden="false" customHeight="true" outlineLevel="0" collapsed="false">
      <c r="B97" s="14" t="n">
        <v>92</v>
      </c>
      <c r="C97" s="11" t="s">
        <v>326</v>
      </c>
      <c r="D97" s="11" t="s">
        <v>268</v>
      </c>
      <c r="E97" s="11" t="s">
        <v>516</v>
      </c>
      <c r="F97" s="22" t="n">
        <v>3.6</v>
      </c>
      <c r="G97" s="13" t="n">
        <f aca="false">IFERROR(VLOOKUP(72,Recipes!$B$7:$G$323,6,FALSE()),0)</f>
        <v>0.947348818582299</v>
      </c>
      <c r="H97" s="23" t="n">
        <f aca="false">IFERROR((F97-G97)/F97,0)</f>
        <v>0.736847550393806</v>
      </c>
      <c r="I97" s="14"/>
    </row>
    <row r="98" customFormat="false" ht="15" hidden="false" customHeight="true" outlineLevel="0" collapsed="false">
      <c r="B98" s="14" t="n">
        <v>93</v>
      </c>
      <c r="C98" s="11" t="s">
        <v>326</v>
      </c>
      <c r="D98" s="11" t="s">
        <v>266</v>
      </c>
      <c r="E98" s="11" t="s">
        <v>516</v>
      </c>
      <c r="F98" s="22" t="n">
        <v>3.9</v>
      </c>
      <c r="G98" s="13" t="n">
        <f aca="false">IFERROR(VLOOKUP(71,Recipes!$B$7:$G$323,6,FALSE()),0)</f>
        <v>1.04062341476438</v>
      </c>
      <c r="H98" s="23" t="n">
        <f aca="false">IFERROR((F98-G98)/F98,0)</f>
        <v>0.733173483393748</v>
      </c>
      <c r="I98" s="14"/>
    </row>
    <row r="99" customFormat="false" ht="15" hidden="false" customHeight="true" outlineLevel="0" collapsed="false">
      <c r="B99" s="14" t="n">
        <v>94</v>
      </c>
      <c r="C99" s="11" t="s">
        <v>326</v>
      </c>
      <c r="D99" s="11" t="s">
        <v>279</v>
      </c>
      <c r="E99" s="11" t="s">
        <v>516</v>
      </c>
      <c r="F99" s="22" t="n">
        <v>4.2</v>
      </c>
      <c r="G99" s="13" t="n">
        <f aca="false">IFERROR(VLOOKUP(73,Recipes!$B$7:$G$323,6,FALSE()),0)</f>
        <v>1.14389801094647</v>
      </c>
      <c r="H99" s="23" t="n">
        <f aca="false">IFERROR((F99-G99)/F99,0)</f>
        <v>0.727643330727031</v>
      </c>
      <c r="I99" s="14"/>
    </row>
    <row r="100" customFormat="false" ht="15" hidden="false" customHeight="true" outlineLevel="0" collapsed="false">
      <c r="B100" s="14" t="n">
        <v>95</v>
      </c>
      <c r="C100" s="11" t="s">
        <v>328</v>
      </c>
      <c r="D100" s="11" t="s">
        <v>268</v>
      </c>
      <c r="E100" s="11" t="s">
        <v>516</v>
      </c>
      <c r="F100" s="22" t="n">
        <v>3.4</v>
      </c>
      <c r="G100" s="13" t="n">
        <f aca="false">IFERROR(VLOOKUP(75,Recipes!$B$7:$G$323,6,FALSE()),0)</f>
        <v>0.797348818582299</v>
      </c>
      <c r="H100" s="23" t="n">
        <f aca="false">IFERROR((F100-G100)/F100,0)</f>
        <v>0.765485641593442</v>
      </c>
      <c r="I100" s="14"/>
    </row>
    <row r="101" customFormat="false" ht="15" hidden="false" customHeight="true" outlineLevel="0" collapsed="false">
      <c r="B101" s="14" t="n">
        <v>96</v>
      </c>
      <c r="C101" s="11" t="s">
        <v>328</v>
      </c>
      <c r="D101" s="11" t="s">
        <v>266</v>
      </c>
      <c r="E101" s="11" t="s">
        <v>516</v>
      </c>
      <c r="F101" s="22" t="n">
        <v>3.7</v>
      </c>
      <c r="G101" s="13" t="n">
        <f aca="false">IFERROR(VLOOKUP(74,Recipes!$B$7:$G$323,6,FALSE()),0)</f>
        <v>0.890623414764384</v>
      </c>
      <c r="H101" s="23" t="n">
        <f aca="false">IFERROR((F101-G101)/F101,0)</f>
        <v>0.759290968982599</v>
      </c>
      <c r="I101" s="14"/>
    </row>
    <row r="102" customFormat="false" ht="15" hidden="false" customHeight="true" outlineLevel="0" collapsed="false">
      <c r="B102" s="14" t="n">
        <v>97</v>
      </c>
      <c r="C102" s="11" t="s">
        <v>328</v>
      </c>
      <c r="D102" s="11" t="s">
        <v>279</v>
      </c>
      <c r="E102" s="11" t="s">
        <v>516</v>
      </c>
      <c r="F102" s="22" t="n">
        <v>3.9</v>
      </c>
      <c r="G102" s="13" t="n">
        <f aca="false">IFERROR(VLOOKUP(76,Recipes!$B$7:$G$323,6,FALSE()),0)</f>
        <v>0.993898010946469</v>
      </c>
      <c r="H102" s="23" t="n">
        <f aca="false">IFERROR((F102-G102)/F102,0)</f>
        <v>0.745154356167572</v>
      </c>
      <c r="I102" s="14"/>
    </row>
    <row r="103" customFormat="false" ht="15" hidden="false" customHeight="true" outlineLevel="0" collapsed="false">
      <c r="B103" s="14" t="n">
        <v>98</v>
      </c>
      <c r="C103" s="11" t="s">
        <v>329</v>
      </c>
      <c r="D103" s="11" t="s">
        <v>268</v>
      </c>
      <c r="E103" s="11" t="s">
        <v>516</v>
      </c>
      <c r="F103" s="22" t="n">
        <v>3.6</v>
      </c>
      <c r="G103" s="13" t="n">
        <f aca="false">IFERROR(VLOOKUP(78,Recipes!$B$7:$G$323,6,FALSE()),0)</f>
        <v>0.947348818582299</v>
      </c>
      <c r="H103" s="23" t="n">
        <f aca="false">IFERROR((F103-G103)/F103,0)</f>
        <v>0.736847550393806</v>
      </c>
      <c r="I103" s="14"/>
    </row>
    <row r="104" customFormat="false" ht="15" hidden="false" customHeight="true" outlineLevel="0" collapsed="false">
      <c r="B104" s="14" t="n">
        <v>99</v>
      </c>
      <c r="C104" s="11" t="s">
        <v>329</v>
      </c>
      <c r="D104" s="11" t="s">
        <v>266</v>
      </c>
      <c r="E104" s="11" t="s">
        <v>516</v>
      </c>
      <c r="F104" s="22" t="n">
        <v>3.9</v>
      </c>
      <c r="G104" s="13" t="n">
        <f aca="false">IFERROR(VLOOKUP(77,Recipes!$B$7:$G$323,6,FALSE()),0)</f>
        <v>1.04062341476438</v>
      </c>
      <c r="H104" s="23" t="n">
        <f aca="false">IFERROR((F104-G104)/F104,0)</f>
        <v>0.733173483393748</v>
      </c>
      <c r="I104" s="14"/>
    </row>
    <row r="105" customFormat="false" ht="15" hidden="false" customHeight="true" outlineLevel="0" collapsed="false">
      <c r="B105" s="14" t="n">
        <v>100</v>
      </c>
      <c r="C105" s="11" t="s">
        <v>329</v>
      </c>
      <c r="D105" s="11" t="s">
        <v>279</v>
      </c>
      <c r="E105" s="11" t="s">
        <v>516</v>
      </c>
      <c r="F105" s="22" t="n">
        <v>4.2</v>
      </c>
      <c r="G105" s="13" t="n">
        <f aca="false">IFERROR(VLOOKUP(79,Recipes!$B$7:$G$323,6,FALSE()),0)</f>
        <v>1.14389801094647</v>
      </c>
      <c r="H105" s="23" t="n">
        <f aca="false">IFERROR((F105-G105)/F105,0)</f>
        <v>0.727643330727031</v>
      </c>
      <c r="I105" s="14"/>
    </row>
    <row r="106" customFormat="false" ht="15" hidden="false" customHeight="true" outlineLevel="0" collapsed="false">
      <c r="B106" s="14" t="n">
        <v>101</v>
      </c>
      <c r="C106" s="11" t="s">
        <v>330</v>
      </c>
      <c r="D106" s="11" t="s">
        <v>268</v>
      </c>
      <c r="E106" s="11" t="s">
        <v>516</v>
      </c>
      <c r="F106" s="22" t="n">
        <v>3.6</v>
      </c>
      <c r="G106" s="13" t="n">
        <f aca="false">IFERROR(VLOOKUP(81,Recipes!$B$7:$G$323,6,FALSE()),0)</f>
        <v>0.947348818582299</v>
      </c>
      <c r="H106" s="23" t="n">
        <f aca="false">IFERROR((F106-G106)/F106,0)</f>
        <v>0.736847550393806</v>
      </c>
      <c r="I106" s="14"/>
    </row>
    <row r="107" customFormat="false" ht="15" hidden="false" customHeight="true" outlineLevel="0" collapsed="false">
      <c r="B107" s="14" t="n">
        <v>102</v>
      </c>
      <c r="C107" s="11" t="s">
        <v>330</v>
      </c>
      <c r="D107" s="11" t="s">
        <v>266</v>
      </c>
      <c r="E107" s="11" t="s">
        <v>516</v>
      </c>
      <c r="F107" s="22" t="n">
        <v>3.9</v>
      </c>
      <c r="G107" s="13" t="n">
        <f aca="false">IFERROR(VLOOKUP(80,Recipes!$B$7:$G$323,6,FALSE()),0)</f>
        <v>1.04062341476438</v>
      </c>
      <c r="H107" s="23" t="n">
        <f aca="false">IFERROR((F107-G107)/F107,0)</f>
        <v>0.733173483393748</v>
      </c>
      <c r="I107" s="14"/>
    </row>
    <row r="108" customFormat="false" ht="15" hidden="false" customHeight="true" outlineLevel="0" collapsed="false">
      <c r="B108" s="14" t="n">
        <v>103</v>
      </c>
      <c r="C108" s="11" t="s">
        <v>330</v>
      </c>
      <c r="D108" s="11" t="s">
        <v>279</v>
      </c>
      <c r="E108" s="11" t="s">
        <v>516</v>
      </c>
      <c r="F108" s="22" t="n">
        <v>4.2</v>
      </c>
      <c r="G108" s="13" t="n">
        <f aca="false">IFERROR(VLOOKUP(82,Recipes!$B$7:$G$323,6,FALSE()),0)</f>
        <v>1.14389801094647</v>
      </c>
      <c r="H108" s="23" t="n">
        <f aca="false">IFERROR((F108-G108)/F108,0)</f>
        <v>0.727643330727031</v>
      </c>
      <c r="I108" s="14"/>
    </row>
    <row r="109" customFormat="false" ht="15" hidden="false" customHeight="true" outlineLevel="0" collapsed="false">
      <c r="B109" s="14" t="n">
        <v>104</v>
      </c>
      <c r="C109" s="11" t="s">
        <v>331</v>
      </c>
      <c r="D109" s="11" t="s">
        <v>268</v>
      </c>
      <c r="E109" s="11" t="s">
        <v>516</v>
      </c>
      <c r="F109" s="22" t="n">
        <v>3.6</v>
      </c>
      <c r="G109" s="13" t="n">
        <f aca="false">IFERROR(VLOOKUP(84,Recipes!$B$7:$G$323,6,FALSE()),0)</f>
        <v>0.947348818582299</v>
      </c>
      <c r="H109" s="23" t="n">
        <f aca="false">IFERROR((F109-G109)/F109,0)</f>
        <v>0.736847550393806</v>
      </c>
      <c r="I109" s="14"/>
    </row>
    <row r="110" customFormat="false" ht="15" hidden="false" customHeight="true" outlineLevel="0" collapsed="false">
      <c r="B110" s="14" t="n">
        <v>105</v>
      </c>
      <c r="C110" s="11" t="s">
        <v>331</v>
      </c>
      <c r="D110" s="11" t="s">
        <v>266</v>
      </c>
      <c r="E110" s="11" t="s">
        <v>516</v>
      </c>
      <c r="F110" s="22" t="n">
        <v>3.9</v>
      </c>
      <c r="G110" s="13" t="n">
        <f aca="false">IFERROR(VLOOKUP(83,Recipes!$B$7:$G$323,6,FALSE()),0)</f>
        <v>1.04062341476438</v>
      </c>
      <c r="H110" s="23" t="n">
        <f aca="false">IFERROR((F110-G110)/F110,0)</f>
        <v>0.733173483393748</v>
      </c>
      <c r="I110" s="14"/>
    </row>
    <row r="111" customFormat="false" ht="15" hidden="false" customHeight="true" outlineLevel="0" collapsed="false">
      <c r="B111" s="14" t="n">
        <v>106</v>
      </c>
      <c r="C111" s="11" t="s">
        <v>331</v>
      </c>
      <c r="D111" s="11" t="s">
        <v>279</v>
      </c>
      <c r="E111" s="11" t="s">
        <v>516</v>
      </c>
      <c r="F111" s="22" t="n">
        <v>4.2</v>
      </c>
      <c r="G111" s="13" t="n">
        <f aca="false">IFERROR(VLOOKUP(85,Recipes!$B$7:$G$323,6,FALSE()),0)</f>
        <v>1.14389801094647</v>
      </c>
      <c r="H111" s="23" t="n">
        <f aca="false">IFERROR((F111-G111)/F111,0)</f>
        <v>0.727643330727031</v>
      </c>
      <c r="I111" s="14"/>
    </row>
    <row r="112" customFormat="false" ht="15" hidden="false" customHeight="true" outlineLevel="0" collapsed="false">
      <c r="B112" s="14" t="n">
        <v>107</v>
      </c>
      <c r="C112" s="11" t="s">
        <v>332</v>
      </c>
      <c r="D112" s="11" t="s">
        <v>268</v>
      </c>
      <c r="E112" s="11" t="s">
        <v>516</v>
      </c>
      <c r="F112" s="22" t="n">
        <v>3.6</v>
      </c>
      <c r="G112" s="13" t="n">
        <f aca="false">IFERROR(VLOOKUP(87,Recipes!$B$7:$G$323,6,FALSE()),0)</f>
        <v>0.797348818582299</v>
      </c>
      <c r="H112" s="23" t="n">
        <f aca="false">IFERROR((F112-G112)/F112,0)</f>
        <v>0.778514217060473</v>
      </c>
      <c r="I112" s="14"/>
    </row>
    <row r="113" customFormat="false" ht="15" hidden="false" customHeight="true" outlineLevel="0" collapsed="false">
      <c r="B113" s="14" t="n">
        <v>108</v>
      </c>
      <c r="C113" s="11" t="s">
        <v>332</v>
      </c>
      <c r="D113" s="11" t="s">
        <v>266</v>
      </c>
      <c r="E113" s="11" t="s">
        <v>516</v>
      </c>
      <c r="F113" s="22" t="n">
        <v>3.9</v>
      </c>
      <c r="G113" s="13" t="n">
        <f aca="false">IFERROR(VLOOKUP(86,Recipes!$B$7:$G$323,6,FALSE()),0)</f>
        <v>0.890623414764384</v>
      </c>
      <c r="H113" s="23" t="n">
        <f aca="false">IFERROR((F113-G113)/F113,0)</f>
        <v>0.771635021855286</v>
      </c>
      <c r="I113" s="14"/>
    </row>
    <row r="114" customFormat="false" ht="15" hidden="false" customHeight="true" outlineLevel="0" collapsed="false">
      <c r="B114" s="14" t="n">
        <v>109</v>
      </c>
      <c r="C114" s="11" t="s">
        <v>332</v>
      </c>
      <c r="D114" s="11" t="s">
        <v>279</v>
      </c>
      <c r="E114" s="11" t="s">
        <v>516</v>
      </c>
      <c r="F114" s="22" t="n">
        <v>4.2</v>
      </c>
      <c r="G114" s="13" t="n">
        <f aca="false">IFERROR(VLOOKUP(88,Recipes!$B$7:$G$323,6,FALSE()),0)</f>
        <v>0.993898010946469</v>
      </c>
      <c r="H114" s="23" t="n">
        <f aca="false">IFERROR((F114-G114)/F114,0)</f>
        <v>0.763357616441317</v>
      </c>
      <c r="I114" s="14"/>
    </row>
    <row r="115" customFormat="false" ht="15" hidden="false" customHeight="true" outlineLevel="0" collapsed="false">
      <c r="B115" s="14" t="n">
        <v>110</v>
      </c>
      <c r="C115" s="11" t="s">
        <v>472</v>
      </c>
      <c r="D115" s="11" t="s">
        <v>266</v>
      </c>
      <c r="E115" s="11" t="s">
        <v>516</v>
      </c>
      <c r="F115" s="22" t="n">
        <v>4</v>
      </c>
      <c r="G115" s="13" t="n">
        <f aca="false">IFERROR(VLOOKUP(291,Recipes!$B$7:$G$323,6,FALSE()),0)</f>
        <v>1.04062341476438</v>
      </c>
      <c r="H115" s="23" t="n">
        <f aca="false">IFERROR((F115-G115)/F115,0)</f>
        <v>0.739844146308904</v>
      </c>
      <c r="I115" s="14"/>
    </row>
    <row r="116" customFormat="false" ht="15" hidden="false" customHeight="true" outlineLevel="0" collapsed="false">
      <c r="B116" s="14" t="n">
        <v>111</v>
      </c>
      <c r="C116" s="11" t="s">
        <v>473</v>
      </c>
      <c r="D116" s="11" t="s">
        <v>266</v>
      </c>
      <c r="E116" s="11" t="s">
        <v>516</v>
      </c>
      <c r="F116" s="22" t="n">
        <v>4</v>
      </c>
      <c r="G116" s="13" t="n">
        <f aca="false">IFERROR(VLOOKUP(292,Recipes!$B$7:$G$323,6,FALSE()),0)</f>
        <v>0.61413362701909</v>
      </c>
      <c r="H116" s="23" t="n">
        <f aca="false">IFERROR((F116-G116)/F116,0)</f>
        <v>0.846466593245228</v>
      </c>
      <c r="I116" s="14"/>
    </row>
    <row r="117" customFormat="false" ht="15" hidden="false" customHeight="true" outlineLevel="0" collapsed="false">
      <c r="B117" s="14" t="n">
        <v>112</v>
      </c>
      <c r="C117" s="11" t="s">
        <v>362</v>
      </c>
      <c r="D117" s="11" t="s">
        <v>268</v>
      </c>
      <c r="E117" s="11" t="s">
        <v>516</v>
      </c>
      <c r="F117" s="22" t="n">
        <v>4</v>
      </c>
      <c r="G117" s="13" t="n">
        <f aca="false">IFERROR(VLOOKUP(138,Recipes!$B$7:$G$323,6,FALSE()),0)</f>
        <v>0.930711520491256</v>
      </c>
      <c r="H117" s="23" t="n">
        <f aca="false">IFERROR((F117-G117)/F117,0)</f>
        <v>0.767322119877186</v>
      </c>
      <c r="I117" s="14"/>
    </row>
    <row r="118" customFormat="false" ht="15" hidden="false" customHeight="true" outlineLevel="0" collapsed="false">
      <c r="B118" s="14" t="n">
        <v>113</v>
      </c>
      <c r="C118" s="11" t="s">
        <v>362</v>
      </c>
      <c r="D118" s="11" t="s">
        <v>266</v>
      </c>
      <c r="E118" s="11" t="s">
        <v>516</v>
      </c>
      <c r="F118" s="22" t="n">
        <v>4.4</v>
      </c>
      <c r="G118" s="13" t="n">
        <f aca="false">IFERROR(VLOOKUP(137,Recipes!$B$7:$G$323,6,FALSE()),0)</f>
        <v>1.01200373781872</v>
      </c>
      <c r="H118" s="23" t="n">
        <f aca="false">IFERROR((F118-G118)/F118,0)</f>
        <v>0.769999150495746</v>
      </c>
      <c r="I118" s="14"/>
    </row>
    <row r="119" customFormat="false" ht="15" hidden="false" customHeight="true" outlineLevel="0" collapsed="false">
      <c r="B119" s="14" t="n">
        <v>114</v>
      </c>
      <c r="C119" s="11" t="s">
        <v>363</v>
      </c>
      <c r="D119" s="11" t="s">
        <v>268</v>
      </c>
      <c r="E119" s="11" t="s">
        <v>278</v>
      </c>
      <c r="F119" s="22" t="n">
        <v>2.9</v>
      </c>
      <c r="G119" s="13" t="n">
        <f aca="false">IFERROR(VLOOKUP(140,Recipes!$B$7:$G$323,6,FALSE()),0)</f>
        <v>0.725</v>
      </c>
      <c r="H119" s="23" t="n">
        <f aca="false">IFERROR((F119-G119)/F119,0)</f>
        <v>0.75</v>
      </c>
      <c r="I119" s="14"/>
    </row>
    <row r="120" customFormat="false" ht="15" hidden="false" customHeight="true" outlineLevel="0" collapsed="false">
      <c r="B120" s="14" t="n">
        <v>115</v>
      </c>
      <c r="C120" s="11" t="s">
        <v>363</v>
      </c>
      <c r="D120" s="11" t="s">
        <v>266</v>
      </c>
      <c r="E120" s="11" t="s">
        <v>278</v>
      </c>
      <c r="F120" s="22" t="n">
        <v>3.1</v>
      </c>
      <c r="G120" s="13" t="n">
        <f aca="false">IFERROR(VLOOKUP(139,Recipes!$B$7:$G$323,6,FALSE()),0)</f>
        <v>0.755</v>
      </c>
      <c r="H120" s="23" t="n">
        <f aca="false">IFERROR((F120-G120)/F120,0)</f>
        <v>0.756451612903226</v>
      </c>
      <c r="I120" s="14"/>
    </row>
    <row r="121" customFormat="false" ht="15" hidden="false" customHeight="true" outlineLevel="0" collapsed="false">
      <c r="B121" s="14" t="n">
        <v>116</v>
      </c>
      <c r="C121" s="11" t="s">
        <v>333</v>
      </c>
      <c r="D121" s="11" t="s">
        <v>268</v>
      </c>
      <c r="E121" s="11" t="s">
        <v>517</v>
      </c>
      <c r="F121" s="22" t="n">
        <v>3.9</v>
      </c>
      <c r="G121" s="13" t="n">
        <f aca="false">IFERROR(VLOOKUP(90,Recipes!$B$7:$G$323,6,FALSE()),0)</f>
        <v>0.834911894273128</v>
      </c>
      <c r="H121" s="23" t="n">
        <f aca="false">IFERROR((F121-G121)/F121,0)</f>
        <v>0.785920027109454</v>
      </c>
      <c r="I121" s="14"/>
    </row>
    <row r="122" customFormat="false" ht="15" hidden="false" customHeight="true" outlineLevel="0" collapsed="false">
      <c r="B122" s="14" t="n">
        <v>117</v>
      </c>
      <c r="C122" s="11" t="s">
        <v>333</v>
      </c>
      <c r="D122" s="11" t="s">
        <v>266</v>
      </c>
      <c r="E122" s="11" t="s">
        <v>517</v>
      </c>
      <c r="F122" s="22" t="n">
        <v>4.1</v>
      </c>
      <c r="G122" s="13" t="n">
        <f aca="false">IFERROR(VLOOKUP(89,Recipes!$B$7:$G$323,6,FALSE()),0)</f>
        <v>0.90154919236417</v>
      </c>
      <c r="H122" s="23" t="n">
        <f aca="false">IFERROR((F122-G122)/F122,0)</f>
        <v>0.78010995308191</v>
      </c>
      <c r="I122" s="14"/>
    </row>
    <row r="123" customFormat="false" ht="15" hidden="false" customHeight="true" outlineLevel="0" collapsed="false">
      <c r="B123" s="14" t="n">
        <v>118</v>
      </c>
      <c r="C123" s="11" t="s">
        <v>365</v>
      </c>
      <c r="D123" s="11" t="s">
        <v>268</v>
      </c>
      <c r="E123" s="11" t="s">
        <v>291</v>
      </c>
      <c r="F123" s="22" t="n">
        <v>3.4</v>
      </c>
      <c r="G123" s="13" t="n">
        <f aca="false">IFERROR(VLOOKUP(142,Recipes!$B$7:$G$323,6,FALSE()),0)</f>
        <v>0.834911894273128</v>
      </c>
      <c r="H123" s="23" t="n">
        <f aca="false">IFERROR((F123-G123)/F123,0)</f>
        <v>0.754437678154962</v>
      </c>
      <c r="I123" s="14"/>
    </row>
    <row r="124" customFormat="false" ht="15" hidden="false" customHeight="true" outlineLevel="0" collapsed="false">
      <c r="B124" s="14" t="n">
        <v>119</v>
      </c>
      <c r="C124" s="11" t="s">
        <v>365</v>
      </c>
      <c r="D124" s="11" t="s">
        <v>266</v>
      </c>
      <c r="E124" s="11" t="s">
        <v>291</v>
      </c>
      <c r="F124" s="22" t="n">
        <v>3.6</v>
      </c>
      <c r="G124" s="13" t="n">
        <f aca="false">IFERROR(VLOOKUP(141,Recipes!$B$7:$G$323,6,FALSE()),0)</f>
        <v>0.90154919236417</v>
      </c>
      <c r="H124" s="23" t="n">
        <f aca="false">IFERROR((F124-G124)/F124,0)</f>
        <v>0.749569668787731</v>
      </c>
      <c r="I124" s="14"/>
    </row>
    <row r="125" customFormat="false" ht="15" hidden="false" customHeight="true" outlineLevel="0" collapsed="false">
      <c r="B125" s="14" t="n">
        <v>120</v>
      </c>
      <c r="C125" s="11" t="s">
        <v>367</v>
      </c>
      <c r="D125" s="11" t="s">
        <v>268</v>
      </c>
      <c r="E125" s="11" t="s">
        <v>521</v>
      </c>
      <c r="F125" s="22" t="n">
        <v>3.5</v>
      </c>
      <c r="G125" s="13" t="n">
        <f aca="false">IFERROR(VLOOKUP(144,Recipes!$B$7:$G$323,6,FALSE()),0)</f>
        <v>0.834911894273128</v>
      </c>
      <c r="H125" s="23" t="n">
        <f aca="false">IFERROR((F125-G125)/F125,0)</f>
        <v>0.761453744493392</v>
      </c>
      <c r="I125" s="14"/>
    </row>
    <row r="126" customFormat="false" ht="15" hidden="false" customHeight="true" outlineLevel="0" collapsed="false">
      <c r="B126" s="14" t="n">
        <v>121</v>
      </c>
      <c r="C126" s="11" t="s">
        <v>367</v>
      </c>
      <c r="D126" s="11" t="s">
        <v>266</v>
      </c>
      <c r="E126" s="11" t="s">
        <v>521</v>
      </c>
      <c r="F126" s="22" t="n">
        <v>3.8</v>
      </c>
      <c r="G126" s="13" t="n">
        <f aca="false">IFERROR(VLOOKUP(143,Recipes!$B$7:$G$323,6,FALSE()),0)</f>
        <v>0.90154919236417</v>
      </c>
      <c r="H126" s="23" t="n">
        <f aca="false">IFERROR((F126-G126)/F126,0)</f>
        <v>0.762750212535745</v>
      </c>
      <c r="I126" s="14"/>
    </row>
    <row r="127" customFormat="false" ht="15" hidden="false" customHeight="true" outlineLevel="0" collapsed="false">
      <c r="B127" s="14" t="n">
        <v>122</v>
      </c>
      <c r="C127" s="11" t="s">
        <v>335</v>
      </c>
      <c r="D127" s="11" t="s">
        <v>268</v>
      </c>
      <c r="E127" s="11" t="s">
        <v>517</v>
      </c>
      <c r="F127" s="22" t="n">
        <v>3.9</v>
      </c>
      <c r="G127" s="13" t="n">
        <f aca="false">IFERROR(VLOOKUP(92,Recipes!$B$7:$G$323,6,FALSE()),0)</f>
        <v>0.834911894273128</v>
      </c>
      <c r="H127" s="23" t="n">
        <f aca="false">IFERROR((F127-G127)/F127,0)</f>
        <v>0.785920027109454</v>
      </c>
      <c r="I127" s="14"/>
    </row>
    <row r="128" customFormat="false" ht="15" hidden="false" customHeight="true" outlineLevel="0" collapsed="false">
      <c r="B128" s="14" t="n">
        <v>123</v>
      </c>
      <c r="C128" s="11" t="s">
        <v>335</v>
      </c>
      <c r="D128" s="11" t="s">
        <v>266</v>
      </c>
      <c r="E128" s="11" t="s">
        <v>517</v>
      </c>
      <c r="F128" s="22" t="n">
        <v>4.1</v>
      </c>
      <c r="G128" s="13" t="n">
        <f aca="false">IFERROR(VLOOKUP(91,Recipes!$B$7:$G$323,6,FALSE()),0)</f>
        <v>0.90154919236417</v>
      </c>
      <c r="H128" s="23" t="n">
        <f aca="false">IFERROR((F128-G128)/F128,0)</f>
        <v>0.78010995308191</v>
      </c>
      <c r="I128" s="14"/>
    </row>
    <row r="129" customFormat="false" ht="15" hidden="false" customHeight="true" outlineLevel="0" collapsed="false">
      <c r="B129" s="14" t="n">
        <v>124</v>
      </c>
      <c r="C129" s="11" t="s">
        <v>336</v>
      </c>
      <c r="D129" s="11" t="s">
        <v>268</v>
      </c>
      <c r="E129" s="11" t="s">
        <v>516</v>
      </c>
      <c r="F129" s="22" t="n">
        <v>4.6</v>
      </c>
      <c r="G129" s="13" t="n">
        <f aca="false">IFERROR(VLOOKUP(94,Recipes!$B$7:$G$323,6,FALSE()),0)</f>
        <v>0.646894273127753</v>
      </c>
      <c r="H129" s="23" t="n">
        <f aca="false">IFERROR((F129-G129)/F129,0)</f>
        <v>0.859370810189619</v>
      </c>
      <c r="I129" s="14" t="s">
        <v>283</v>
      </c>
    </row>
    <row r="130" customFormat="false" ht="15" hidden="false" customHeight="true" outlineLevel="0" collapsed="false">
      <c r="B130" s="14" t="n">
        <v>125</v>
      </c>
      <c r="C130" s="11" t="s">
        <v>336</v>
      </c>
      <c r="D130" s="11" t="s">
        <v>266</v>
      </c>
      <c r="E130" s="11" t="s">
        <v>516</v>
      </c>
      <c r="F130" s="22" t="n">
        <v>4.8</v>
      </c>
      <c r="G130" s="13" t="n">
        <f aca="false">IFERROR(VLOOKUP(93,Recipes!$B$7:$G$323,6,FALSE()),0)</f>
        <v>0.720859030837004</v>
      </c>
      <c r="H130" s="23" t="n">
        <f aca="false">IFERROR((F130-G130)/F130,0)</f>
        <v>0.849821035242291</v>
      </c>
      <c r="I130" s="14" t="s">
        <v>283</v>
      </c>
    </row>
    <row r="131" customFormat="false" ht="15" hidden="false" customHeight="true" outlineLevel="0" collapsed="false">
      <c r="B131" s="14" t="n">
        <v>126</v>
      </c>
      <c r="C131" s="11" t="s">
        <v>369</v>
      </c>
      <c r="D131" s="11" t="s">
        <v>268</v>
      </c>
      <c r="E131" s="11" t="s">
        <v>516</v>
      </c>
      <c r="F131" s="22" t="n">
        <v>4</v>
      </c>
      <c r="G131" s="13" t="n">
        <f aca="false">IFERROR(VLOOKUP(146,Recipes!$B$7:$G$323,6,FALSE()),0)</f>
        <v>0.930711520491256</v>
      </c>
      <c r="H131" s="23" t="n">
        <f aca="false">IFERROR((F131-G131)/F131,0)</f>
        <v>0.767322119877186</v>
      </c>
      <c r="I131" s="14"/>
    </row>
    <row r="132" customFormat="false" ht="15" hidden="false" customHeight="true" outlineLevel="0" collapsed="false">
      <c r="B132" s="14" t="n">
        <v>127</v>
      </c>
      <c r="C132" s="11" t="s">
        <v>369</v>
      </c>
      <c r="D132" s="11" t="s">
        <v>266</v>
      </c>
      <c r="E132" s="11" t="s">
        <v>516</v>
      </c>
      <c r="F132" s="22" t="n">
        <v>4.4</v>
      </c>
      <c r="G132" s="13" t="n">
        <f aca="false">IFERROR(VLOOKUP(145,Recipes!$B$7:$G$323,6,FALSE()),0)</f>
        <v>1.01200373781872</v>
      </c>
      <c r="H132" s="23" t="n">
        <f aca="false">IFERROR((F132-G132)/F132,0)</f>
        <v>0.769999150495746</v>
      </c>
      <c r="I132" s="14"/>
    </row>
    <row r="133" customFormat="false" ht="15" hidden="false" customHeight="true" outlineLevel="0" collapsed="false">
      <c r="B133" s="14" t="n">
        <v>128</v>
      </c>
      <c r="C133" s="11" t="s">
        <v>338</v>
      </c>
      <c r="D133" s="11" t="s">
        <v>268</v>
      </c>
      <c r="E133" s="11" t="s">
        <v>516</v>
      </c>
      <c r="F133" s="22" t="n">
        <v>4.6</v>
      </c>
      <c r="G133" s="13" t="n">
        <f aca="false">IFERROR(VLOOKUP(96,Recipes!$B$7:$G$323,6,FALSE()),0)</f>
        <v>0.646894273127753</v>
      </c>
      <c r="H133" s="23" t="n">
        <f aca="false">IFERROR((F133-G133)/F133,0)</f>
        <v>0.859370810189619</v>
      </c>
      <c r="I133" s="14" t="s">
        <v>283</v>
      </c>
    </row>
    <row r="134" customFormat="false" ht="15" hidden="false" customHeight="true" outlineLevel="0" collapsed="false">
      <c r="B134" s="14" t="n">
        <v>129</v>
      </c>
      <c r="C134" s="11" t="s">
        <v>338</v>
      </c>
      <c r="D134" s="11" t="s">
        <v>266</v>
      </c>
      <c r="E134" s="11" t="s">
        <v>516</v>
      </c>
      <c r="F134" s="22" t="n">
        <v>4.8</v>
      </c>
      <c r="G134" s="13" t="n">
        <f aca="false">IFERROR(VLOOKUP(95,Recipes!$B$7:$G$323,6,FALSE()),0)</f>
        <v>0.720859030837004</v>
      </c>
      <c r="H134" s="23" t="n">
        <f aca="false">IFERROR((F134-G134)/F134,0)</f>
        <v>0.849821035242291</v>
      </c>
      <c r="I134" s="14" t="s">
        <v>283</v>
      </c>
    </row>
    <row r="135" customFormat="false" ht="15" hidden="false" customHeight="true" outlineLevel="0" collapsed="false">
      <c r="B135" s="14" t="n">
        <v>130</v>
      </c>
      <c r="C135" s="11" t="s">
        <v>339</v>
      </c>
      <c r="D135" s="11" t="s">
        <v>268</v>
      </c>
      <c r="E135" s="11" t="s">
        <v>517</v>
      </c>
      <c r="F135" s="22" t="n">
        <v>4.2</v>
      </c>
      <c r="G135" s="13" t="n">
        <f aca="false">IFERROR(VLOOKUP(98,Recipes!$B$7:$G$323,6,FALSE()),0)</f>
        <v>0.984911894273128</v>
      </c>
      <c r="H135" s="23" t="n">
        <f aca="false">IFERROR((F135-G135)/F135,0)</f>
        <v>0.765497168030208</v>
      </c>
      <c r="I135" s="14" t="s">
        <v>283</v>
      </c>
    </row>
    <row r="136" customFormat="false" ht="15" hidden="false" customHeight="true" outlineLevel="0" collapsed="false">
      <c r="B136" s="14" t="n">
        <v>131</v>
      </c>
      <c r="C136" s="11" t="s">
        <v>339</v>
      </c>
      <c r="D136" s="11" t="s">
        <v>266</v>
      </c>
      <c r="E136" s="11" t="s">
        <v>517</v>
      </c>
      <c r="F136" s="22" t="n">
        <v>4.5</v>
      </c>
      <c r="G136" s="13" t="n">
        <f aca="false">IFERROR(VLOOKUP(97,Recipes!$B$7:$G$323,6,FALSE()),0)</f>
        <v>1.05154919236417</v>
      </c>
      <c r="H136" s="23" t="n">
        <f aca="false">IFERROR((F136-G136)/F136,0)</f>
        <v>0.766322401696851</v>
      </c>
      <c r="I136" s="14" t="s">
        <v>283</v>
      </c>
    </row>
    <row r="137" customFormat="false" ht="15" hidden="false" customHeight="true" outlineLevel="0" collapsed="false">
      <c r="B137" s="14" t="n">
        <v>132</v>
      </c>
      <c r="C137" s="11" t="s">
        <v>370</v>
      </c>
      <c r="D137" s="11" t="s">
        <v>268</v>
      </c>
      <c r="E137" s="11" t="s">
        <v>316</v>
      </c>
      <c r="F137" s="22" t="n">
        <v>3.2</v>
      </c>
      <c r="G137" s="13" t="n">
        <f aca="false">IFERROR(VLOOKUP(148,Recipes!$B$7:$G$323,6,FALSE()),0)</f>
        <v>0.834911894273128</v>
      </c>
      <c r="H137" s="23" t="n">
        <f aca="false">IFERROR((F137-G137)/F137,0)</f>
        <v>0.739090033039648</v>
      </c>
      <c r="I137" s="14"/>
    </row>
    <row r="138" customFormat="false" ht="15" hidden="false" customHeight="true" outlineLevel="0" collapsed="false">
      <c r="B138" s="14" t="n">
        <v>133</v>
      </c>
      <c r="C138" s="11" t="s">
        <v>370</v>
      </c>
      <c r="D138" s="11" t="s">
        <v>266</v>
      </c>
      <c r="E138" s="11" t="s">
        <v>316</v>
      </c>
      <c r="F138" s="22" t="n">
        <v>3.5</v>
      </c>
      <c r="G138" s="13" t="n">
        <f aca="false">IFERROR(VLOOKUP(147,Recipes!$B$7:$G$323,6,FALSE()),0)</f>
        <v>0.90154919236417</v>
      </c>
      <c r="H138" s="23" t="n">
        <f aca="false">IFERROR((F138-G138)/F138,0)</f>
        <v>0.74241451646738</v>
      </c>
      <c r="I138" s="14"/>
    </row>
    <row r="139" customFormat="false" ht="15" hidden="false" customHeight="true" outlineLevel="0" collapsed="false">
      <c r="B139" s="14" t="n">
        <v>134</v>
      </c>
      <c r="C139" s="11" t="s">
        <v>340</v>
      </c>
      <c r="D139" s="11" t="s">
        <v>268</v>
      </c>
      <c r="E139" s="11" t="s">
        <v>516</v>
      </c>
      <c r="F139" s="22" t="n">
        <v>4.6</v>
      </c>
      <c r="G139" s="13" t="n">
        <f aca="false">IFERROR(VLOOKUP(100,Recipes!$B$7:$G$323,6,FALSE()),0)</f>
        <v>0.664894273127753</v>
      </c>
      <c r="H139" s="23" t="n">
        <f aca="false">IFERROR((F139-G139)/F139,0)</f>
        <v>0.855457766711358</v>
      </c>
      <c r="I139" s="14" t="s">
        <v>283</v>
      </c>
    </row>
    <row r="140" customFormat="false" ht="15" hidden="false" customHeight="true" outlineLevel="0" collapsed="false">
      <c r="B140" s="14" t="n">
        <v>135</v>
      </c>
      <c r="C140" s="11" t="s">
        <v>340</v>
      </c>
      <c r="D140" s="11" t="s">
        <v>266</v>
      </c>
      <c r="E140" s="11" t="s">
        <v>516</v>
      </c>
      <c r="F140" s="22" t="n">
        <v>4.8</v>
      </c>
      <c r="G140" s="13" t="n">
        <f aca="false">IFERROR(VLOOKUP(99,Recipes!$B$7:$G$323,6,FALSE()),0)</f>
        <v>0.738859030837004</v>
      </c>
      <c r="H140" s="23" t="n">
        <f aca="false">IFERROR((F140-G140)/F140,0)</f>
        <v>0.846071035242291</v>
      </c>
      <c r="I140" s="14" t="s">
        <v>283</v>
      </c>
    </row>
    <row r="141" customFormat="false" ht="15" hidden="false" customHeight="true" outlineLevel="0" collapsed="false">
      <c r="B141" s="14" t="n">
        <v>136</v>
      </c>
      <c r="C141" s="11" t="s">
        <v>341</v>
      </c>
      <c r="D141" s="11" t="s">
        <v>268</v>
      </c>
      <c r="E141" s="11" t="s">
        <v>517</v>
      </c>
      <c r="F141" s="22" t="n">
        <v>4.2</v>
      </c>
      <c r="G141" s="13" t="n">
        <f aca="false">IFERROR(VLOOKUP(102,Recipes!$B$7:$G$323,6,FALSE()),0)</f>
        <v>1.07791189427313</v>
      </c>
      <c r="H141" s="23" t="n">
        <f aca="false">IFERROR((F141-G141)/F141,0)</f>
        <v>0.743354310887351</v>
      </c>
      <c r="I141" s="14" t="s">
        <v>283</v>
      </c>
    </row>
    <row r="142" customFormat="false" ht="15" hidden="false" customHeight="true" outlineLevel="0" collapsed="false">
      <c r="B142" s="14" t="n">
        <v>137</v>
      </c>
      <c r="C142" s="11" t="s">
        <v>341</v>
      </c>
      <c r="D142" s="11" t="s">
        <v>266</v>
      </c>
      <c r="E142" s="11" t="s">
        <v>517</v>
      </c>
      <c r="F142" s="22" t="n">
        <v>4.5</v>
      </c>
      <c r="G142" s="13" t="n">
        <f aca="false">IFERROR(VLOOKUP(101,Recipes!$B$7:$G$323,6,FALSE()),0)</f>
        <v>1.14454919236417</v>
      </c>
      <c r="H142" s="23" t="n">
        <f aca="false">IFERROR((F142-G142)/F142,0)</f>
        <v>0.745655735030184</v>
      </c>
      <c r="I142" s="14" t="s">
        <v>283</v>
      </c>
    </row>
    <row r="143" customFormat="false" ht="15" hidden="false" customHeight="true" outlineLevel="0" collapsed="false">
      <c r="B143" s="14" t="n">
        <v>138</v>
      </c>
      <c r="C143" s="11" t="s">
        <v>372</v>
      </c>
      <c r="D143" s="11" t="s">
        <v>268</v>
      </c>
      <c r="E143" s="11" t="s">
        <v>517</v>
      </c>
      <c r="F143" s="22" t="n">
        <v>3.4</v>
      </c>
      <c r="G143" s="13" t="n">
        <f aca="false">IFERROR(VLOOKUP(150,Recipes!$B$7:$G$323,6,FALSE()),0)</f>
        <v>0.834911894273128</v>
      </c>
      <c r="H143" s="23" t="n">
        <f aca="false">IFERROR((F143-G143)/F143,0)</f>
        <v>0.754437678154962</v>
      </c>
      <c r="I143" s="14"/>
    </row>
    <row r="144" customFormat="false" ht="15" hidden="false" customHeight="true" outlineLevel="0" collapsed="false">
      <c r="B144" s="14" t="n">
        <v>139</v>
      </c>
      <c r="C144" s="11" t="s">
        <v>372</v>
      </c>
      <c r="D144" s="11" t="s">
        <v>266</v>
      </c>
      <c r="E144" s="11" t="s">
        <v>517</v>
      </c>
      <c r="F144" s="22" t="n">
        <v>3.6</v>
      </c>
      <c r="G144" s="13" t="n">
        <f aca="false">IFERROR(VLOOKUP(149,Recipes!$B$7:$G$323,6,FALSE()),0)</f>
        <v>0.90154919236417</v>
      </c>
      <c r="H144" s="23" t="n">
        <f aca="false">IFERROR((F144-G144)/F144,0)</f>
        <v>0.749569668787731</v>
      </c>
      <c r="I144" s="14"/>
    </row>
    <row r="145" customFormat="false" ht="15" hidden="false" customHeight="true" outlineLevel="0" collapsed="false">
      <c r="B145" s="14" t="n">
        <v>140</v>
      </c>
      <c r="C145" s="11" t="s">
        <v>342</v>
      </c>
      <c r="D145" s="11" t="s">
        <v>268</v>
      </c>
      <c r="E145" s="11" t="s">
        <v>516</v>
      </c>
      <c r="F145" s="22" t="n">
        <v>4.2</v>
      </c>
      <c r="G145" s="13" t="n">
        <f aca="false">IFERROR(VLOOKUP(104,Recipes!$B$7:$G$323,6,FALSE()),0)</f>
        <v>0.646894273127753</v>
      </c>
      <c r="H145" s="23" t="n">
        <f aca="false">IFERROR((F145-G145)/F145,0)</f>
        <v>0.845977554017202</v>
      </c>
      <c r="I145" s="14" t="s">
        <v>283</v>
      </c>
    </row>
    <row r="146" customFormat="false" ht="15" hidden="false" customHeight="true" outlineLevel="0" collapsed="false">
      <c r="B146" s="14" t="n">
        <v>141</v>
      </c>
      <c r="C146" s="11" t="s">
        <v>342</v>
      </c>
      <c r="D146" s="11" t="s">
        <v>266</v>
      </c>
      <c r="E146" s="11" t="s">
        <v>516</v>
      </c>
      <c r="F146" s="22" t="n">
        <v>4.6</v>
      </c>
      <c r="G146" s="13" t="n">
        <f aca="false">IFERROR(VLOOKUP(103,Recipes!$B$7:$G$323,6,FALSE()),0)</f>
        <v>0.720859030837004</v>
      </c>
      <c r="H146" s="23" t="n">
        <f aca="false">IFERROR((F146-G146)/F146,0)</f>
        <v>0.843291515035434</v>
      </c>
      <c r="I146" s="14" t="s">
        <v>283</v>
      </c>
    </row>
    <row r="147" customFormat="false" ht="15" hidden="false" customHeight="true" outlineLevel="0" collapsed="false">
      <c r="B147" s="14" t="n">
        <v>142</v>
      </c>
      <c r="C147" s="11" t="s">
        <v>343</v>
      </c>
      <c r="D147" s="11" t="s">
        <v>268</v>
      </c>
      <c r="E147" s="11" t="s">
        <v>517</v>
      </c>
      <c r="F147" s="22" t="n">
        <v>3.9</v>
      </c>
      <c r="G147" s="13" t="n">
        <f aca="false">IFERROR(VLOOKUP(106,Recipes!$B$7:$G$323,6,FALSE()),0)</f>
        <v>0.984911894273128</v>
      </c>
      <c r="H147" s="23" t="n">
        <f aca="false">IFERROR((F147-G147)/F147,0)</f>
        <v>0.747458488647916</v>
      </c>
      <c r="I147" s="14" t="s">
        <v>283</v>
      </c>
    </row>
    <row r="148" customFormat="false" ht="15" hidden="false" customHeight="true" outlineLevel="0" collapsed="false">
      <c r="B148" s="14" t="n">
        <v>143</v>
      </c>
      <c r="C148" s="11" t="s">
        <v>343</v>
      </c>
      <c r="D148" s="11" t="s">
        <v>266</v>
      </c>
      <c r="E148" s="11" t="s">
        <v>517</v>
      </c>
      <c r="F148" s="22" t="n">
        <v>4.1</v>
      </c>
      <c r="G148" s="13" t="n">
        <f aca="false">IFERROR(VLOOKUP(105,Recipes!$B$7:$G$323,6,FALSE()),0)</f>
        <v>1.05154919236417</v>
      </c>
      <c r="H148" s="23" t="n">
        <f aca="false">IFERROR((F148-G148)/F148,0)</f>
        <v>0.743524587228251</v>
      </c>
      <c r="I148" s="14" t="s">
        <v>283</v>
      </c>
    </row>
    <row r="149" customFormat="false" ht="15" hidden="false" customHeight="true" outlineLevel="0" collapsed="false">
      <c r="B149" s="14" t="n">
        <v>144</v>
      </c>
      <c r="C149" s="11" t="s">
        <v>373</v>
      </c>
      <c r="D149" s="11" t="s">
        <v>268</v>
      </c>
      <c r="E149" s="11" t="s">
        <v>522</v>
      </c>
      <c r="F149" s="22" t="n">
        <v>3.7</v>
      </c>
      <c r="G149" s="13" t="n">
        <f aca="false">IFERROR(VLOOKUP(152,Recipes!$B$7:$G$323,6,FALSE()),0)</f>
        <v>0.367875</v>
      </c>
      <c r="H149" s="23" t="n">
        <f aca="false">IFERROR((F149-G149)/F149,0)</f>
        <v>0.900574324324324</v>
      </c>
      <c r="I149" s="14"/>
    </row>
    <row r="150" customFormat="false" ht="15" hidden="false" customHeight="true" outlineLevel="0" collapsed="false">
      <c r="B150" s="14" t="n">
        <v>145</v>
      </c>
      <c r="C150" s="11" t="s">
        <v>373</v>
      </c>
      <c r="D150" s="11" t="s">
        <v>266</v>
      </c>
      <c r="E150" s="11" t="s">
        <v>522</v>
      </c>
      <c r="F150" s="22" t="n">
        <v>4</v>
      </c>
      <c r="G150" s="13" t="n">
        <f aca="false">IFERROR(VLOOKUP(151,Recipes!$B$7:$G$323,6,FALSE()),0)</f>
        <v>0.397875</v>
      </c>
      <c r="H150" s="23" t="n">
        <f aca="false">IFERROR((F150-G150)/F150,0)</f>
        <v>0.90053125</v>
      </c>
      <c r="I150" s="14"/>
    </row>
    <row r="151" customFormat="false" ht="15" hidden="false" customHeight="true" outlineLevel="0" collapsed="false">
      <c r="B151" s="14" t="n">
        <v>146</v>
      </c>
      <c r="C151" s="11" t="s">
        <v>344</v>
      </c>
      <c r="D151" s="11" t="s">
        <v>268</v>
      </c>
      <c r="E151" s="11" t="s">
        <v>516</v>
      </c>
      <c r="F151" s="22" t="n">
        <v>4</v>
      </c>
      <c r="G151" s="13" t="n">
        <f aca="false">IFERROR(VLOOKUP(108,Recipes!$B$7:$G$323,6,FALSE()),0)</f>
        <v>0.930711520491256</v>
      </c>
      <c r="H151" s="23" t="n">
        <f aca="false">IFERROR((F151-G151)/F151,0)</f>
        <v>0.767322119877186</v>
      </c>
      <c r="I151" s="14"/>
    </row>
    <row r="152" customFormat="false" ht="15" hidden="false" customHeight="true" outlineLevel="0" collapsed="false">
      <c r="B152" s="14" t="n">
        <v>147</v>
      </c>
      <c r="C152" s="11" t="s">
        <v>344</v>
      </c>
      <c r="D152" s="11" t="s">
        <v>266</v>
      </c>
      <c r="E152" s="11" t="s">
        <v>516</v>
      </c>
      <c r="F152" s="22" t="n">
        <v>4.4</v>
      </c>
      <c r="G152" s="13" t="n">
        <f aca="false">IFERROR(VLOOKUP(107,Recipes!$B$7:$G$323,6,FALSE()),0)</f>
        <v>1.01200373781872</v>
      </c>
      <c r="H152" s="23" t="n">
        <f aca="false">IFERROR((F152-G152)/F152,0)</f>
        <v>0.769999150495746</v>
      </c>
      <c r="I152" s="14"/>
    </row>
    <row r="153" customFormat="false" ht="15" hidden="false" customHeight="true" outlineLevel="0" collapsed="false">
      <c r="B153" s="14" t="n">
        <v>148</v>
      </c>
      <c r="C153" s="11" t="s">
        <v>346</v>
      </c>
      <c r="D153" s="11" t="s">
        <v>268</v>
      </c>
      <c r="E153" s="11" t="s">
        <v>517</v>
      </c>
      <c r="F153" s="22" t="n">
        <v>3.9</v>
      </c>
      <c r="G153" s="13" t="n">
        <f aca="false">IFERROR(VLOOKUP(110,Recipes!$B$7:$G$323,6,FALSE()),0)</f>
        <v>0.834911894273128</v>
      </c>
      <c r="H153" s="23" t="n">
        <f aca="false">IFERROR((F153-G153)/F153,0)</f>
        <v>0.785920027109454</v>
      </c>
      <c r="I153" s="14"/>
    </row>
    <row r="154" customFormat="false" ht="15" hidden="false" customHeight="true" outlineLevel="0" collapsed="false">
      <c r="B154" s="14" t="n">
        <v>149</v>
      </c>
      <c r="C154" s="11" t="s">
        <v>346</v>
      </c>
      <c r="D154" s="11" t="s">
        <v>266</v>
      </c>
      <c r="E154" s="11" t="s">
        <v>517</v>
      </c>
      <c r="F154" s="22" t="n">
        <v>4.1</v>
      </c>
      <c r="G154" s="13" t="n">
        <f aca="false">IFERROR(VLOOKUP(109,Recipes!$B$7:$G$323,6,FALSE()),0)</f>
        <v>0.90154919236417</v>
      </c>
      <c r="H154" s="23" t="n">
        <f aca="false">IFERROR((F154-G154)/F154,0)</f>
        <v>0.78010995308191</v>
      </c>
      <c r="I154" s="14"/>
    </row>
    <row r="155" customFormat="false" ht="15" hidden="false" customHeight="true" outlineLevel="0" collapsed="false">
      <c r="B155" s="14" t="n">
        <v>150</v>
      </c>
      <c r="C155" s="11" t="s">
        <v>374</v>
      </c>
      <c r="D155" s="11" t="s">
        <v>268</v>
      </c>
      <c r="E155" s="11" t="s">
        <v>390</v>
      </c>
      <c r="F155" s="22" t="n">
        <v>3.5</v>
      </c>
      <c r="G155" s="13" t="n">
        <f aca="false">IFERROR(VLOOKUP(154,Recipes!$B$7:$G$323,6,FALSE()),0)</f>
        <v>0.974911894273128</v>
      </c>
      <c r="H155" s="23" t="n">
        <f aca="false">IFERROR((F155-G155)/F155,0)</f>
        <v>0.721453744493392</v>
      </c>
      <c r="I155" s="14"/>
    </row>
    <row r="156" customFormat="false" ht="15" hidden="false" customHeight="true" outlineLevel="0" collapsed="false">
      <c r="B156" s="14" t="n">
        <v>151</v>
      </c>
      <c r="C156" s="11" t="s">
        <v>374</v>
      </c>
      <c r="D156" s="11" t="s">
        <v>266</v>
      </c>
      <c r="E156" s="11" t="s">
        <v>390</v>
      </c>
      <c r="F156" s="22" t="n">
        <v>4</v>
      </c>
      <c r="G156" s="13" t="n">
        <f aca="false">IFERROR(VLOOKUP(153,Recipes!$B$7:$G$323,6,FALSE()),0)</f>
        <v>1.11154919236417</v>
      </c>
      <c r="H156" s="23" t="n">
        <f aca="false">IFERROR((F156-G156)/F156,0)</f>
        <v>0.722112701908958</v>
      </c>
      <c r="I156" s="14"/>
    </row>
    <row r="157" customFormat="false" ht="15" hidden="false" customHeight="true" outlineLevel="0" collapsed="false">
      <c r="B157" s="14" t="n">
        <v>152</v>
      </c>
      <c r="C157" s="11" t="s">
        <v>347</v>
      </c>
      <c r="D157" s="11" t="s">
        <v>268</v>
      </c>
      <c r="E157" s="11" t="s">
        <v>517</v>
      </c>
      <c r="F157" s="22" t="n">
        <v>3.9</v>
      </c>
      <c r="G157" s="13" t="n">
        <f aca="false">IFERROR(VLOOKUP(112,Recipes!$B$7:$G$323,6,FALSE()),0)</f>
        <v>0.834911894273128</v>
      </c>
      <c r="H157" s="23" t="n">
        <f aca="false">IFERROR((F157-G157)/F157,0)</f>
        <v>0.785920027109454</v>
      </c>
      <c r="I157" s="14"/>
    </row>
    <row r="158" customFormat="false" ht="15" hidden="false" customHeight="true" outlineLevel="0" collapsed="false">
      <c r="B158" s="14" t="n">
        <v>153</v>
      </c>
      <c r="C158" s="11" t="s">
        <v>347</v>
      </c>
      <c r="D158" s="11" t="s">
        <v>266</v>
      </c>
      <c r="E158" s="11" t="s">
        <v>517</v>
      </c>
      <c r="F158" s="22" t="n">
        <v>4.1</v>
      </c>
      <c r="G158" s="13" t="n">
        <f aca="false">IFERROR(VLOOKUP(111,Recipes!$B$7:$G$323,6,FALSE()),0)</f>
        <v>0.90154919236417</v>
      </c>
      <c r="H158" s="23" t="n">
        <f aca="false">IFERROR((F158-G158)/F158,0)</f>
        <v>0.78010995308191</v>
      </c>
      <c r="I158" s="14"/>
    </row>
    <row r="159" customFormat="false" ht="15" hidden="false" customHeight="true" outlineLevel="0" collapsed="false">
      <c r="B159" s="14" t="n">
        <v>154</v>
      </c>
      <c r="C159" s="11" t="s">
        <v>375</v>
      </c>
      <c r="D159" s="11" t="s">
        <v>268</v>
      </c>
      <c r="E159" s="11" t="s">
        <v>516</v>
      </c>
      <c r="F159" s="22" t="n">
        <v>4</v>
      </c>
      <c r="G159" s="13" t="n">
        <f aca="false">IFERROR(VLOOKUP(156,Recipes!$B$7:$G$323,6,FALSE()),0)</f>
        <v>0.930711520491256</v>
      </c>
      <c r="H159" s="23" t="n">
        <f aca="false">IFERROR((F159-G159)/F159,0)</f>
        <v>0.767322119877186</v>
      </c>
      <c r="I159" s="14"/>
    </row>
    <row r="160" customFormat="false" ht="15" hidden="false" customHeight="true" outlineLevel="0" collapsed="false">
      <c r="B160" s="14" t="n">
        <v>155</v>
      </c>
      <c r="C160" s="11" t="s">
        <v>375</v>
      </c>
      <c r="D160" s="11" t="s">
        <v>266</v>
      </c>
      <c r="E160" s="11" t="s">
        <v>516</v>
      </c>
      <c r="F160" s="22" t="n">
        <v>4.4</v>
      </c>
      <c r="G160" s="13" t="n">
        <f aca="false">IFERROR(VLOOKUP(155,Recipes!$B$7:$G$323,6,FALSE()),0)</f>
        <v>1.01200373781872</v>
      </c>
      <c r="H160" s="23" t="n">
        <f aca="false">IFERROR((F160-G160)/F160,0)</f>
        <v>0.769999150495746</v>
      </c>
      <c r="I160" s="14"/>
    </row>
    <row r="161" customFormat="false" ht="15" hidden="false" customHeight="true" outlineLevel="0" collapsed="false">
      <c r="B161" s="14" t="n">
        <v>156</v>
      </c>
      <c r="C161" s="11" t="s">
        <v>348</v>
      </c>
      <c r="D161" s="11" t="s">
        <v>268</v>
      </c>
      <c r="E161" s="11" t="s">
        <v>517</v>
      </c>
      <c r="F161" s="22" t="n">
        <v>4.2</v>
      </c>
      <c r="G161" s="13" t="n">
        <f aca="false">IFERROR(VLOOKUP(114,Recipes!$B$7:$G$323,6,FALSE()),0)</f>
        <v>0.984911894273128</v>
      </c>
      <c r="H161" s="23" t="n">
        <f aca="false">IFERROR((F161-G161)/F161,0)</f>
        <v>0.765497168030208</v>
      </c>
      <c r="I161" s="14" t="s">
        <v>283</v>
      </c>
    </row>
    <row r="162" customFormat="false" ht="15" hidden="false" customHeight="true" outlineLevel="0" collapsed="false">
      <c r="B162" s="14" t="n">
        <v>157</v>
      </c>
      <c r="C162" s="11" t="s">
        <v>348</v>
      </c>
      <c r="D162" s="11" t="s">
        <v>266</v>
      </c>
      <c r="E162" s="11" t="s">
        <v>517</v>
      </c>
      <c r="F162" s="22" t="n">
        <v>4.4</v>
      </c>
      <c r="G162" s="13" t="n">
        <f aca="false">IFERROR(VLOOKUP(113,Recipes!$B$7:$G$323,6,FALSE()),0)</f>
        <v>1.05154919236417</v>
      </c>
      <c r="H162" s="23" t="n">
        <f aca="false">IFERROR((F162-G162)/F162,0)</f>
        <v>0.761011547189961</v>
      </c>
      <c r="I162" s="14" t="s">
        <v>283</v>
      </c>
    </row>
    <row r="163" customFormat="false" ht="15" hidden="false" customHeight="true" outlineLevel="0" collapsed="false">
      <c r="B163" s="14" t="n">
        <v>158</v>
      </c>
      <c r="C163" s="11" t="s">
        <v>349</v>
      </c>
      <c r="D163" s="11" t="s">
        <v>268</v>
      </c>
      <c r="E163" s="11" t="s">
        <v>517</v>
      </c>
      <c r="F163" s="22" t="n">
        <v>3.9</v>
      </c>
      <c r="G163" s="13" t="n">
        <f aca="false">IFERROR(VLOOKUP(116,Recipes!$B$7:$G$323,6,FALSE()),0)</f>
        <v>0.834911894273128</v>
      </c>
      <c r="H163" s="23" t="n">
        <f aca="false">IFERROR((F163-G163)/F163,0)</f>
        <v>0.785920027109454</v>
      </c>
      <c r="I163" s="14"/>
    </row>
    <row r="164" customFormat="false" ht="15" hidden="false" customHeight="true" outlineLevel="0" collapsed="false">
      <c r="B164" s="14" t="n">
        <v>159</v>
      </c>
      <c r="C164" s="11" t="s">
        <v>349</v>
      </c>
      <c r="D164" s="11" t="s">
        <v>266</v>
      </c>
      <c r="E164" s="11" t="s">
        <v>517</v>
      </c>
      <c r="F164" s="22" t="n">
        <v>4.1</v>
      </c>
      <c r="G164" s="13" t="n">
        <f aca="false">IFERROR(VLOOKUP(115,Recipes!$B$7:$G$323,6,FALSE()),0)</f>
        <v>0.90154919236417</v>
      </c>
      <c r="H164" s="23" t="n">
        <f aca="false">IFERROR((F164-G164)/F164,0)</f>
        <v>0.78010995308191</v>
      </c>
      <c r="I164" s="14"/>
    </row>
    <row r="165" customFormat="false" ht="15" hidden="false" customHeight="true" outlineLevel="0" collapsed="false">
      <c r="B165" s="14" t="n">
        <v>160</v>
      </c>
      <c r="C165" s="11" t="s">
        <v>350</v>
      </c>
      <c r="D165" s="11" t="s">
        <v>268</v>
      </c>
      <c r="E165" s="11" t="s">
        <v>390</v>
      </c>
      <c r="F165" s="22" t="n">
        <v>4.2</v>
      </c>
      <c r="G165" s="13" t="n">
        <f aca="false">IFERROR(VLOOKUP(118,Recipes!$B$7:$G$323,6,FALSE()),0)</f>
        <v>1.12491189427313</v>
      </c>
      <c r="H165" s="23" t="n">
        <f aca="false">IFERROR((F165-G165)/F165,0)</f>
        <v>0.732163834696874</v>
      </c>
      <c r="I165" s="14" t="s">
        <v>283</v>
      </c>
    </row>
    <row r="166" customFormat="false" ht="15" hidden="false" customHeight="true" outlineLevel="0" collapsed="false">
      <c r="B166" s="14" t="n">
        <v>161</v>
      </c>
      <c r="C166" s="11" t="s">
        <v>350</v>
      </c>
      <c r="D166" s="11" t="s">
        <v>266</v>
      </c>
      <c r="E166" s="11" t="s">
        <v>390</v>
      </c>
      <c r="F166" s="22" t="n">
        <v>4.5</v>
      </c>
      <c r="G166" s="13" t="n">
        <f aca="false">IFERROR(VLOOKUP(117,Recipes!$B$7:$G$323,6,FALSE()),0)</f>
        <v>1.26154919236417</v>
      </c>
      <c r="H166" s="23" t="n">
        <f aca="false">IFERROR((F166-G166)/F166,0)</f>
        <v>0.719655735030184</v>
      </c>
      <c r="I166" s="14" t="s">
        <v>283</v>
      </c>
    </row>
    <row r="167" customFormat="false" ht="15" hidden="false" customHeight="true" outlineLevel="0" collapsed="false">
      <c r="B167" s="14" t="n">
        <v>162</v>
      </c>
      <c r="C167" s="11" t="s">
        <v>352</v>
      </c>
      <c r="D167" s="11" t="s">
        <v>268</v>
      </c>
      <c r="E167" s="11" t="s">
        <v>517</v>
      </c>
      <c r="F167" s="22" t="n">
        <v>3.9</v>
      </c>
      <c r="G167" s="13" t="n">
        <f aca="false">IFERROR(VLOOKUP(120,Recipes!$B$7:$G$323,6,FALSE()),0)</f>
        <v>0.984911894273128</v>
      </c>
      <c r="H167" s="23" t="n">
        <f aca="false">IFERROR((F167-G167)/F167,0)</f>
        <v>0.747458488647916</v>
      </c>
      <c r="I167" s="14"/>
    </row>
    <row r="168" customFormat="false" ht="15" hidden="false" customHeight="true" outlineLevel="0" collapsed="false">
      <c r="B168" s="14" t="n">
        <v>163</v>
      </c>
      <c r="C168" s="11" t="s">
        <v>352</v>
      </c>
      <c r="D168" s="11" t="s">
        <v>266</v>
      </c>
      <c r="E168" s="11" t="s">
        <v>517</v>
      </c>
      <c r="F168" s="22" t="n">
        <v>4.1</v>
      </c>
      <c r="G168" s="13" t="n">
        <f aca="false">IFERROR(VLOOKUP(119,Recipes!$B$7:$G$323,6,FALSE()),0)</f>
        <v>1.05154919236417</v>
      </c>
      <c r="H168" s="23" t="n">
        <f aca="false">IFERROR((F168-G168)/F168,0)</f>
        <v>0.743524587228251</v>
      </c>
      <c r="I168" s="14"/>
    </row>
    <row r="169" customFormat="false" ht="15" hidden="false" customHeight="true" outlineLevel="0" collapsed="false">
      <c r="B169" s="14" t="n">
        <v>164</v>
      </c>
      <c r="C169" s="11" t="s">
        <v>353</v>
      </c>
      <c r="D169" s="11" t="s">
        <v>268</v>
      </c>
      <c r="E169" s="11" t="s">
        <v>390</v>
      </c>
      <c r="F169" s="22" t="n">
        <v>4.2</v>
      </c>
      <c r="G169" s="13" t="n">
        <f aca="false">IFERROR(VLOOKUP(122,Recipes!$B$7:$G$323,6,FALSE()),0)</f>
        <v>1.12491189427313</v>
      </c>
      <c r="H169" s="23" t="n">
        <f aca="false">IFERROR((F169-G169)/F169,0)</f>
        <v>0.732163834696874</v>
      </c>
      <c r="I169" s="14" t="s">
        <v>283</v>
      </c>
    </row>
    <row r="170" customFormat="false" ht="15" hidden="false" customHeight="true" outlineLevel="0" collapsed="false">
      <c r="B170" s="14" t="n">
        <v>165</v>
      </c>
      <c r="C170" s="11" t="s">
        <v>353</v>
      </c>
      <c r="D170" s="11" t="s">
        <v>266</v>
      </c>
      <c r="E170" s="11" t="s">
        <v>390</v>
      </c>
      <c r="F170" s="22" t="n">
        <v>4.5</v>
      </c>
      <c r="G170" s="13" t="n">
        <f aca="false">IFERROR(VLOOKUP(121,Recipes!$B$7:$G$323,6,FALSE()),0)</f>
        <v>1.26154919236417</v>
      </c>
      <c r="H170" s="23" t="n">
        <f aca="false">IFERROR((F170-G170)/F170,0)</f>
        <v>0.719655735030184</v>
      </c>
      <c r="I170" s="14" t="s">
        <v>283</v>
      </c>
    </row>
    <row r="171" customFormat="false" ht="15" hidden="false" customHeight="true" outlineLevel="0" collapsed="false">
      <c r="B171" s="14" t="n">
        <v>166</v>
      </c>
      <c r="C171" s="11" t="s">
        <v>354</v>
      </c>
      <c r="D171" s="11" t="s">
        <v>268</v>
      </c>
      <c r="E171" s="11" t="s">
        <v>522</v>
      </c>
      <c r="F171" s="22" t="n">
        <v>3.6</v>
      </c>
      <c r="G171" s="13" t="n">
        <f aca="false">IFERROR(VLOOKUP(124,Recipes!$B$7:$G$323,6,FALSE()),0)</f>
        <v>0.349875</v>
      </c>
      <c r="H171" s="23" t="n">
        <f aca="false">IFERROR((F171-G171)/F171,0)</f>
        <v>0.9028125</v>
      </c>
      <c r="I171" s="14"/>
    </row>
    <row r="172" customFormat="false" ht="15" hidden="false" customHeight="true" outlineLevel="0" collapsed="false">
      <c r="B172" s="14" t="n">
        <v>167</v>
      </c>
      <c r="C172" s="11" t="s">
        <v>354</v>
      </c>
      <c r="D172" s="11" t="s">
        <v>266</v>
      </c>
      <c r="E172" s="11" t="s">
        <v>522</v>
      </c>
      <c r="F172" s="22" t="n">
        <v>3.9</v>
      </c>
      <c r="G172" s="13" t="n">
        <f aca="false">IFERROR(VLOOKUP(123,Recipes!$B$7:$G$323,6,FALSE()),0)</f>
        <v>0.379875</v>
      </c>
      <c r="H172" s="23" t="n">
        <f aca="false">IFERROR((F172-G172)/F172,0)</f>
        <v>0.902596153846154</v>
      </c>
      <c r="I172" s="14"/>
    </row>
    <row r="173" customFormat="false" ht="15" hidden="false" customHeight="true" outlineLevel="0" collapsed="false">
      <c r="B173" s="14" t="n">
        <v>168</v>
      </c>
      <c r="C173" s="11" t="s">
        <v>356</v>
      </c>
      <c r="D173" s="11" t="s">
        <v>268</v>
      </c>
      <c r="E173" s="11" t="s">
        <v>390</v>
      </c>
      <c r="F173" s="22" t="n">
        <v>4.3</v>
      </c>
      <c r="G173" s="13" t="n">
        <f aca="false">IFERROR(VLOOKUP(126,Recipes!$B$7:$G$323,6,FALSE()),0)</f>
        <v>1.10491189427313</v>
      </c>
      <c r="H173" s="23" t="n">
        <f aca="false">IFERROR((F173-G173)/F173,0)</f>
        <v>0.743043745517877</v>
      </c>
      <c r="I173" s="14" t="s">
        <v>283</v>
      </c>
    </row>
    <row r="174" customFormat="false" ht="15" hidden="false" customHeight="true" outlineLevel="0" collapsed="false">
      <c r="B174" s="14" t="n">
        <v>169</v>
      </c>
      <c r="C174" s="11" t="s">
        <v>356</v>
      </c>
      <c r="D174" s="11" t="s">
        <v>266</v>
      </c>
      <c r="E174" s="11" t="s">
        <v>390</v>
      </c>
      <c r="F174" s="22" t="n">
        <v>4.6</v>
      </c>
      <c r="G174" s="13" t="n">
        <f aca="false">IFERROR(VLOOKUP(125,Recipes!$B$7:$G$323,6,FALSE()),0)</f>
        <v>1.23154919236417</v>
      </c>
      <c r="H174" s="23" t="n">
        <f aca="false">IFERROR((F174-G174)/F174,0)</f>
        <v>0.732271914703441</v>
      </c>
      <c r="I174" s="14" t="s">
        <v>283</v>
      </c>
    </row>
    <row r="175" customFormat="false" ht="15" hidden="false" customHeight="true" outlineLevel="0" collapsed="false">
      <c r="B175" s="14" t="n">
        <v>170</v>
      </c>
      <c r="C175" s="11" t="s">
        <v>357</v>
      </c>
      <c r="D175" s="11" t="s">
        <v>268</v>
      </c>
      <c r="E175" s="11" t="s">
        <v>517</v>
      </c>
      <c r="F175" s="22" t="n">
        <v>3.9</v>
      </c>
      <c r="G175" s="13" t="n">
        <f aca="false">IFERROR(VLOOKUP(128,Recipes!$B$7:$G$323,6,FALSE()),0)</f>
        <v>0.984911894273128</v>
      </c>
      <c r="H175" s="23" t="n">
        <f aca="false">IFERROR((F175-G175)/F175,0)</f>
        <v>0.747458488647916</v>
      </c>
      <c r="I175" s="14"/>
    </row>
    <row r="176" customFormat="false" ht="15" hidden="false" customHeight="true" outlineLevel="0" collapsed="false">
      <c r="B176" s="14" t="n">
        <v>171</v>
      </c>
      <c r="C176" s="11" t="s">
        <v>357</v>
      </c>
      <c r="D176" s="11" t="s">
        <v>266</v>
      </c>
      <c r="E176" s="11" t="s">
        <v>517</v>
      </c>
      <c r="F176" s="22" t="n">
        <v>4.1</v>
      </c>
      <c r="G176" s="13" t="n">
        <f aca="false">IFERROR(VLOOKUP(127,Recipes!$B$7:$G$323,6,FALSE()),0)</f>
        <v>1.05154919236417</v>
      </c>
      <c r="H176" s="23" t="n">
        <f aca="false">IFERROR((F176-G176)/F176,0)</f>
        <v>0.743524587228251</v>
      </c>
      <c r="I176" s="14"/>
    </row>
    <row r="177" customFormat="false" ht="15" hidden="false" customHeight="true" outlineLevel="0" collapsed="false">
      <c r="B177" s="14" t="n">
        <v>172</v>
      </c>
      <c r="C177" s="11" t="s">
        <v>358</v>
      </c>
      <c r="D177" s="11" t="s">
        <v>268</v>
      </c>
      <c r="E177" s="11" t="s">
        <v>516</v>
      </c>
      <c r="F177" s="22" t="n">
        <v>4</v>
      </c>
      <c r="G177" s="13" t="n">
        <f aca="false">IFERROR(VLOOKUP(130,Recipes!$B$7:$G$323,6,FALSE()),0)</f>
        <v>0.930711520491256</v>
      </c>
      <c r="H177" s="23" t="n">
        <f aca="false">IFERROR((F177-G177)/F177,0)</f>
        <v>0.767322119877186</v>
      </c>
      <c r="I177" s="14"/>
    </row>
    <row r="178" customFormat="false" ht="15" hidden="false" customHeight="true" outlineLevel="0" collapsed="false">
      <c r="B178" s="14" t="n">
        <v>173</v>
      </c>
      <c r="C178" s="11" t="s">
        <v>358</v>
      </c>
      <c r="D178" s="11" t="s">
        <v>266</v>
      </c>
      <c r="E178" s="11" t="s">
        <v>516</v>
      </c>
      <c r="F178" s="22" t="n">
        <v>4.4</v>
      </c>
      <c r="G178" s="13" t="n">
        <f aca="false">IFERROR(VLOOKUP(129,Recipes!$B$7:$G$323,6,FALSE()),0)</f>
        <v>1.01200373781872</v>
      </c>
      <c r="H178" s="23" t="n">
        <f aca="false">IFERROR((F178-G178)/F178,0)</f>
        <v>0.769999150495746</v>
      </c>
      <c r="I178" s="14"/>
    </row>
    <row r="179" customFormat="false" ht="15" hidden="false" customHeight="true" outlineLevel="0" collapsed="false">
      <c r="B179" s="14" t="n">
        <v>174</v>
      </c>
      <c r="C179" s="11" t="s">
        <v>359</v>
      </c>
      <c r="D179" s="11" t="s">
        <v>268</v>
      </c>
      <c r="E179" s="11" t="s">
        <v>517</v>
      </c>
      <c r="F179" s="22" t="n">
        <v>3.9</v>
      </c>
      <c r="G179" s="13" t="n">
        <f aca="false">IFERROR(VLOOKUP(132,Recipes!$B$7:$G$323,6,FALSE()),0)</f>
        <v>0.834911894273128</v>
      </c>
      <c r="H179" s="23" t="n">
        <f aca="false">IFERROR((F179-G179)/F179,0)</f>
        <v>0.785920027109454</v>
      </c>
      <c r="I179" s="14"/>
    </row>
    <row r="180" customFormat="false" ht="15" hidden="false" customHeight="true" outlineLevel="0" collapsed="false">
      <c r="B180" s="14" t="n">
        <v>175</v>
      </c>
      <c r="C180" s="11" t="s">
        <v>359</v>
      </c>
      <c r="D180" s="11" t="s">
        <v>266</v>
      </c>
      <c r="E180" s="11" t="s">
        <v>517</v>
      </c>
      <c r="F180" s="22" t="n">
        <v>4.1</v>
      </c>
      <c r="G180" s="13" t="n">
        <f aca="false">IFERROR(VLOOKUP(131,Recipes!$B$7:$G$323,6,FALSE()),0)</f>
        <v>0.90154919236417</v>
      </c>
      <c r="H180" s="23" t="n">
        <f aca="false">IFERROR((F180-G180)/F180,0)</f>
        <v>0.78010995308191</v>
      </c>
      <c r="I180" s="14"/>
    </row>
    <row r="181" customFormat="false" ht="15" hidden="false" customHeight="true" outlineLevel="0" collapsed="false">
      <c r="B181" s="14" t="n">
        <v>176</v>
      </c>
      <c r="C181" s="11" t="s">
        <v>360</v>
      </c>
      <c r="D181" s="11" t="s">
        <v>268</v>
      </c>
      <c r="E181" s="11" t="s">
        <v>516</v>
      </c>
      <c r="F181" s="22" t="n">
        <v>4.2</v>
      </c>
      <c r="G181" s="13" t="n">
        <f aca="false">IFERROR(VLOOKUP(134,Recipes!$B$7:$G$323,6,FALSE()),0)</f>
        <v>0.646894273127753</v>
      </c>
      <c r="H181" s="23" t="n">
        <f aca="false">IFERROR((F181-G181)/F181,0)</f>
        <v>0.845977554017202</v>
      </c>
      <c r="I181" s="14" t="s">
        <v>283</v>
      </c>
    </row>
    <row r="182" customFormat="false" ht="15" hidden="false" customHeight="true" outlineLevel="0" collapsed="false">
      <c r="B182" s="14" t="n">
        <v>177</v>
      </c>
      <c r="C182" s="11" t="s">
        <v>360</v>
      </c>
      <c r="D182" s="11" t="s">
        <v>266</v>
      </c>
      <c r="E182" s="11" t="s">
        <v>516</v>
      </c>
      <c r="F182" s="22" t="n">
        <v>4.6</v>
      </c>
      <c r="G182" s="13" t="n">
        <f aca="false">IFERROR(VLOOKUP(133,Recipes!$B$7:$G$323,6,FALSE()),0)</f>
        <v>0.720859030837004</v>
      </c>
      <c r="H182" s="23" t="n">
        <f aca="false">IFERROR((F182-G182)/F182,0)</f>
        <v>0.843291515035434</v>
      </c>
      <c r="I182" s="14" t="s">
        <v>283</v>
      </c>
    </row>
    <row r="183" customFormat="false" ht="15" hidden="false" customHeight="true" outlineLevel="0" collapsed="false">
      <c r="B183" s="14" t="n">
        <v>178</v>
      </c>
      <c r="C183" s="11" t="s">
        <v>376</v>
      </c>
      <c r="D183" s="11" t="s">
        <v>268</v>
      </c>
      <c r="E183" s="11" t="s">
        <v>278</v>
      </c>
      <c r="F183" s="22" t="n">
        <v>2.9</v>
      </c>
      <c r="G183" s="13" t="n">
        <f aca="false">IFERROR(VLOOKUP(158,Recipes!$B$7:$G$323,6,FALSE()),0)</f>
        <v>0.754309838472834</v>
      </c>
      <c r="H183" s="23" t="n">
        <f aca="false">IFERROR((F183-G183)/F183,0)</f>
        <v>0.739893159147299</v>
      </c>
      <c r="I183" s="14"/>
    </row>
    <row r="184" customFormat="false" ht="15" hidden="false" customHeight="true" outlineLevel="0" collapsed="false">
      <c r="B184" s="14" t="n">
        <v>179</v>
      </c>
      <c r="C184" s="11" t="s">
        <v>376</v>
      </c>
      <c r="D184" s="11" t="s">
        <v>266</v>
      </c>
      <c r="E184" s="11" t="s">
        <v>278</v>
      </c>
      <c r="F184" s="22" t="n">
        <v>3.1</v>
      </c>
      <c r="G184" s="13" t="n">
        <f aca="false">IFERROR(VLOOKUP(157,Recipes!$B$7:$G$323,6,FALSE()),0)</f>
        <v>0.798964757709251</v>
      </c>
      <c r="H184" s="23" t="n">
        <f aca="false">IFERROR((F184-G184)/F184,0)</f>
        <v>0.742269432997016</v>
      </c>
      <c r="I184" s="14"/>
    </row>
    <row r="185" customFormat="false" ht="15" hidden="false" customHeight="true" outlineLevel="0" collapsed="false">
      <c r="B185" s="14" t="n">
        <v>180</v>
      </c>
      <c r="C185" s="11" t="s">
        <v>377</v>
      </c>
      <c r="D185" s="11" t="s">
        <v>268</v>
      </c>
      <c r="E185" s="11" t="s">
        <v>390</v>
      </c>
      <c r="F185" s="22" t="n">
        <v>3.6</v>
      </c>
      <c r="G185" s="13" t="n">
        <f aca="false">IFERROR(VLOOKUP(160,Recipes!$B$7:$G$323,6,FALSE()),0)</f>
        <v>0.954911894273128</v>
      </c>
      <c r="H185" s="23" t="n">
        <f aca="false">IFERROR((F185-G185)/F185,0)</f>
        <v>0.734746696035242</v>
      </c>
      <c r="I185" s="14"/>
    </row>
    <row r="186" customFormat="false" ht="15" hidden="false" customHeight="true" outlineLevel="0" collapsed="false">
      <c r="B186" s="14" t="n">
        <v>181</v>
      </c>
      <c r="C186" s="11" t="s">
        <v>377</v>
      </c>
      <c r="D186" s="11" t="s">
        <v>266</v>
      </c>
      <c r="E186" s="11" t="s">
        <v>390</v>
      </c>
      <c r="F186" s="22" t="n">
        <v>4.1</v>
      </c>
      <c r="G186" s="13" t="n">
        <f aca="false">IFERROR(VLOOKUP(159,Recipes!$B$7:$G$323,6,FALSE()),0)</f>
        <v>1.08154919236417</v>
      </c>
      <c r="H186" s="23" t="n">
        <f aca="false">IFERROR((F186-G186)/F186,0)</f>
        <v>0.736207514057519</v>
      </c>
      <c r="I186" s="14"/>
    </row>
    <row r="187" customFormat="false" ht="15" hidden="false" customHeight="true" outlineLevel="0" collapsed="false">
      <c r="B187" s="14" t="n">
        <v>182</v>
      </c>
      <c r="C187" s="11" t="s">
        <v>361</v>
      </c>
      <c r="D187" s="11" t="s">
        <v>268</v>
      </c>
      <c r="E187" s="11" t="s">
        <v>390</v>
      </c>
      <c r="F187" s="22" t="n">
        <v>4.3</v>
      </c>
      <c r="G187" s="13" t="n">
        <f aca="false">IFERROR(VLOOKUP(136,Recipes!$B$7:$G$323,6,FALSE()),0)</f>
        <v>1.10491189427313</v>
      </c>
      <c r="H187" s="23" t="n">
        <f aca="false">IFERROR((F187-G187)/F187,0)</f>
        <v>0.743043745517877</v>
      </c>
      <c r="I187" s="14" t="s">
        <v>283</v>
      </c>
    </row>
    <row r="188" customFormat="false" ht="15" hidden="false" customHeight="true" outlineLevel="0" collapsed="false">
      <c r="B188" s="14" t="n">
        <v>183</v>
      </c>
      <c r="C188" s="11" t="s">
        <v>361</v>
      </c>
      <c r="D188" s="11" t="s">
        <v>266</v>
      </c>
      <c r="E188" s="11" t="s">
        <v>390</v>
      </c>
      <c r="F188" s="22" t="n">
        <v>4.6</v>
      </c>
      <c r="G188" s="13" t="n">
        <f aca="false">IFERROR(VLOOKUP(135,Recipes!$B$7:$G$323,6,FALSE()),0)</f>
        <v>1.23154919236417</v>
      </c>
      <c r="H188" s="23" t="n">
        <f aca="false">IFERROR((F188-G188)/F188,0)</f>
        <v>0.732271914703441</v>
      </c>
      <c r="I188" s="14" t="s">
        <v>283</v>
      </c>
    </row>
    <row r="189" customFormat="false" ht="15" hidden="false" customHeight="true" outlineLevel="0" collapsed="false">
      <c r="B189" s="14" t="n">
        <v>184</v>
      </c>
      <c r="C189" s="11" t="s">
        <v>474</v>
      </c>
      <c r="D189" s="11" t="s">
        <v>266</v>
      </c>
      <c r="E189" s="11" t="s">
        <v>516</v>
      </c>
      <c r="F189" s="22" t="n">
        <v>4</v>
      </c>
      <c r="G189" s="13" t="n">
        <f aca="false">IFERROR(VLOOKUP(293,Recipes!$B$7:$G$323,6,FALSE()),0)</f>
        <v>0.862003737818716</v>
      </c>
      <c r="H189" s="23" t="n">
        <f aca="false">IFERROR((F189-G189)/F189,0)</f>
        <v>0.784499065545321</v>
      </c>
      <c r="I189" s="14"/>
    </row>
    <row r="190" customFormat="false" ht="15" hidden="false" customHeight="true" outlineLevel="0" collapsed="false">
      <c r="B190" s="14" t="n">
        <v>185</v>
      </c>
      <c r="C190" s="11" t="s">
        <v>378</v>
      </c>
      <c r="D190" s="11" t="s">
        <v>274</v>
      </c>
      <c r="E190" s="11" t="s">
        <v>111</v>
      </c>
      <c r="F190" s="22" t="n">
        <v>2</v>
      </c>
      <c r="G190" s="13" t="n">
        <f aca="false">IFERROR(VLOOKUP(161,Recipes!$B$7:$G$323,6,FALSE()),0)</f>
        <v>0.199875</v>
      </c>
      <c r="H190" s="23" t="n">
        <f aca="false">IFERROR((F190-G190)/F190,0)</f>
        <v>0.9000625</v>
      </c>
      <c r="I190" s="14"/>
    </row>
    <row r="191" customFormat="false" ht="15" hidden="false" customHeight="true" outlineLevel="0" collapsed="false">
      <c r="B191" s="14" t="n">
        <v>186</v>
      </c>
      <c r="C191" s="11" t="s">
        <v>379</v>
      </c>
      <c r="D191" s="11" t="s">
        <v>266</v>
      </c>
      <c r="E191" s="11" t="s">
        <v>513</v>
      </c>
      <c r="F191" s="22" t="n">
        <v>1.9</v>
      </c>
      <c r="G191" s="13" t="n">
        <f aca="false">IFERROR(VLOOKUP(162,Recipes!$B$7:$G$323,6,FALSE()),0)</f>
        <v>0</v>
      </c>
      <c r="H191" s="23" t="n">
        <f aca="false">IFERROR((F191-G191)/F191,0)</f>
        <v>1</v>
      </c>
      <c r="I191" s="14"/>
    </row>
    <row r="192" customFormat="false" ht="15" hidden="false" customHeight="true" outlineLevel="0" collapsed="false">
      <c r="B192" s="14" t="n">
        <v>187</v>
      </c>
      <c r="C192" s="11" t="s">
        <v>381</v>
      </c>
      <c r="D192" s="11" t="s">
        <v>268</v>
      </c>
      <c r="E192" s="11" t="s">
        <v>321</v>
      </c>
      <c r="F192" s="22" t="n">
        <v>4.4</v>
      </c>
      <c r="G192" s="13" t="n">
        <f aca="false">IFERROR(VLOOKUP(164,Recipes!$B$7:$G$323,6,FALSE()),0)</f>
        <v>0.55529919236417</v>
      </c>
      <c r="H192" s="23" t="n">
        <f aca="false">IFERROR((F192-G192)/F192,0)</f>
        <v>0.873795638099052</v>
      </c>
      <c r="I192" s="14"/>
    </row>
    <row r="193" customFormat="false" ht="15" hidden="false" customHeight="true" outlineLevel="0" collapsed="false">
      <c r="B193" s="14" t="n">
        <v>188</v>
      </c>
      <c r="C193" s="11" t="s">
        <v>381</v>
      </c>
      <c r="D193" s="11" t="s">
        <v>266</v>
      </c>
      <c r="E193" s="11" t="s">
        <v>321</v>
      </c>
      <c r="F193" s="22" t="n">
        <v>4.8</v>
      </c>
      <c r="G193" s="13" t="n">
        <f aca="false">IFERROR(VLOOKUP(163,Recipes!$B$7:$G$323,6,FALSE()),0)</f>
        <v>0.58529919236417</v>
      </c>
      <c r="H193" s="23" t="n">
        <f aca="false">IFERROR((F193-G193)/F193,0)</f>
        <v>0.878062668257464</v>
      </c>
      <c r="I193" s="14"/>
    </row>
    <row r="194" customFormat="false" ht="15" hidden="false" customHeight="true" outlineLevel="0" collapsed="false">
      <c r="B194" s="14" t="n">
        <v>189</v>
      </c>
      <c r="C194" s="11" t="s">
        <v>179</v>
      </c>
      <c r="D194" s="11" t="s">
        <v>266</v>
      </c>
      <c r="E194" s="11" t="s">
        <v>514</v>
      </c>
      <c r="F194" s="22" t="n">
        <v>4.1</v>
      </c>
      <c r="G194" s="13" t="n">
        <f aca="false">IFERROR(VLOOKUP(294,Recipes!$B$7:$G$323,6,FALSE()),0)</f>
        <v>1.75</v>
      </c>
      <c r="H194" s="23" t="n">
        <f aca="false">IFERROR((F194-G194)/F194,0)</f>
        <v>0.573170731707317</v>
      </c>
      <c r="I194" s="14"/>
    </row>
    <row r="195" customFormat="false" ht="15" hidden="false" customHeight="true" outlineLevel="0" collapsed="false">
      <c r="B195" s="14" t="n">
        <v>190</v>
      </c>
      <c r="C195" s="11" t="s">
        <v>180</v>
      </c>
      <c r="D195" s="11" t="s">
        <v>266</v>
      </c>
      <c r="E195" s="11" t="s">
        <v>514</v>
      </c>
      <c r="F195" s="22" t="n">
        <v>25</v>
      </c>
      <c r="G195" s="13" t="n">
        <f aca="false">IFERROR(VLOOKUP(165,Recipes!$B$7:$G$323,6,FALSE()),0)</f>
        <v>14</v>
      </c>
      <c r="H195" s="23" t="n">
        <f aca="false">IFERROR((F195-G195)/F195,0)</f>
        <v>0.44</v>
      </c>
      <c r="I195" s="14"/>
    </row>
    <row r="196" customFormat="false" ht="15" hidden="false" customHeight="true" outlineLevel="0" collapsed="false">
      <c r="B196" s="14" t="n">
        <v>191</v>
      </c>
      <c r="C196" s="11" t="s">
        <v>382</v>
      </c>
      <c r="D196" s="11" t="s">
        <v>268</v>
      </c>
      <c r="E196" s="11" t="s">
        <v>517</v>
      </c>
      <c r="F196" s="22" t="n">
        <v>3.2</v>
      </c>
      <c r="G196" s="13" t="n">
        <f aca="false">IFERROR(VLOOKUP(167,Recipes!$B$7:$G$323,6,FALSE()),0)</f>
        <v>0.836894273127753</v>
      </c>
      <c r="H196" s="23" t="n">
        <f aca="false">IFERROR((F196-G196)/F196,0)</f>
        <v>0.738470539647577</v>
      </c>
      <c r="I196" s="14"/>
    </row>
    <row r="197" customFormat="false" ht="15" hidden="false" customHeight="true" outlineLevel="0" collapsed="false">
      <c r="B197" s="14" t="n">
        <v>192</v>
      </c>
      <c r="C197" s="11" t="s">
        <v>382</v>
      </c>
      <c r="D197" s="11" t="s">
        <v>266</v>
      </c>
      <c r="E197" s="11" t="s">
        <v>517</v>
      </c>
      <c r="F197" s="22" t="n">
        <v>3.5</v>
      </c>
      <c r="G197" s="13" t="n">
        <f aca="false">IFERROR(VLOOKUP(166,Recipes!$B$7:$G$323,6,FALSE()),0)</f>
        <v>0.944823788546256</v>
      </c>
      <c r="H197" s="23" t="n">
        <f aca="false">IFERROR((F197-G197)/F197,0)</f>
        <v>0.730050346129641</v>
      </c>
      <c r="I197" s="14"/>
    </row>
    <row r="198" customFormat="false" ht="15" hidden="false" customHeight="true" outlineLevel="0" collapsed="false">
      <c r="B198" s="14" t="n">
        <v>193</v>
      </c>
      <c r="C198" s="11" t="s">
        <v>382</v>
      </c>
      <c r="D198" s="11" t="s">
        <v>279</v>
      </c>
      <c r="E198" s="11" t="s">
        <v>517</v>
      </c>
      <c r="F198" s="22" t="n">
        <v>3.8</v>
      </c>
      <c r="G198" s="13" t="n">
        <f aca="false">IFERROR(VLOOKUP(168,Recipes!$B$7:$G$323,6,FALSE()),0)</f>
        <v>1.60378854625551</v>
      </c>
      <c r="H198" s="23" t="n">
        <f aca="false">IFERROR((F198-G198)/F198,0)</f>
        <v>0.57795038256434</v>
      </c>
      <c r="I198" s="14"/>
    </row>
    <row r="199" customFormat="false" ht="15" hidden="false" customHeight="true" outlineLevel="0" collapsed="false">
      <c r="B199" s="14" t="n">
        <v>194</v>
      </c>
      <c r="C199" s="11" t="s">
        <v>384</v>
      </c>
      <c r="D199" s="11" t="s">
        <v>268</v>
      </c>
      <c r="E199" s="11" t="s">
        <v>290</v>
      </c>
      <c r="F199" s="22" t="n">
        <v>4</v>
      </c>
      <c r="G199" s="13" t="n">
        <f aca="false">IFERROR(VLOOKUP(170,Recipes!$B$7:$G$323,6,FALSE()),0)</f>
        <v>0.571204111600587</v>
      </c>
      <c r="H199" s="23" t="n">
        <f aca="false">IFERROR((F199-G199)/F199,0)</f>
        <v>0.857198972099853</v>
      </c>
      <c r="I199" s="14" t="s">
        <v>283</v>
      </c>
    </row>
    <row r="200" customFormat="false" ht="15" hidden="false" customHeight="true" outlineLevel="0" collapsed="false">
      <c r="B200" s="14" t="n">
        <v>195</v>
      </c>
      <c r="C200" s="11" t="s">
        <v>384</v>
      </c>
      <c r="D200" s="11" t="s">
        <v>266</v>
      </c>
      <c r="E200" s="11" t="s">
        <v>290</v>
      </c>
      <c r="F200" s="22" t="n">
        <v>4.2</v>
      </c>
      <c r="G200" s="13" t="n">
        <f aca="false">IFERROR(VLOOKUP(169,Recipes!$B$7:$G$323,6,FALSE()),0)</f>
        <v>0.74913362701909</v>
      </c>
      <c r="H200" s="23" t="n">
        <f aca="false">IFERROR((F200-G200)/F200,0)</f>
        <v>0.821634850709741</v>
      </c>
      <c r="I200" s="14" t="s">
        <v>283</v>
      </c>
    </row>
    <row r="201" customFormat="false" ht="15" hidden="false" customHeight="true" outlineLevel="0" collapsed="false">
      <c r="B201" s="14" t="n">
        <v>196</v>
      </c>
      <c r="C201" s="11" t="s">
        <v>384</v>
      </c>
      <c r="D201" s="11" t="s">
        <v>279</v>
      </c>
      <c r="E201" s="11" t="s">
        <v>290</v>
      </c>
      <c r="F201" s="22" t="n">
        <v>4.4</v>
      </c>
      <c r="G201" s="13" t="n">
        <f aca="false">IFERROR(VLOOKUP(171,Recipes!$B$7:$G$323,6,FALSE()),0)</f>
        <v>0.937063142437592</v>
      </c>
      <c r="H201" s="23" t="n">
        <f aca="false">IFERROR((F201-G201)/F201,0)</f>
        <v>0.787031103991457</v>
      </c>
      <c r="I201" s="14" t="s">
        <v>283</v>
      </c>
    </row>
    <row r="202" customFormat="false" ht="15" hidden="false" customHeight="true" outlineLevel="0" collapsed="false">
      <c r="B202" s="14" t="n">
        <v>197</v>
      </c>
      <c r="C202" s="11" t="s">
        <v>475</v>
      </c>
      <c r="D202" s="11" t="s">
        <v>266</v>
      </c>
      <c r="E202" s="11" t="s">
        <v>514</v>
      </c>
      <c r="F202" s="22" t="n">
        <v>2.05</v>
      </c>
      <c r="G202" s="13" t="n">
        <f aca="false">IFERROR(VLOOKUP(295,Recipes!$B$7:$G$323,6,FALSE()),0)</f>
        <v>0.91</v>
      </c>
      <c r="H202" s="23" t="n">
        <f aca="false">IFERROR((F202-G202)/F202,0)</f>
        <v>0.55609756097561</v>
      </c>
      <c r="I202" s="14"/>
    </row>
    <row r="203" customFormat="false" ht="15" hidden="false" customHeight="true" outlineLevel="0" collapsed="false">
      <c r="B203" s="14" t="n">
        <v>198</v>
      </c>
      <c r="C203" s="11" t="s">
        <v>385</v>
      </c>
      <c r="D203" s="11" t="s">
        <v>266</v>
      </c>
      <c r="E203" s="11" t="s">
        <v>514</v>
      </c>
      <c r="F203" s="22" t="n">
        <v>3.4</v>
      </c>
      <c r="G203" s="13" t="n">
        <f aca="false">IFERROR(VLOOKUP(172,Recipes!$B$7:$G$323,6,FALSE()),0)</f>
        <v>1.32</v>
      </c>
      <c r="H203" s="23" t="n">
        <f aca="false">IFERROR((F203-G203)/F203,0)</f>
        <v>0.611764705882353</v>
      </c>
      <c r="I203" s="14"/>
    </row>
    <row r="204" customFormat="false" ht="15" hidden="false" customHeight="true" outlineLevel="0" collapsed="false">
      <c r="B204" s="14" t="n">
        <v>199</v>
      </c>
      <c r="C204" s="11" t="s">
        <v>476</v>
      </c>
      <c r="D204" s="11" t="s">
        <v>266</v>
      </c>
      <c r="E204" s="11" t="s">
        <v>512</v>
      </c>
      <c r="F204" s="22" t="n">
        <v>6.95</v>
      </c>
      <c r="G204" s="13" t="n">
        <f aca="false">IFERROR(VLOOKUP(296,Recipes!$B$7:$G$323,6,FALSE()),0)</f>
        <v>0</v>
      </c>
      <c r="H204" s="23" t="n">
        <f aca="false">IFERROR((F204-G204)/F204,0)</f>
        <v>1</v>
      </c>
      <c r="I204" s="14"/>
    </row>
    <row r="205" customFormat="false" ht="15" hidden="false" customHeight="true" outlineLevel="0" collapsed="false">
      <c r="B205" s="14" t="n">
        <v>200</v>
      </c>
      <c r="C205" s="11" t="s">
        <v>151</v>
      </c>
      <c r="D205" s="11" t="s">
        <v>266</v>
      </c>
      <c r="E205" s="11" t="s">
        <v>518</v>
      </c>
      <c r="F205" s="22" t="n">
        <v>0.5</v>
      </c>
      <c r="G205" s="13" t="n">
        <f aca="false">IFERROR(VLOOKUP(297,Recipes!$B$7:$G$323,6,FALSE()),0)</f>
        <v>0.04</v>
      </c>
      <c r="H205" s="23" t="n">
        <f aca="false">IFERROR((F205-G205)/F205,0)</f>
        <v>0.92</v>
      </c>
      <c r="I205" s="14"/>
    </row>
    <row r="206" customFormat="false" ht="15" hidden="false" customHeight="true" outlineLevel="0" collapsed="false">
      <c r="B206" s="14" t="n">
        <v>201</v>
      </c>
      <c r="C206" s="11" t="s">
        <v>478</v>
      </c>
      <c r="D206" s="11" t="s">
        <v>266</v>
      </c>
      <c r="E206" s="11" t="s">
        <v>514</v>
      </c>
      <c r="F206" s="22" t="n">
        <v>3.55</v>
      </c>
      <c r="G206" s="13" t="n">
        <f aca="false">IFERROR(VLOOKUP(298,Recipes!$B$7:$G$323,6,FALSE()),0)</f>
        <v>1.4</v>
      </c>
      <c r="H206" s="23" t="n">
        <f aca="false">IFERROR((F206-G206)/F206,0)</f>
        <v>0.605633802816901</v>
      </c>
      <c r="I206" s="14"/>
    </row>
    <row r="207" customFormat="false" ht="15" hidden="false" customHeight="true" outlineLevel="0" collapsed="false">
      <c r="B207" s="14" t="n">
        <v>202</v>
      </c>
      <c r="C207" s="11" t="s">
        <v>386</v>
      </c>
      <c r="D207" s="11" t="s">
        <v>274</v>
      </c>
      <c r="E207" s="11" t="s">
        <v>111</v>
      </c>
      <c r="F207" s="22" t="n">
        <v>1.9</v>
      </c>
      <c r="G207" s="13" t="n">
        <f aca="false">IFERROR(VLOOKUP(173,Recipes!$B$7:$G$323,6,FALSE()),0)</f>
        <v>0.199875</v>
      </c>
      <c r="H207" s="23" t="n">
        <f aca="false">IFERROR((F207-G207)/F207,0)</f>
        <v>0.894802631578947</v>
      </c>
      <c r="I207" s="14" t="s">
        <v>275</v>
      </c>
    </row>
    <row r="208" customFormat="false" ht="15" hidden="false" customHeight="true" outlineLevel="0" collapsed="false">
      <c r="B208" s="14" t="n">
        <v>203</v>
      </c>
      <c r="C208" s="11" t="s">
        <v>387</v>
      </c>
      <c r="D208" s="11" t="s">
        <v>268</v>
      </c>
      <c r="E208" s="11" t="s">
        <v>290</v>
      </c>
      <c r="F208" s="22" t="n">
        <v>4</v>
      </c>
      <c r="G208" s="13" t="n">
        <f aca="false">IFERROR(VLOOKUP(175,Recipes!$B$7:$G$323,6,FALSE()),0)</f>
        <v>0.421204111600587</v>
      </c>
      <c r="H208" s="23" t="n">
        <f aca="false">IFERROR((F208-G208)/F208,0)</f>
        <v>0.894698972099853</v>
      </c>
      <c r="I208" s="14"/>
    </row>
    <row r="209" customFormat="false" ht="15" hidden="false" customHeight="true" outlineLevel="0" collapsed="false">
      <c r="B209" s="14" t="n">
        <v>204</v>
      </c>
      <c r="C209" s="11" t="s">
        <v>387</v>
      </c>
      <c r="D209" s="11" t="s">
        <v>266</v>
      </c>
      <c r="E209" s="11" t="s">
        <v>290</v>
      </c>
      <c r="F209" s="22" t="n">
        <v>4.2</v>
      </c>
      <c r="G209" s="13" t="n">
        <f aca="false">IFERROR(VLOOKUP(174,Recipes!$B$7:$G$323,6,FALSE()),0)</f>
        <v>0.59913362701909</v>
      </c>
      <c r="H209" s="23" t="n">
        <f aca="false">IFERROR((F209-G209)/F209,0)</f>
        <v>0.857349136424026</v>
      </c>
      <c r="I209" s="14"/>
    </row>
    <row r="210" customFormat="false" ht="15" hidden="false" customHeight="true" outlineLevel="0" collapsed="false">
      <c r="B210" s="14" t="n">
        <v>205</v>
      </c>
      <c r="C210" s="11" t="s">
        <v>387</v>
      </c>
      <c r="D210" s="11" t="s">
        <v>279</v>
      </c>
      <c r="E210" s="11" t="s">
        <v>290</v>
      </c>
      <c r="F210" s="22" t="n">
        <v>4.6</v>
      </c>
      <c r="G210" s="13" t="n">
        <f aca="false">IFERROR(VLOOKUP(176,Recipes!$B$7:$G$323,6,FALSE()),0)</f>
        <v>0.787063142437592</v>
      </c>
      <c r="H210" s="23" t="n">
        <f aca="false">IFERROR((F210-G210)/F210,0)</f>
        <v>0.828899316861393</v>
      </c>
      <c r="I210" s="14"/>
    </row>
    <row r="211" customFormat="false" ht="15" hidden="false" customHeight="true" outlineLevel="0" collapsed="false">
      <c r="B211" s="14" t="n">
        <v>206</v>
      </c>
      <c r="C211" s="11" t="s">
        <v>388</v>
      </c>
      <c r="D211" s="11" t="s">
        <v>268</v>
      </c>
      <c r="E211" s="11" t="s">
        <v>517</v>
      </c>
      <c r="F211" s="22" t="n">
        <v>3.9</v>
      </c>
      <c r="G211" s="13" t="n">
        <f aca="false">IFERROR(VLOOKUP(178,Recipes!$B$7:$G$323,6,FALSE()),0)</f>
        <v>0.836894273127753</v>
      </c>
      <c r="H211" s="23" t="n">
        <f aca="false">IFERROR((F211-G211)/F211,0)</f>
        <v>0.785411724839038</v>
      </c>
      <c r="I211" s="14"/>
    </row>
    <row r="212" customFormat="false" ht="15" hidden="false" customHeight="true" outlineLevel="0" collapsed="false">
      <c r="B212" s="14" t="n">
        <v>207</v>
      </c>
      <c r="C212" s="11" t="s">
        <v>388</v>
      </c>
      <c r="D212" s="11" t="s">
        <v>266</v>
      </c>
      <c r="E212" s="11" t="s">
        <v>517</v>
      </c>
      <c r="F212" s="22" t="n">
        <v>4.1</v>
      </c>
      <c r="G212" s="13" t="n">
        <f aca="false">IFERROR(VLOOKUP(177,Recipes!$B$7:$G$323,6,FALSE()),0)</f>
        <v>0.944823788546256</v>
      </c>
      <c r="H212" s="23" t="n">
        <f aca="false">IFERROR((F212-G212)/F212,0)</f>
        <v>0.769555173525304</v>
      </c>
      <c r="I212" s="14"/>
    </row>
    <row r="213" customFormat="false" ht="15" hidden="false" customHeight="true" outlineLevel="0" collapsed="false">
      <c r="B213" s="14" t="n">
        <v>208</v>
      </c>
      <c r="C213" s="11" t="s">
        <v>388</v>
      </c>
      <c r="D213" s="11" t="s">
        <v>279</v>
      </c>
      <c r="E213" s="11" t="s">
        <v>517</v>
      </c>
      <c r="F213" s="22" t="n">
        <v>4.4</v>
      </c>
      <c r="G213" s="13" t="n">
        <f aca="false">IFERROR(VLOOKUP(179,Recipes!$B$7:$G$323,6,FALSE()),0)</f>
        <v>1.60378854625551</v>
      </c>
      <c r="H213" s="23" t="n">
        <f aca="false">IFERROR((F213-G213)/F213,0)</f>
        <v>0.635502603123749</v>
      </c>
      <c r="I213" s="14"/>
    </row>
    <row r="214" customFormat="false" ht="15" hidden="false" customHeight="true" outlineLevel="0" collapsed="false">
      <c r="B214" s="14" t="n">
        <v>209</v>
      </c>
      <c r="C214" s="11" t="s">
        <v>390</v>
      </c>
      <c r="D214" s="11" t="s">
        <v>268</v>
      </c>
      <c r="E214" s="11" t="s">
        <v>390</v>
      </c>
      <c r="F214" s="22" t="n">
        <v>3.4</v>
      </c>
      <c r="G214" s="13" t="n">
        <f aca="false">IFERROR(VLOOKUP(181,Recipes!$B$7:$G$323,6,FALSE()),0)</f>
        <v>0.976894273127753</v>
      </c>
      <c r="H214" s="23" t="n">
        <f aca="false">IFERROR((F214-G214)/F214,0)</f>
        <v>0.712678154962426</v>
      </c>
      <c r="I214" s="14"/>
    </row>
    <row r="215" customFormat="false" ht="15" hidden="false" customHeight="true" outlineLevel="0" collapsed="false">
      <c r="B215" s="14" t="n">
        <v>210</v>
      </c>
      <c r="C215" s="11" t="s">
        <v>390</v>
      </c>
      <c r="D215" s="11" t="s">
        <v>266</v>
      </c>
      <c r="E215" s="11" t="s">
        <v>390</v>
      </c>
      <c r="F215" s="22" t="n">
        <v>3.7</v>
      </c>
      <c r="G215" s="13" t="n">
        <f aca="false">IFERROR(VLOOKUP(180,Recipes!$B$7:$G$323,6,FALSE()),0)</f>
        <v>1.15482378854626</v>
      </c>
      <c r="H215" s="23" t="n">
        <f aca="false">IFERROR((F215-G215)/F215,0)</f>
        <v>0.687885462555066</v>
      </c>
      <c r="I215" s="14"/>
    </row>
    <row r="216" customFormat="false" ht="15" hidden="false" customHeight="true" outlineLevel="0" collapsed="false">
      <c r="B216" s="14" t="n">
        <v>211</v>
      </c>
      <c r="C216" s="11" t="s">
        <v>390</v>
      </c>
      <c r="D216" s="11" t="s">
        <v>279</v>
      </c>
      <c r="E216" s="11" t="s">
        <v>390</v>
      </c>
      <c r="F216" s="22" t="n">
        <v>4</v>
      </c>
      <c r="G216" s="13" t="n">
        <f aca="false">IFERROR(VLOOKUP(182,Recipes!$B$7:$G$323,6,FALSE()),0)</f>
        <v>1.88378854625551</v>
      </c>
      <c r="H216" s="23" t="n">
        <f aca="false">IFERROR((F216-G216)/F216,0)</f>
        <v>0.529052863436123</v>
      </c>
      <c r="I216" s="14"/>
    </row>
    <row r="217" customFormat="false" ht="15" hidden="false" customHeight="true" outlineLevel="0" collapsed="false">
      <c r="B217" s="14" t="n">
        <v>212</v>
      </c>
      <c r="C217" s="11" t="s">
        <v>391</v>
      </c>
      <c r="D217" s="11" t="s">
        <v>274</v>
      </c>
      <c r="E217" s="11" t="s">
        <v>390</v>
      </c>
      <c r="F217" s="22" t="n">
        <v>3.15</v>
      </c>
      <c r="G217" s="13" t="n">
        <f aca="false">IFERROR(VLOOKUP(183,Recipes!$B$7:$G$323,6,FALSE()),0)</f>
        <v>0.906894273127753</v>
      </c>
      <c r="H217" s="23" t="n">
        <f aca="false">IFERROR((F217-G217)/F217,0)</f>
        <v>0.71209705614992</v>
      </c>
      <c r="I217" s="14"/>
    </row>
    <row r="218" customFormat="false" ht="15" hidden="false" customHeight="true" outlineLevel="0" collapsed="false">
      <c r="B218" s="14" t="n">
        <v>213</v>
      </c>
      <c r="C218" s="11" t="s">
        <v>479</v>
      </c>
      <c r="D218" s="11" t="s">
        <v>266</v>
      </c>
      <c r="E218" s="11" t="s">
        <v>518</v>
      </c>
      <c r="F218" s="22" t="n">
        <v>0.5</v>
      </c>
      <c r="G218" s="13" t="n">
        <f aca="false">IFERROR(VLOOKUP(299,Recipes!$B$7:$G$323,6,FALSE()),0)</f>
        <v>0.125</v>
      </c>
      <c r="H218" s="23" t="n">
        <f aca="false">IFERROR((F218-G218)/F218,0)</f>
        <v>0.75</v>
      </c>
      <c r="I218" s="14"/>
    </row>
    <row r="219" customFormat="false" ht="15" hidden="false" customHeight="true" outlineLevel="0" collapsed="false">
      <c r="B219" s="14" t="n">
        <v>214</v>
      </c>
      <c r="C219" s="11" t="s">
        <v>396</v>
      </c>
      <c r="D219" s="11" t="s">
        <v>268</v>
      </c>
      <c r="E219" s="11" t="s">
        <v>278</v>
      </c>
      <c r="F219" s="22" t="n">
        <v>3.4</v>
      </c>
      <c r="G219" s="13" t="n">
        <f aca="false">IFERROR(VLOOKUP(191,Recipes!$B$7:$G$323,6,FALSE()),0)</f>
        <v>0.93</v>
      </c>
      <c r="H219" s="23" t="n">
        <f aca="false">IFERROR((F219-G219)/F219,0)</f>
        <v>0.726470588235294</v>
      </c>
      <c r="I219" s="14"/>
    </row>
    <row r="220" customFormat="false" ht="15" hidden="false" customHeight="true" outlineLevel="0" collapsed="false">
      <c r="B220" s="14" t="n">
        <v>215</v>
      </c>
      <c r="C220" s="11" t="s">
        <v>396</v>
      </c>
      <c r="D220" s="11" t="s">
        <v>266</v>
      </c>
      <c r="E220" s="11" t="s">
        <v>278</v>
      </c>
      <c r="F220" s="22" t="n">
        <v>3.7</v>
      </c>
      <c r="G220" s="13" t="n">
        <f aca="false">IFERROR(VLOOKUP(190,Recipes!$B$7:$G$323,6,FALSE()),0)</f>
        <v>1.055</v>
      </c>
      <c r="H220" s="23" t="n">
        <f aca="false">IFERROR((F220-G220)/F220,0)</f>
        <v>0.714864864864865</v>
      </c>
      <c r="I220" s="14"/>
    </row>
    <row r="221" customFormat="false" ht="15" hidden="false" customHeight="true" outlineLevel="0" collapsed="false">
      <c r="B221" s="14" t="n">
        <v>216</v>
      </c>
      <c r="C221" s="11" t="s">
        <v>396</v>
      </c>
      <c r="D221" s="11" t="s">
        <v>279</v>
      </c>
      <c r="E221" s="11" t="s">
        <v>278</v>
      </c>
      <c r="F221" s="22" t="n">
        <v>4</v>
      </c>
      <c r="G221" s="13" t="n">
        <f aca="false">IFERROR(VLOOKUP(192,Recipes!$B$7:$G$323,6,FALSE()),0)</f>
        <v>1.76</v>
      </c>
      <c r="H221" s="23" t="n">
        <f aca="false">IFERROR((F221-G221)/F221,0)</f>
        <v>0.56</v>
      </c>
      <c r="I221" s="14"/>
    </row>
    <row r="222" customFormat="false" ht="15" hidden="false" customHeight="true" outlineLevel="0" collapsed="false">
      <c r="B222" s="14" t="n">
        <v>217</v>
      </c>
      <c r="C222" s="11" t="s">
        <v>393</v>
      </c>
      <c r="D222" s="11" t="s">
        <v>268</v>
      </c>
      <c r="E222" s="11" t="s">
        <v>290</v>
      </c>
      <c r="F222" s="22" t="n">
        <v>4</v>
      </c>
      <c r="G222" s="13" t="n">
        <f aca="false">IFERROR(VLOOKUP(185,Recipes!$B$7:$G$323,6,FALSE()),0)</f>
        <v>0.421204111600587</v>
      </c>
      <c r="H222" s="23" t="n">
        <f aca="false">IFERROR((F222-G222)/F222,0)</f>
        <v>0.894698972099853</v>
      </c>
      <c r="I222" s="14"/>
    </row>
    <row r="223" customFormat="false" ht="15" hidden="false" customHeight="true" outlineLevel="0" collapsed="false">
      <c r="B223" s="14" t="n">
        <v>218</v>
      </c>
      <c r="C223" s="11" t="s">
        <v>393</v>
      </c>
      <c r="D223" s="11" t="s">
        <v>266</v>
      </c>
      <c r="E223" s="11" t="s">
        <v>290</v>
      </c>
      <c r="F223" s="22" t="n">
        <v>4.2</v>
      </c>
      <c r="G223" s="13" t="n">
        <f aca="false">IFERROR(VLOOKUP(184,Recipes!$B$7:$G$323,6,FALSE()),0)</f>
        <v>0.59913362701909</v>
      </c>
      <c r="H223" s="23" t="n">
        <f aca="false">IFERROR((F223-G223)/F223,0)</f>
        <v>0.857349136424026</v>
      </c>
      <c r="I223" s="14"/>
    </row>
    <row r="224" customFormat="false" ht="15" hidden="false" customHeight="true" outlineLevel="0" collapsed="false">
      <c r="B224" s="14" t="n">
        <v>219</v>
      </c>
      <c r="C224" s="11" t="s">
        <v>393</v>
      </c>
      <c r="D224" s="11" t="s">
        <v>279</v>
      </c>
      <c r="E224" s="11" t="s">
        <v>290</v>
      </c>
      <c r="F224" s="22" t="n">
        <v>4.6</v>
      </c>
      <c r="G224" s="13" t="n">
        <f aca="false">IFERROR(VLOOKUP(186,Recipes!$B$7:$G$323,6,FALSE()),0)</f>
        <v>0.787063142437592</v>
      </c>
      <c r="H224" s="23" t="n">
        <f aca="false">IFERROR((F224-G224)/F224,0)</f>
        <v>0.828899316861393</v>
      </c>
      <c r="I224" s="14"/>
    </row>
    <row r="225" customFormat="false" ht="15" hidden="false" customHeight="true" outlineLevel="0" collapsed="false">
      <c r="B225" s="14" t="n">
        <v>220</v>
      </c>
      <c r="C225" s="11" t="s">
        <v>480</v>
      </c>
      <c r="D225" s="11" t="s">
        <v>266</v>
      </c>
      <c r="E225" s="11" t="s">
        <v>513</v>
      </c>
      <c r="F225" s="22" t="n">
        <v>1.6</v>
      </c>
      <c r="G225" s="13" t="n">
        <f aca="false">IFERROR(VLOOKUP(300,Recipes!$B$7:$G$323,6,FALSE()),0)</f>
        <v>0</v>
      </c>
      <c r="H225" s="23" t="n">
        <f aca="false">IFERROR((F225-G225)/F225,0)</f>
        <v>1</v>
      </c>
      <c r="I225" s="14"/>
    </row>
    <row r="226" customFormat="false" ht="15" hidden="false" customHeight="true" outlineLevel="0" collapsed="false">
      <c r="B226" s="14" t="n">
        <v>221</v>
      </c>
      <c r="C226" s="11" t="s">
        <v>394</v>
      </c>
      <c r="D226" s="11" t="s">
        <v>268</v>
      </c>
      <c r="E226" s="11" t="s">
        <v>517</v>
      </c>
      <c r="F226" s="22" t="n">
        <v>3.9</v>
      </c>
      <c r="G226" s="13" t="n">
        <f aca="false">IFERROR(VLOOKUP(188,Recipes!$B$7:$G$323,6,FALSE()),0)</f>
        <v>0.836894273127753</v>
      </c>
      <c r="H226" s="23" t="n">
        <f aca="false">IFERROR((F226-G226)/F226,0)</f>
        <v>0.785411724839038</v>
      </c>
      <c r="I226" s="14"/>
    </row>
    <row r="227" customFormat="false" ht="15" hidden="false" customHeight="true" outlineLevel="0" collapsed="false">
      <c r="B227" s="14" t="n">
        <v>222</v>
      </c>
      <c r="C227" s="11" t="s">
        <v>394</v>
      </c>
      <c r="D227" s="11" t="s">
        <v>266</v>
      </c>
      <c r="E227" s="11" t="s">
        <v>517</v>
      </c>
      <c r="F227" s="22" t="n">
        <v>4.1</v>
      </c>
      <c r="G227" s="13" t="n">
        <f aca="false">IFERROR(VLOOKUP(187,Recipes!$B$7:$G$323,6,FALSE()),0)</f>
        <v>0.944823788546256</v>
      </c>
      <c r="H227" s="23" t="n">
        <f aca="false">IFERROR((F227-G227)/F227,0)</f>
        <v>0.769555173525304</v>
      </c>
      <c r="I227" s="14"/>
    </row>
    <row r="228" customFormat="false" ht="15" hidden="false" customHeight="true" outlineLevel="0" collapsed="false">
      <c r="B228" s="14" t="n">
        <v>223</v>
      </c>
      <c r="C228" s="11" t="s">
        <v>394</v>
      </c>
      <c r="D228" s="11" t="s">
        <v>279</v>
      </c>
      <c r="E228" s="11" t="s">
        <v>517</v>
      </c>
      <c r="F228" s="22" t="n">
        <v>4.4</v>
      </c>
      <c r="G228" s="13" t="n">
        <f aca="false">IFERROR(VLOOKUP(189,Recipes!$B$7:$G$323,6,FALSE()),0)</f>
        <v>1.60378854625551</v>
      </c>
      <c r="H228" s="23" t="n">
        <f aca="false">IFERROR((F228-G228)/F228,0)</f>
        <v>0.635502603123749</v>
      </c>
      <c r="I228" s="14"/>
    </row>
    <row r="229" customFormat="false" ht="15" hidden="false" customHeight="true" outlineLevel="0" collapsed="false">
      <c r="B229" s="14" t="n">
        <v>224</v>
      </c>
      <c r="C229" s="11" t="s">
        <v>397</v>
      </c>
      <c r="D229" s="11" t="s">
        <v>268</v>
      </c>
      <c r="E229" s="11" t="s">
        <v>523</v>
      </c>
      <c r="F229" s="22" t="n">
        <v>3.9</v>
      </c>
      <c r="G229" s="13" t="n">
        <f aca="false">IFERROR(VLOOKUP(194,Recipes!$B$7:$G$323,6,FALSE()),0)</f>
        <v>0</v>
      </c>
      <c r="H229" s="23" t="n">
        <f aca="false">IFERROR((F229-G229)/F229,0)</f>
        <v>1</v>
      </c>
      <c r="I229" s="14"/>
    </row>
    <row r="230" customFormat="false" ht="15" hidden="false" customHeight="true" outlineLevel="0" collapsed="false">
      <c r="B230" s="14" t="n">
        <v>225</v>
      </c>
      <c r="C230" s="11" t="s">
        <v>397</v>
      </c>
      <c r="D230" s="11" t="s">
        <v>266</v>
      </c>
      <c r="E230" s="11" t="s">
        <v>523</v>
      </c>
      <c r="F230" s="22" t="n">
        <v>4.2</v>
      </c>
      <c r="G230" s="13" t="n">
        <f aca="false">IFERROR(VLOOKUP(193,Recipes!$B$7:$G$323,6,FALSE()),0)</f>
        <v>0</v>
      </c>
      <c r="H230" s="23" t="n">
        <f aca="false">IFERROR((F230-G230)/F230,0)</f>
        <v>1</v>
      </c>
      <c r="I230" s="14"/>
    </row>
    <row r="231" customFormat="false" ht="15" hidden="false" customHeight="true" outlineLevel="0" collapsed="false">
      <c r="B231" s="14" t="n">
        <v>226</v>
      </c>
      <c r="C231" s="11" t="s">
        <v>399</v>
      </c>
      <c r="D231" s="11" t="s">
        <v>268</v>
      </c>
      <c r="E231" s="11" t="s">
        <v>321</v>
      </c>
      <c r="F231" s="22" t="n">
        <v>4.4</v>
      </c>
      <c r="G231" s="13" t="n">
        <f aca="false">IFERROR(VLOOKUP(196,Recipes!$B$7:$G$323,6,FALSE()),0)</f>
        <v>0.55529919236417</v>
      </c>
      <c r="H231" s="23" t="n">
        <f aca="false">IFERROR((F231-G231)/F231,0)</f>
        <v>0.873795638099052</v>
      </c>
      <c r="I231" s="14"/>
    </row>
    <row r="232" customFormat="false" ht="15" hidden="false" customHeight="true" outlineLevel="0" collapsed="false">
      <c r="B232" s="14" t="n">
        <v>227</v>
      </c>
      <c r="C232" s="11" t="s">
        <v>399</v>
      </c>
      <c r="D232" s="11" t="s">
        <v>266</v>
      </c>
      <c r="E232" s="11" t="s">
        <v>321</v>
      </c>
      <c r="F232" s="22" t="n">
        <v>4.8</v>
      </c>
      <c r="G232" s="13" t="n">
        <f aca="false">IFERROR(VLOOKUP(195,Recipes!$B$7:$G$323,6,FALSE()),0)</f>
        <v>0.58529919236417</v>
      </c>
      <c r="H232" s="23" t="n">
        <f aca="false">IFERROR((F232-G232)/F232,0)</f>
        <v>0.878062668257464</v>
      </c>
      <c r="I232" s="14"/>
    </row>
    <row r="233" customFormat="false" ht="15" hidden="false" customHeight="true" outlineLevel="0" collapsed="false">
      <c r="B233" s="14" t="n">
        <v>228</v>
      </c>
      <c r="C233" s="11" t="s">
        <v>400</v>
      </c>
      <c r="D233" s="11" t="s">
        <v>268</v>
      </c>
      <c r="E233" s="11" t="s">
        <v>522</v>
      </c>
      <c r="F233" s="22" t="n">
        <v>3.6</v>
      </c>
      <c r="G233" s="13" t="n">
        <f aca="false">IFERROR(VLOOKUP(198,Recipes!$B$7:$G$323,6,FALSE()),0)</f>
        <v>0.349875</v>
      </c>
      <c r="H233" s="23" t="n">
        <f aca="false">IFERROR((F233-G233)/F233,0)</f>
        <v>0.9028125</v>
      </c>
      <c r="I233" s="14"/>
    </row>
    <row r="234" customFormat="false" ht="15" hidden="false" customHeight="true" outlineLevel="0" collapsed="false">
      <c r="B234" s="14" t="n">
        <v>229</v>
      </c>
      <c r="C234" s="11" t="s">
        <v>400</v>
      </c>
      <c r="D234" s="11" t="s">
        <v>266</v>
      </c>
      <c r="E234" s="11" t="s">
        <v>522</v>
      </c>
      <c r="F234" s="22" t="n">
        <v>3.9</v>
      </c>
      <c r="G234" s="13" t="n">
        <f aca="false">IFERROR(VLOOKUP(197,Recipes!$B$7:$G$323,6,FALSE()),0)</f>
        <v>0.379875</v>
      </c>
      <c r="H234" s="23" t="n">
        <f aca="false">IFERROR((F234-G234)/F234,0)</f>
        <v>0.902596153846154</v>
      </c>
      <c r="I234" s="14"/>
    </row>
    <row r="235" customFormat="false" ht="15" hidden="false" customHeight="true" outlineLevel="0" collapsed="false">
      <c r="B235" s="26" t="n">
        <v>230</v>
      </c>
      <c r="C235" s="26" t="s">
        <v>401</v>
      </c>
      <c r="D235" s="26" t="s">
        <v>268</v>
      </c>
      <c r="E235" s="26" t="s">
        <v>515</v>
      </c>
      <c r="F235" s="27" t="n">
        <v>0</v>
      </c>
      <c r="G235" s="27" t="n">
        <f aca="false">IFERROR(VLOOKUP(200,Recipes!$B$7:$G$323,6,FALSE()),0)</f>
        <v>0</v>
      </c>
      <c r="H235" s="28" t="n">
        <f aca="false">IFERROR((F235-G235)/F235,0)</f>
        <v>0</v>
      </c>
      <c r="I235" s="26"/>
    </row>
    <row r="236" customFormat="false" ht="15" hidden="false" customHeight="true" outlineLevel="0" collapsed="false">
      <c r="B236" s="26" t="n">
        <v>231</v>
      </c>
      <c r="C236" s="26" t="s">
        <v>401</v>
      </c>
      <c r="D236" s="26" t="s">
        <v>266</v>
      </c>
      <c r="E236" s="26" t="s">
        <v>515</v>
      </c>
      <c r="F236" s="27" t="n">
        <v>0</v>
      </c>
      <c r="G236" s="27" t="n">
        <f aca="false">IFERROR(VLOOKUP(199,Recipes!$B$7:$G$323,6,FALSE()),0)</f>
        <v>0</v>
      </c>
      <c r="H236" s="28" t="n">
        <f aca="false">IFERROR((F236-G236)/F236,0)</f>
        <v>0</v>
      </c>
      <c r="I236" s="26"/>
    </row>
    <row r="237" customFormat="false" ht="15" hidden="false" customHeight="true" outlineLevel="0" collapsed="false">
      <c r="B237" s="14" t="n">
        <v>232</v>
      </c>
      <c r="C237" s="11" t="s">
        <v>402</v>
      </c>
      <c r="D237" s="11" t="s">
        <v>268</v>
      </c>
      <c r="E237" s="11" t="s">
        <v>290</v>
      </c>
      <c r="F237" s="22" t="n">
        <v>4</v>
      </c>
      <c r="G237" s="13" t="n">
        <f aca="false">IFERROR(VLOOKUP(202,Recipes!$B$7:$G$323,6,FALSE()),0)</f>
        <v>0.571204111600587</v>
      </c>
      <c r="H237" s="23" t="n">
        <f aca="false">IFERROR((F237-G237)/F237,0)</f>
        <v>0.857198972099853</v>
      </c>
      <c r="I237" s="14" t="s">
        <v>283</v>
      </c>
    </row>
    <row r="238" customFormat="false" ht="15" hidden="false" customHeight="true" outlineLevel="0" collapsed="false">
      <c r="B238" s="14" t="n">
        <v>233</v>
      </c>
      <c r="C238" s="11" t="s">
        <v>402</v>
      </c>
      <c r="D238" s="11" t="s">
        <v>266</v>
      </c>
      <c r="E238" s="11" t="s">
        <v>290</v>
      </c>
      <c r="F238" s="22" t="n">
        <v>4.2</v>
      </c>
      <c r="G238" s="13" t="n">
        <f aca="false">IFERROR(VLOOKUP(201,Recipes!$B$7:$G$323,6,FALSE()),0)</f>
        <v>0.74913362701909</v>
      </c>
      <c r="H238" s="23" t="n">
        <f aca="false">IFERROR((F238-G238)/F238,0)</f>
        <v>0.821634850709741</v>
      </c>
      <c r="I238" s="14" t="s">
        <v>283</v>
      </c>
    </row>
    <row r="239" customFormat="false" ht="15" hidden="false" customHeight="true" outlineLevel="0" collapsed="false">
      <c r="B239" s="14" t="n">
        <v>234</v>
      </c>
      <c r="C239" s="11" t="s">
        <v>402</v>
      </c>
      <c r="D239" s="11" t="s">
        <v>279</v>
      </c>
      <c r="E239" s="11" t="s">
        <v>290</v>
      </c>
      <c r="F239" s="22" t="n">
        <v>4.4</v>
      </c>
      <c r="G239" s="13" t="n">
        <f aca="false">IFERROR(VLOOKUP(203,Recipes!$B$7:$G$323,6,FALSE()),0)</f>
        <v>0.937063142437592</v>
      </c>
      <c r="H239" s="23" t="n">
        <f aca="false">IFERROR((F239-G239)/F239,0)</f>
        <v>0.787031103991457</v>
      </c>
      <c r="I239" s="14" t="s">
        <v>283</v>
      </c>
    </row>
    <row r="240" customFormat="false" ht="15" hidden="false" customHeight="true" outlineLevel="0" collapsed="false">
      <c r="B240" s="14" t="n">
        <v>235</v>
      </c>
      <c r="C240" s="11" t="s">
        <v>403</v>
      </c>
      <c r="D240" s="11" t="s">
        <v>268</v>
      </c>
      <c r="E240" s="11" t="s">
        <v>517</v>
      </c>
      <c r="F240" s="22" t="n">
        <v>3.9</v>
      </c>
      <c r="G240" s="13" t="n">
        <f aca="false">IFERROR(VLOOKUP(205,Recipes!$B$7:$G$323,6,FALSE()),0)</f>
        <v>0.986894273127753</v>
      </c>
      <c r="H240" s="23" t="n">
        <f aca="false">IFERROR((F240-G240)/F240,0)</f>
        <v>0.746950186377499</v>
      </c>
      <c r="I240" s="14" t="s">
        <v>283</v>
      </c>
    </row>
    <row r="241" customFormat="false" ht="15" hidden="false" customHeight="true" outlineLevel="0" collapsed="false">
      <c r="B241" s="14" t="n">
        <v>236</v>
      </c>
      <c r="C241" s="11" t="s">
        <v>403</v>
      </c>
      <c r="D241" s="11" t="s">
        <v>266</v>
      </c>
      <c r="E241" s="11" t="s">
        <v>517</v>
      </c>
      <c r="F241" s="22" t="n">
        <v>4.1</v>
      </c>
      <c r="G241" s="13" t="n">
        <f aca="false">IFERROR(VLOOKUP(204,Recipes!$B$7:$G$323,6,FALSE()),0)</f>
        <v>1.09482378854626</v>
      </c>
      <c r="H241" s="23" t="n">
        <f aca="false">IFERROR((F241-G241)/F241,0)</f>
        <v>0.732969807671645</v>
      </c>
      <c r="I241" s="14" t="s">
        <v>283</v>
      </c>
    </row>
    <row r="242" customFormat="false" ht="15" hidden="false" customHeight="true" outlineLevel="0" collapsed="false">
      <c r="B242" s="14" t="n">
        <v>237</v>
      </c>
      <c r="C242" s="11" t="s">
        <v>403</v>
      </c>
      <c r="D242" s="11" t="s">
        <v>279</v>
      </c>
      <c r="E242" s="11" t="s">
        <v>517</v>
      </c>
      <c r="F242" s="22" t="n">
        <v>4.3</v>
      </c>
      <c r="G242" s="13" t="n">
        <f aca="false">IFERROR(VLOOKUP(206,Recipes!$B$7:$G$323,6,FALSE()),0)</f>
        <v>1.75378854625551</v>
      </c>
      <c r="H242" s="23" t="n">
        <f aca="false">IFERROR((F242-G242)/F242,0)</f>
        <v>0.592142198545231</v>
      </c>
      <c r="I242" s="14" t="s">
        <v>283</v>
      </c>
    </row>
    <row r="243" customFormat="false" ht="15" hidden="false" customHeight="true" outlineLevel="0" collapsed="false">
      <c r="B243" s="14" t="n">
        <v>238</v>
      </c>
      <c r="C243" s="11" t="s">
        <v>212</v>
      </c>
      <c r="D243" s="11" t="s">
        <v>266</v>
      </c>
      <c r="E243" s="11" t="s">
        <v>513</v>
      </c>
      <c r="F243" s="22" t="n">
        <v>1</v>
      </c>
      <c r="G243" s="13" t="n">
        <f aca="false">IFERROR(VLOOKUP(301,Recipes!$B$7:$G$323,6,FALSE()),0)</f>
        <v>0</v>
      </c>
      <c r="H243" s="23" t="n">
        <f aca="false">IFERROR((F243-G243)/F243,0)</f>
        <v>1</v>
      </c>
      <c r="I243" s="14"/>
    </row>
    <row r="244" customFormat="false" ht="15" hidden="false" customHeight="true" outlineLevel="0" collapsed="false">
      <c r="B244" s="14" t="n">
        <v>239</v>
      </c>
      <c r="C244" s="11" t="s">
        <v>481</v>
      </c>
      <c r="D244" s="11" t="s">
        <v>266</v>
      </c>
      <c r="E244" s="11" t="s">
        <v>513</v>
      </c>
      <c r="F244" s="22" t="n">
        <v>1.9</v>
      </c>
      <c r="G244" s="13" t="n">
        <f aca="false">IFERROR(VLOOKUP(302,Recipes!$B$7:$G$323,6,FALSE()),0)</f>
        <v>0</v>
      </c>
      <c r="H244" s="23" t="n">
        <f aca="false">IFERROR((F244-G244)/F244,0)</f>
        <v>1</v>
      </c>
      <c r="I244" s="14"/>
    </row>
    <row r="245" customFormat="false" ht="15" hidden="false" customHeight="true" outlineLevel="0" collapsed="false">
      <c r="B245" s="14" t="n">
        <v>240</v>
      </c>
      <c r="C245" s="11" t="s">
        <v>405</v>
      </c>
      <c r="D245" s="11" t="s">
        <v>268</v>
      </c>
      <c r="E245" s="11" t="s">
        <v>290</v>
      </c>
      <c r="F245" s="22" t="n">
        <v>4</v>
      </c>
      <c r="G245" s="13" t="n">
        <f aca="false">IFERROR(VLOOKUP(208,Recipes!$B$7:$G$323,6,FALSE()),0)</f>
        <v>0.421204111600587</v>
      </c>
      <c r="H245" s="23" t="n">
        <f aca="false">IFERROR((F245-G245)/F245,0)</f>
        <v>0.894698972099853</v>
      </c>
      <c r="I245" s="14"/>
    </row>
    <row r="246" customFormat="false" ht="15" hidden="false" customHeight="true" outlineLevel="0" collapsed="false">
      <c r="B246" s="14" t="n">
        <v>241</v>
      </c>
      <c r="C246" s="11" t="s">
        <v>405</v>
      </c>
      <c r="D246" s="11" t="s">
        <v>266</v>
      </c>
      <c r="E246" s="11" t="s">
        <v>290</v>
      </c>
      <c r="F246" s="22" t="n">
        <v>4.2</v>
      </c>
      <c r="G246" s="13" t="n">
        <f aca="false">IFERROR(VLOOKUP(207,Recipes!$B$7:$G$323,6,FALSE()),0)</f>
        <v>0.59913362701909</v>
      </c>
      <c r="H246" s="23" t="n">
        <f aca="false">IFERROR((F246-G246)/F246,0)</f>
        <v>0.857349136424026</v>
      </c>
      <c r="I246" s="14"/>
    </row>
    <row r="247" customFormat="false" ht="15" hidden="false" customHeight="true" outlineLevel="0" collapsed="false">
      <c r="B247" s="14" t="n">
        <v>242</v>
      </c>
      <c r="C247" s="11" t="s">
        <v>405</v>
      </c>
      <c r="D247" s="11" t="s">
        <v>279</v>
      </c>
      <c r="E247" s="11" t="s">
        <v>290</v>
      </c>
      <c r="F247" s="22" t="n">
        <v>4.4</v>
      </c>
      <c r="G247" s="13" t="n">
        <f aca="false">IFERROR(VLOOKUP(209,Recipes!$B$7:$G$323,6,FALSE()),0)</f>
        <v>0.787063142437592</v>
      </c>
      <c r="H247" s="23" t="n">
        <f aca="false">IFERROR((F247-G247)/F247,0)</f>
        <v>0.821122013082366</v>
      </c>
      <c r="I247" s="14"/>
    </row>
    <row r="248" customFormat="false" ht="15" hidden="false" customHeight="true" outlineLevel="0" collapsed="false">
      <c r="B248" s="14" t="n">
        <v>243</v>
      </c>
      <c r="C248" s="11" t="s">
        <v>406</v>
      </c>
      <c r="D248" s="11" t="s">
        <v>268</v>
      </c>
      <c r="E248" s="11" t="s">
        <v>517</v>
      </c>
      <c r="F248" s="22" t="n">
        <v>3.9</v>
      </c>
      <c r="G248" s="13" t="n">
        <f aca="false">IFERROR(VLOOKUP(211,Recipes!$B$7:$G$323,6,FALSE()),0)</f>
        <v>0.836894273127753</v>
      </c>
      <c r="H248" s="23" t="n">
        <f aca="false">IFERROR((F248-G248)/F248,0)</f>
        <v>0.785411724839038</v>
      </c>
      <c r="I248" s="14"/>
    </row>
    <row r="249" customFormat="false" ht="15" hidden="false" customHeight="true" outlineLevel="0" collapsed="false">
      <c r="B249" s="14" t="n">
        <v>244</v>
      </c>
      <c r="C249" s="11" t="s">
        <v>406</v>
      </c>
      <c r="D249" s="11" t="s">
        <v>266</v>
      </c>
      <c r="E249" s="11" t="s">
        <v>517</v>
      </c>
      <c r="F249" s="22" t="n">
        <v>4.1</v>
      </c>
      <c r="G249" s="13" t="n">
        <f aca="false">IFERROR(VLOOKUP(210,Recipes!$B$7:$G$323,6,FALSE()),0)</f>
        <v>0.944823788546256</v>
      </c>
      <c r="H249" s="23" t="n">
        <f aca="false">IFERROR((F249-G249)/F249,0)</f>
        <v>0.769555173525304</v>
      </c>
      <c r="I249" s="14"/>
    </row>
    <row r="250" customFormat="false" ht="15" hidden="false" customHeight="true" outlineLevel="0" collapsed="false">
      <c r="B250" s="14" t="n">
        <v>245</v>
      </c>
      <c r="C250" s="11" t="s">
        <v>406</v>
      </c>
      <c r="D250" s="11" t="s">
        <v>279</v>
      </c>
      <c r="E250" s="11" t="s">
        <v>517</v>
      </c>
      <c r="F250" s="22" t="n">
        <v>4.4</v>
      </c>
      <c r="G250" s="13" t="n">
        <f aca="false">IFERROR(VLOOKUP(212,Recipes!$B$7:$G$323,6,FALSE()),0)</f>
        <v>1.60378854625551</v>
      </c>
      <c r="H250" s="23" t="n">
        <f aca="false">IFERROR((F250-G250)/F250,0)</f>
        <v>0.635502603123749</v>
      </c>
      <c r="I250" s="14"/>
    </row>
    <row r="251" customFormat="false" ht="15" hidden="false" customHeight="true" outlineLevel="0" collapsed="false">
      <c r="B251" s="14" t="n">
        <v>246</v>
      </c>
      <c r="C251" s="11" t="s">
        <v>408</v>
      </c>
      <c r="D251" s="11" t="s">
        <v>268</v>
      </c>
      <c r="E251" s="11" t="s">
        <v>511</v>
      </c>
      <c r="F251" s="22" t="n">
        <v>3.5</v>
      </c>
      <c r="G251" s="13" t="n">
        <f aca="false">IFERROR(VLOOKUP(214,Recipes!$B$7:$G$323,6,FALSE()),0)</f>
        <v>1.14758443465492</v>
      </c>
      <c r="H251" s="23" t="n">
        <f aca="false">IFERROR((F251-G251)/F251,0)</f>
        <v>0.672118732955737</v>
      </c>
      <c r="I251" s="14"/>
    </row>
    <row r="252" customFormat="false" ht="15" hidden="false" customHeight="true" outlineLevel="0" collapsed="false">
      <c r="B252" s="14" t="n">
        <v>247</v>
      </c>
      <c r="C252" s="11" t="s">
        <v>408</v>
      </c>
      <c r="D252" s="11" t="s">
        <v>266</v>
      </c>
      <c r="E252" s="11" t="s">
        <v>511</v>
      </c>
      <c r="F252" s="22" t="n">
        <v>3.8</v>
      </c>
      <c r="G252" s="13" t="n">
        <f aca="false">IFERROR(VLOOKUP(213,Recipes!$B$7:$G$323,6,FALSE()),0)</f>
        <v>1.444859030837</v>
      </c>
      <c r="H252" s="23" t="n">
        <f aca="false">IFERROR((F252-G252)/F252,0)</f>
        <v>0.61977393925342</v>
      </c>
      <c r="I252" s="14"/>
    </row>
    <row r="253" customFormat="false" ht="15" hidden="false" customHeight="true" outlineLevel="0" collapsed="false">
      <c r="B253" s="14" t="n">
        <v>248</v>
      </c>
      <c r="C253" s="11" t="s">
        <v>408</v>
      </c>
      <c r="D253" s="11" t="s">
        <v>279</v>
      </c>
      <c r="E253" s="11" t="s">
        <v>511</v>
      </c>
      <c r="F253" s="22" t="n">
        <v>4.1</v>
      </c>
      <c r="G253" s="13" t="n">
        <f aca="false">IFERROR(VLOOKUP(215,Recipes!$B$7:$G$323,6,FALSE()),0)</f>
        <v>2.37582378854626</v>
      </c>
      <c r="H253" s="23" t="n">
        <f aca="false">IFERROR((F253-G253)/F253,0)</f>
        <v>0.420530783281401</v>
      </c>
      <c r="I253" s="14"/>
    </row>
    <row r="254" customFormat="false" ht="15" hidden="false" customHeight="true" outlineLevel="0" collapsed="false">
      <c r="B254" s="14" t="n">
        <v>249</v>
      </c>
      <c r="C254" s="11" t="s">
        <v>483</v>
      </c>
      <c r="D254" s="11" t="s">
        <v>266</v>
      </c>
      <c r="E254" s="11" t="s">
        <v>514</v>
      </c>
      <c r="F254" s="22" t="n">
        <v>3.6</v>
      </c>
      <c r="G254" s="13" t="n">
        <f aca="false">IFERROR(VLOOKUP(304,Recipes!$B$7:$G$323,6,FALSE()),0)</f>
        <v>1.6</v>
      </c>
      <c r="H254" s="23" t="n">
        <f aca="false">IFERROR((F254-G254)/F254,0)</f>
        <v>0.555555555555556</v>
      </c>
      <c r="I254" s="14"/>
    </row>
    <row r="255" customFormat="false" ht="15" hidden="false" customHeight="true" outlineLevel="0" collapsed="false">
      <c r="B255" s="14" t="n">
        <v>250</v>
      </c>
      <c r="C255" s="11" t="s">
        <v>410</v>
      </c>
      <c r="D255" s="11" t="s">
        <v>268</v>
      </c>
      <c r="E255" s="11" t="s">
        <v>290</v>
      </c>
      <c r="F255" s="22" t="n">
        <v>4</v>
      </c>
      <c r="G255" s="13" t="n">
        <f aca="false">IFERROR(VLOOKUP(217,Recipes!$B$7:$G$323,6,FALSE()),0)</f>
        <v>0.571204111600587</v>
      </c>
      <c r="H255" s="23" t="n">
        <f aca="false">IFERROR((F255-G255)/F255,0)</f>
        <v>0.857198972099853</v>
      </c>
      <c r="I255" s="14" t="s">
        <v>283</v>
      </c>
    </row>
    <row r="256" customFormat="false" ht="15" hidden="false" customHeight="true" outlineLevel="0" collapsed="false">
      <c r="B256" s="14" t="n">
        <v>251</v>
      </c>
      <c r="C256" s="11" t="s">
        <v>410</v>
      </c>
      <c r="D256" s="11" t="s">
        <v>266</v>
      </c>
      <c r="E256" s="11" t="s">
        <v>290</v>
      </c>
      <c r="F256" s="22" t="n">
        <v>4.2</v>
      </c>
      <c r="G256" s="13" t="n">
        <f aca="false">IFERROR(VLOOKUP(216,Recipes!$B$7:$G$323,6,FALSE()),0)</f>
        <v>0.74913362701909</v>
      </c>
      <c r="H256" s="23" t="n">
        <f aca="false">IFERROR((F256-G256)/F256,0)</f>
        <v>0.821634850709741</v>
      </c>
      <c r="I256" s="14" t="s">
        <v>283</v>
      </c>
    </row>
    <row r="257" customFormat="false" ht="15" hidden="false" customHeight="true" outlineLevel="0" collapsed="false">
      <c r="B257" s="14" t="n">
        <v>252</v>
      </c>
      <c r="C257" s="11" t="s">
        <v>410</v>
      </c>
      <c r="D257" s="11" t="s">
        <v>279</v>
      </c>
      <c r="E257" s="11" t="s">
        <v>290</v>
      </c>
      <c r="F257" s="22" t="n">
        <v>4.4</v>
      </c>
      <c r="G257" s="13" t="n">
        <f aca="false">IFERROR(VLOOKUP(218,Recipes!$B$7:$G$323,6,FALSE()),0)</f>
        <v>0.937063142437592</v>
      </c>
      <c r="H257" s="23" t="n">
        <f aca="false">IFERROR((F257-G257)/F257,0)</f>
        <v>0.787031103991457</v>
      </c>
      <c r="I257" s="14" t="s">
        <v>283</v>
      </c>
    </row>
    <row r="258" customFormat="false" ht="15" hidden="false" customHeight="true" outlineLevel="0" collapsed="false">
      <c r="B258" s="14" t="n">
        <v>253</v>
      </c>
      <c r="C258" s="11" t="s">
        <v>482</v>
      </c>
      <c r="D258" s="11" t="s">
        <v>266</v>
      </c>
      <c r="E258" s="11" t="s">
        <v>514</v>
      </c>
      <c r="F258" s="22" t="n">
        <v>3.2</v>
      </c>
      <c r="G258" s="13" t="n">
        <f aca="false">IFERROR(VLOOKUP(303,Recipes!$B$7:$G$323,6,FALSE()),0)</f>
        <v>0</v>
      </c>
      <c r="H258" s="23" t="n">
        <f aca="false">IFERROR((F258-G258)/F258,0)</f>
        <v>1</v>
      </c>
      <c r="I258" s="14"/>
    </row>
    <row r="259" customFormat="false" ht="15" hidden="false" customHeight="true" outlineLevel="0" collapsed="false">
      <c r="B259" s="14" t="n">
        <v>254</v>
      </c>
      <c r="C259" s="11" t="s">
        <v>484</v>
      </c>
      <c r="D259" s="11" t="s">
        <v>266</v>
      </c>
      <c r="E259" s="11" t="s">
        <v>514</v>
      </c>
      <c r="F259" s="22" t="n">
        <v>3.4</v>
      </c>
      <c r="G259" s="13" t="n">
        <f aca="false">IFERROR(VLOOKUP(305,Recipes!$B$7:$G$323,6,FALSE()),0)</f>
        <v>0</v>
      </c>
      <c r="H259" s="23" t="n">
        <f aca="false">IFERROR((F259-G259)/F259,0)</f>
        <v>1</v>
      </c>
      <c r="I259" s="14"/>
    </row>
    <row r="260" customFormat="false" ht="15" hidden="false" customHeight="true" outlineLevel="0" collapsed="false">
      <c r="B260" s="14" t="n">
        <v>255</v>
      </c>
      <c r="C260" s="11" t="s">
        <v>411</v>
      </c>
      <c r="D260" s="11" t="s">
        <v>268</v>
      </c>
      <c r="E260" s="11" t="s">
        <v>290</v>
      </c>
      <c r="F260" s="22" t="n">
        <v>4</v>
      </c>
      <c r="G260" s="13" t="n">
        <f aca="false">IFERROR(VLOOKUP(220,Recipes!$B$7:$G$323,6,FALSE()),0)</f>
        <v>0.571204111600587</v>
      </c>
      <c r="H260" s="23" t="n">
        <f aca="false">IFERROR((F260-G260)/F260,0)</f>
        <v>0.857198972099853</v>
      </c>
      <c r="I260" s="14"/>
    </row>
    <row r="261" customFormat="false" ht="15" hidden="false" customHeight="true" outlineLevel="0" collapsed="false">
      <c r="B261" s="14" t="n">
        <v>256</v>
      </c>
      <c r="C261" s="11" t="s">
        <v>411</v>
      </c>
      <c r="D261" s="11" t="s">
        <v>268</v>
      </c>
      <c r="E261" s="11" t="s">
        <v>290</v>
      </c>
      <c r="F261" s="22" t="n">
        <v>4</v>
      </c>
      <c r="G261" s="13" t="n">
        <f aca="false">IFERROR(VLOOKUP(226,Recipes!$B$7:$G$323,6,FALSE()),0)</f>
        <v>0.571204111600587</v>
      </c>
      <c r="H261" s="23" t="n">
        <f aca="false">IFERROR((F261-G261)/F261,0)</f>
        <v>0.857198972099853</v>
      </c>
      <c r="I261" s="14" t="s">
        <v>283</v>
      </c>
    </row>
    <row r="262" customFormat="false" ht="15" hidden="false" customHeight="true" outlineLevel="0" collapsed="false">
      <c r="B262" s="14" t="n">
        <v>257</v>
      </c>
      <c r="C262" s="11" t="s">
        <v>411</v>
      </c>
      <c r="D262" s="11" t="s">
        <v>266</v>
      </c>
      <c r="E262" s="11" t="s">
        <v>290</v>
      </c>
      <c r="F262" s="22" t="n">
        <v>4.2</v>
      </c>
      <c r="G262" s="13" t="n">
        <f aca="false">IFERROR(VLOOKUP(219,Recipes!$B$7:$G$323,6,FALSE()),0)</f>
        <v>0.74913362701909</v>
      </c>
      <c r="H262" s="23" t="n">
        <f aca="false">IFERROR((F262-G262)/F262,0)</f>
        <v>0.821634850709741</v>
      </c>
      <c r="I262" s="14"/>
    </row>
    <row r="263" customFormat="false" ht="15" hidden="false" customHeight="true" outlineLevel="0" collapsed="false">
      <c r="B263" s="14" t="n">
        <v>258</v>
      </c>
      <c r="C263" s="11" t="s">
        <v>411</v>
      </c>
      <c r="D263" s="11" t="s">
        <v>266</v>
      </c>
      <c r="E263" s="11" t="s">
        <v>290</v>
      </c>
      <c r="F263" s="22" t="n">
        <v>4.2</v>
      </c>
      <c r="G263" s="13" t="n">
        <f aca="false">IFERROR(VLOOKUP(225,Recipes!$B$7:$G$323,6,FALSE()),0)</f>
        <v>0.74913362701909</v>
      </c>
      <c r="H263" s="23" t="n">
        <f aca="false">IFERROR((F263-G263)/F263,0)</f>
        <v>0.821634850709741</v>
      </c>
      <c r="I263" s="14" t="s">
        <v>283</v>
      </c>
    </row>
    <row r="264" customFormat="false" ht="15" hidden="false" customHeight="true" outlineLevel="0" collapsed="false">
      <c r="B264" s="14" t="n">
        <v>259</v>
      </c>
      <c r="C264" s="11" t="s">
        <v>411</v>
      </c>
      <c r="D264" s="11" t="s">
        <v>279</v>
      </c>
      <c r="E264" s="11" t="s">
        <v>290</v>
      </c>
      <c r="F264" s="22" t="n">
        <v>4.4</v>
      </c>
      <c r="G264" s="13" t="n">
        <f aca="false">IFERROR(VLOOKUP(221,Recipes!$B$7:$G$323,6,FALSE()),0)</f>
        <v>0.937063142437592</v>
      </c>
      <c r="H264" s="23" t="n">
        <f aca="false">IFERROR((F264-G264)/F264,0)</f>
        <v>0.787031103991457</v>
      </c>
      <c r="I264" s="14"/>
    </row>
    <row r="265" customFormat="false" ht="15" hidden="false" customHeight="true" outlineLevel="0" collapsed="false">
      <c r="B265" s="14" t="n">
        <v>260</v>
      </c>
      <c r="C265" s="11" t="s">
        <v>411</v>
      </c>
      <c r="D265" s="11" t="s">
        <v>279</v>
      </c>
      <c r="E265" s="11" t="s">
        <v>290</v>
      </c>
      <c r="F265" s="22" t="n">
        <v>4.4</v>
      </c>
      <c r="G265" s="13" t="n">
        <f aca="false">IFERROR(VLOOKUP(227,Recipes!$B$7:$G$323,6,FALSE()),0)</f>
        <v>0.937063142437592</v>
      </c>
      <c r="H265" s="23" t="n">
        <f aca="false">IFERROR((F265-G265)/F265,0)</f>
        <v>0.787031103991457</v>
      </c>
      <c r="I265" s="14" t="s">
        <v>283</v>
      </c>
    </row>
    <row r="266" customFormat="false" ht="15" hidden="false" customHeight="true" outlineLevel="0" collapsed="false">
      <c r="B266" s="14" t="n">
        <v>261</v>
      </c>
      <c r="C266" s="11" t="s">
        <v>412</v>
      </c>
      <c r="D266" s="11" t="s">
        <v>268</v>
      </c>
      <c r="E266" s="11" t="s">
        <v>517</v>
      </c>
      <c r="F266" s="22" t="n">
        <v>3.9</v>
      </c>
      <c r="G266" s="13" t="n">
        <f aca="false">IFERROR(VLOOKUP(223,Recipes!$B$7:$G$323,6,FALSE()),0)</f>
        <v>0.986894273127753</v>
      </c>
      <c r="H266" s="23" t="n">
        <f aca="false">IFERROR((F266-G266)/F266,0)</f>
        <v>0.746950186377499</v>
      </c>
      <c r="I266" s="14"/>
    </row>
    <row r="267" customFormat="false" ht="15" hidden="false" customHeight="true" outlineLevel="0" collapsed="false">
      <c r="B267" s="14" t="n">
        <v>262</v>
      </c>
      <c r="C267" s="11" t="s">
        <v>412</v>
      </c>
      <c r="D267" s="11" t="s">
        <v>266</v>
      </c>
      <c r="E267" s="11" t="s">
        <v>517</v>
      </c>
      <c r="F267" s="22" t="n">
        <v>4.1</v>
      </c>
      <c r="G267" s="13" t="n">
        <f aca="false">IFERROR(VLOOKUP(222,Recipes!$B$7:$G$323,6,FALSE()),0)</f>
        <v>1.09482378854626</v>
      </c>
      <c r="H267" s="23" t="n">
        <f aca="false">IFERROR((F267-G267)/F267,0)</f>
        <v>0.732969807671645</v>
      </c>
      <c r="I267" s="14"/>
    </row>
    <row r="268" customFormat="false" ht="15" hidden="false" customHeight="true" outlineLevel="0" collapsed="false">
      <c r="B268" s="14" t="n">
        <v>263</v>
      </c>
      <c r="C268" s="11" t="s">
        <v>412</v>
      </c>
      <c r="D268" s="11" t="s">
        <v>279</v>
      </c>
      <c r="E268" s="11" t="s">
        <v>517</v>
      </c>
      <c r="F268" s="22" t="n">
        <v>4.3</v>
      </c>
      <c r="G268" s="13" t="n">
        <f aca="false">IFERROR(VLOOKUP(224,Recipes!$B$7:$G$323,6,FALSE()),0)</f>
        <v>1.75378854625551</v>
      </c>
      <c r="H268" s="23" t="n">
        <f aca="false">IFERROR((F268-G268)/F268,0)</f>
        <v>0.592142198545231</v>
      </c>
      <c r="I268" s="14"/>
    </row>
    <row r="269" customFormat="false" ht="15" hidden="false" customHeight="true" outlineLevel="0" collapsed="false">
      <c r="B269" s="14" t="n">
        <v>264</v>
      </c>
      <c r="C269" s="11" t="s">
        <v>414</v>
      </c>
      <c r="D269" s="11" t="s">
        <v>268</v>
      </c>
      <c r="E269" s="11" t="s">
        <v>390</v>
      </c>
      <c r="F269" s="22" t="n">
        <v>4</v>
      </c>
      <c r="G269" s="13" t="n">
        <f aca="false">IFERROR(VLOOKUP(229,Recipes!$B$7:$G$323,6,FALSE()),0)</f>
        <v>1.10689427312775</v>
      </c>
      <c r="H269" s="23" t="n">
        <f aca="false">IFERROR((F269-G269)/F269,0)</f>
        <v>0.723276431718062</v>
      </c>
      <c r="I269" s="14" t="s">
        <v>283</v>
      </c>
    </row>
    <row r="270" customFormat="false" ht="15" hidden="false" customHeight="true" outlineLevel="0" collapsed="false">
      <c r="B270" s="14" t="n">
        <v>265</v>
      </c>
      <c r="C270" s="11" t="s">
        <v>414</v>
      </c>
      <c r="D270" s="11" t="s">
        <v>266</v>
      </c>
      <c r="E270" s="11" t="s">
        <v>390</v>
      </c>
      <c r="F270" s="22" t="n">
        <v>4.2</v>
      </c>
      <c r="G270" s="13" t="n">
        <f aca="false">IFERROR(VLOOKUP(228,Recipes!$B$7:$G$323,6,FALSE()),0)</f>
        <v>1.27482378854626</v>
      </c>
      <c r="H270" s="23" t="n">
        <f aca="false">IFERROR((F270-G270)/F270,0)</f>
        <v>0.696470526536606</v>
      </c>
      <c r="I270" s="14" t="s">
        <v>283</v>
      </c>
    </row>
    <row r="271" customFormat="false" ht="15" hidden="false" customHeight="true" outlineLevel="0" collapsed="false">
      <c r="B271" s="14" t="n">
        <v>266</v>
      </c>
      <c r="C271" s="11" t="s">
        <v>414</v>
      </c>
      <c r="D271" s="11" t="s">
        <v>279</v>
      </c>
      <c r="E271" s="11" t="s">
        <v>390</v>
      </c>
      <c r="F271" s="22" t="n">
        <v>4.6</v>
      </c>
      <c r="G271" s="13" t="n">
        <f aca="false">IFERROR(VLOOKUP(230,Recipes!$B$7:$G$323,6,FALSE()),0)</f>
        <v>1.99378854625551</v>
      </c>
      <c r="H271" s="23" t="n">
        <f aca="false">IFERROR((F271-G271)/F271,0)</f>
        <v>0.56656770733576</v>
      </c>
      <c r="I271" s="14" t="s">
        <v>283</v>
      </c>
    </row>
    <row r="272" customFormat="false" ht="15" hidden="false" customHeight="true" outlineLevel="0" collapsed="false">
      <c r="B272" s="14" t="n">
        <v>267</v>
      </c>
      <c r="C272" s="11" t="s">
        <v>485</v>
      </c>
      <c r="D272" s="11" t="s">
        <v>266</v>
      </c>
      <c r="E272" s="11" t="s">
        <v>519</v>
      </c>
      <c r="F272" s="22" t="n">
        <v>3.6</v>
      </c>
      <c r="G272" s="13" t="n">
        <f aca="false">IFERROR(VLOOKUP(306,Recipes!$B$7:$G$323,6,FALSE()),0)</f>
        <v>0</v>
      </c>
      <c r="H272" s="23" t="n">
        <f aca="false">IFERROR((F272-G272)/F272,0)</f>
        <v>1</v>
      </c>
      <c r="I272" s="14"/>
    </row>
    <row r="273" customFormat="false" ht="15" hidden="false" customHeight="true" outlineLevel="0" collapsed="false">
      <c r="B273" s="14" t="n">
        <v>268</v>
      </c>
      <c r="C273" s="11" t="s">
        <v>486</v>
      </c>
      <c r="D273" s="11" t="s">
        <v>266</v>
      </c>
      <c r="E273" s="11" t="s">
        <v>519</v>
      </c>
      <c r="F273" s="22" t="n">
        <v>2.6</v>
      </c>
      <c r="G273" s="13" t="n">
        <f aca="false">IFERROR(VLOOKUP(307,Recipes!$B$7:$G$323,6,FALSE()),0)</f>
        <v>0</v>
      </c>
      <c r="H273" s="23" t="n">
        <f aca="false">IFERROR((F273-G273)/F273,0)</f>
        <v>1</v>
      </c>
      <c r="I273" s="14"/>
    </row>
    <row r="274" customFormat="false" ht="15" hidden="false" customHeight="true" outlineLevel="0" collapsed="false">
      <c r="B274" s="14" t="n">
        <v>269</v>
      </c>
      <c r="C274" s="11" t="s">
        <v>488</v>
      </c>
      <c r="D274" s="11" t="s">
        <v>266</v>
      </c>
      <c r="E274" s="11" t="s">
        <v>519</v>
      </c>
      <c r="F274" s="22" t="n">
        <v>4</v>
      </c>
      <c r="G274" s="13" t="n">
        <f aca="false">IFERROR(VLOOKUP(308,Recipes!$B$7:$G$323,6,FALSE()),0)</f>
        <v>0</v>
      </c>
      <c r="H274" s="23" t="n">
        <f aca="false">IFERROR((F274-G274)/F274,0)</f>
        <v>1</v>
      </c>
      <c r="I274" s="14"/>
    </row>
    <row r="275" customFormat="false" ht="15" hidden="false" customHeight="true" outlineLevel="0" collapsed="false">
      <c r="B275" s="14" t="n">
        <v>270</v>
      </c>
      <c r="C275" s="11" t="s">
        <v>489</v>
      </c>
      <c r="D275" s="11" t="s">
        <v>266</v>
      </c>
      <c r="E275" s="11" t="s">
        <v>514</v>
      </c>
      <c r="F275" s="22" t="n">
        <v>1.9</v>
      </c>
      <c r="G275" s="13" t="n">
        <f aca="false">IFERROR(VLOOKUP(309,Recipes!$B$7:$G$323,6,FALSE()),0)</f>
        <v>0.75</v>
      </c>
      <c r="H275" s="23" t="n">
        <f aca="false">IFERROR((F275-G275)/F275,0)</f>
        <v>0.605263157894737</v>
      </c>
      <c r="I275" s="14"/>
    </row>
    <row r="276" customFormat="false" ht="15" hidden="false" customHeight="true" outlineLevel="0" collapsed="false">
      <c r="B276" s="14" t="n">
        <v>271</v>
      </c>
      <c r="C276" s="11" t="s">
        <v>415</v>
      </c>
      <c r="D276" s="11" t="s">
        <v>266</v>
      </c>
      <c r="E276" s="11" t="s">
        <v>514</v>
      </c>
      <c r="F276" s="22" t="n">
        <v>3.1</v>
      </c>
      <c r="G276" s="13" t="n">
        <f aca="false">IFERROR(VLOOKUP(231,Recipes!$B$7:$G$323,6,FALSE()),0)</f>
        <v>1.3</v>
      </c>
      <c r="H276" s="23" t="n">
        <f aca="false">IFERROR((F276-G276)/F276,0)</f>
        <v>0.580645161290323</v>
      </c>
      <c r="I276" s="14"/>
    </row>
    <row r="277" customFormat="false" ht="15" hidden="false" customHeight="true" outlineLevel="0" collapsed="false">
      <c r="B277" s="14" t="n">
        <v>272</v>
      </c>
      <c r="C277" s="11" t="s">
        <v>416</v>
      </c>
      <c r="D277" s="11" t="s">
        <v>268</v>
      </c>
      <c r="E277" s="11" t="s">
        <v>267</v>
      </c>
      <c r="F277" s="22" t="n">
        <v>4.4</v>
      </c>
      <c r="G277" s="13" t="n">
        <f aca="false">IFERROR(VLOOKUP(233,Recipes!$B$7:$G$323,6,FALSE()),0)</f>
        <v>1.20241189427313</v>
      </c>
      <c r="H277" s="23" t="n">
        <f aca="false">IFERROR((F277-G277)/F277,0)</f>
        <v>0.72672456948338</v>
      </c>
      <c r="I277" s="14"/>
    </row>
    <row r="278" customFormat="false" ht="15" hidden="false" customHeight="true" outlineLevel="0" collapsed="false">
      <c r="B278" s="14" t="n">
        <v>273</v>
      </c>
      <c r="C278" s="11" t="s">
        <v>416</v>
      </c>
      <c r="D278" s="11" t="s">
        <v>266</v>
      </c>
      <c r="E278" s="11" t="s">
        <v>267</v>
      </c>
      <c r="F278" s="22" t="n">
        <v>4.8</v>
      </c>
      <c r="G278" s="13" t="n">
        <f aca="false">IFERROR(VLOOKUP(232,Recipes!$B$7:$G$323,6,FALSE()),0)</f>
        <v>1.23241189427313</v>
      </c>
      <c r="H278" s="23" t="n">
        <f aca="false">IFERROR((F278-G278)/F278,0)</f>
        <v>0.743247522026432</v>
      </c>
      <c r="I278" s="14"/>
    </row>
    <row r="279" customFormat="false" ht="15" hidden="false" customHeight="true" outlineLevel="0" collapsed="false">
      <c r="B279" s="14" t="n">
        <v>274</v>
      </c>
      <c r="C279" s="11" t="s">
        <v>417</v>
      </c>
      <c r="D279" s="11" t="s">
        <v>268</v>
      </c>
      <c r="E279" s="11" t="s">
        <v>290</v>
      </c>
      <c r="F279" s="22" t="n">
        <v>4</v>
      </c>
      <c r="G279" s="13" t="n">
        <f aca="false">IFERROR(VLOOKUP(235,Recipes!$B$7:$G$323,6,FALSE()),0)</f>
        <v>0.421204111600587</v>
      </c>
      <c r="H279" s="23" t="n">
        <f aca="false">IFERROR((F279-G279)/F279,0)</f>
        <v>0.894698972099853</v>
      </c>
      <c r="I279" s="14"/>
    </row>
    <row r="280" customFormat="false" ht="15" hidden="false" customHeight="true" outlineLevel="0" collapsed="false">
      <c r="B280" s="14" t="n">
        <v>275</v>
      </c>
      <c r="C280" s="11" t="s">
        <v>417</v>
      </c>
      <c r="D280" s="11" t="s">
        <v>266</v>
      </c>
      <c r="E280" s="11" t="s">
        <v>290</v>
      </c>
      <c r="F280" s="22" t="n">
        <v>4.2</v>
      </c>
      <c r="G280" s="13" t="n">
        <f aca="false">IFERROR(VLOOKUP(234,Recipes!$B$7:$G$323,6,FALSE()),0)</f>
        <v>0.59913362701909</v>
      </c>
      <c r="H280" s="23" t="n">
        <f aca="false">IFERROR((F280-G280)/F280,0)</f>
        <v>0.857349136424026</v>
      </c>
      <c r="I280" s="14"/>
    </row>
    <row r="281" customFormat="false" ht="15" hidden="false" customHeight="true" outlineLevel="0" collapsed="false">
      <c r="B281" s="14" t="n">
        <v>276</v>
      </c>
      <c r="C281" s="11" t="s">
        <v>417</v>
      </c>
      <c r="D281" s="11" t="s">
        <v>279</v>
      </c>
      <c r="E281" s="11" t="s">
        <v>290</v>
      </c>
      <c r="F281" s="22" t="n">
        <v>4.4</v>
      </c>
      <c r="G281" s="13" t="n">
        <f aca="false">IFERROR(VLOOKUP(236,Recipes!$B$7:$G$323,6,FALSE()),0)</f>
        <v>0.787063142437592</v>
      </c>
      <c r="H281" s="23" t="n">
        <f aca="false">IFERROR((F281-G281)/F281,0)</f>
        <v>0.821122013082366</v>
      </c>
      <c r="I281" s="14"/>
    </row>
    <row r="282" customFormat="false" ht="15" hidden="false" customHeight="true" outlineLevel="0" collapsed="false">
      <c r="B282" s="14" t="n">
        <v>277</v>
      </c>
      <c r="C282" s="11" t="s">
        <v>418</v>
      </c>
      <c r="D282" s="11" t="s">
        <v>268</v>
      </c>
      <c r="E282" s="11" t="s">
        <v>517</v>
      </c>
      <c r="F282" s="22" t="n">
        <v>4</v>
      </c>
      <c r="G282" s="13" t="n">
        <f aca="false">IFERROR(VLOOKUP(238,Recipes!$B$7:$G$323,6,FALSE()),0)</f>
        <v>0.986894273127753</v>
      </c>
      <c r="H282" s="23" t="n">
        <f aca="false">IFERROR((F282-G282)/F282,0)</f>
        <v>0.753276431718062</v>
      </c>
      <c r="I282" s="14"/>
    </row>
    <row r="283" customFormat="false" ht="15" hidden="false" customHeight="true" outlineLevel="0" collapsed="false">
      <c r="B283" s="14" t="n">
        <v>278</v>
      </c>
      <c r="C283" s="11" t="s">
        <v>418</v>
      </c>
      <c r="D283" s="11" t="s">
        <v>266</v>
      </c>
      <c r="E283" s="11" t="s">
        <v>517</v>
      </c>
      <c r="F283" s="22" t="n">
        <v>4.1</v>
      </c>
      <c r="G283" s="13" t="n">
        <f aca="false">IFERROR(VLOOKUP(237,Recipes!$B$7:$G$323,6,FALSE()),0)</f>
        <v>1.09482378854626</v>
      </c>
      <c r="H283" s="23" t="n">
        <f aca="false">IFERROR((F283-G283)/F283,0)</f>
        <v>0.732969807671645</v>
      </c>
      <c r="I283" s="14"/>
    </row>
    <row r="284" customFormat="false" ht="15" hidden="false" customHeight="true" outlineLevel="0" collapsed="false">
      <c r="B284" s="14" t="n">
        <v>279</v>
      </c>
      <c r="C284" s="11" t="s">
        <v>418</v>
      </c>
      <c r="D284" s="11" t="s">
        <v>279</v>
      </c>
      <c r="E284" s="11" t="s">
        <v>517</v>
      </c>
      <c r="F284" s="22" t="n">
        <v>4.3</v>
      </c>
      <c r="G284" s="13" t="n">
        <f aca="false">IFERROR(VLOOKUP(239,Recipes!$B$7:$G$323,6,FALSE()),0)</f>
        <v>1.75378854625551</v>
      </c>
      <c r="H284" s="23" t="n">
        <f aca="false">IFERROR((F284-G284)/F284,0)</f>
        <v>0.592142198545231</v>
      </c>
      <c r="I284" s="14"/>
    </row>
    <row r="285" customFormat="false" ht="15" hidden="false" customHeight="true" outlineLevel="0" collapsed="false">
      <c r="B285" s="14" t="n">
        <v>280</v>
      </c>
      <c r="C285" s="11" t="s">
        <v>420</v>
      </c>
      <c r="D285" s="11" t="s">
        <v>268</v>
      </c>
      <c r="E285" s="11" t="s">
        <v>267</v>
      </c>
      <c r="F285" s="22" t="n">
        <v>4.2</v>
      </c>
      <c r="G285" s="13" t="n">
        <f aca="false">IFERROR(VLOOKUP(241,Recipes!$B$7:$G$323,6,FALSE()),0)</f>
        <v>0.909911894273128</v>
      </c>
      <c r="H285" s="23" t="n">
        <f aca="false">IFERROR((F285-G285)/F285,0)</f>
        <v>0.783354310887351</v>
      </c>
      <c r="I285" s="14"/>
    </row>
    <row r="286" customFormat="false" ht="15" hidden="false" customHeight="true" outlineLevel="0" collapsed="false">
      <c r="B286" s="14" t="n">
        <v>281</v>
      </c>
      <c r="C286" s="11" t="s">
        <v>420</v>
      </c>
      <c r="D286" s="11" t="s">
        <v>266</v>
      </c>
      <c r="E286" s="11" t="s">
        <v>267</v>
      </c>
      <c r="F286" s="22" t="n">
        <v>4.6</v>
      </c>
      <c r="G286" s="13" t="n">
        <f aca="false">IFERROR(VLOOKUP(240,Recipes!$B$7:$G$323,6,FALSE()),0)</f>
        <v>0.939911894273128</v>
      </c>
      <c r="H286" s="23" t="n">
        <f aca="false">IFERROR((F286-G286)/F286,0)</f>
        <v>0.795671327331929</v>
      </c>
      <c r="I286" s="14"/>
    </row>
    <row r="287" customFormat="false" ht="15" hidden="false" customHeight="true" outlineLevel="0" collapsed="false">
      <c r="B287" s="14" t="n">
        <v>282</v>
      </c>
      <c r="C287" s="11" t="s">
        <v>421</v>
      </c>
      <c r="D287" s="11" t="s">
        <v>274</v>
      </c>
      <c r="E287" s="11" t="s">
        <v>520</v>
      </c>
      <c r="F287" s="22" t="n">
        <v>1.9</v>
      </c>
      <c r="G287" s="13" t="n">
        <f aca="false">IFERROR(VLOOKUP(242,Recipes!$B$7:$G$323,6,FALSE()),0)</f>
        <v>0.4125</v>
      </c>
      <c r="H287" s="23" t="n">
        <f aca="false">IFERROR((F287-G287)/F287,0)</f>
        <v>0.782894736842105</v>
      </c>
      <c r="I287" s="14"/>
    </row>
    <row r="288" customFormat="false" ht="15" hidden="false" customHeight="true" outlineLevel="0" collapsed="false">
      <c r="B288" s="14" t="n">
        <v>283</v>
      </c>
      <c r="C288" s="11" t="s">
        <v>423</v>
      </c>
      <c r="D288" s="11" t="s">
        <v>274</v>
      </c>
      <c r="E288" s="11" t="s">
        <v>520</v>
      </c>
      <c r="F288" s="22" t="n">
        <v>2.2</v>
      </c>
      <c r="G288" s="13" t="n">
        <f aca="false">IFERROR(VLOOKUP(243,Recipes!$B$7:$G$323,6,FALSE()),0)</f>
        <v>0.5485</v>
      </c>
      <c r="H288" s="23" t="n">
        <f aca="false">IFERROR((F288-G288)/F288,0)</f>
        <v>0.750681818181818</v>
      </c>
      <c r="I288" s="14"/>
    </row>
    <row r="289" customFormat="false" ht="15" hidden="false" customHeight="true" outlineLevel="0" collapsed="false">
      <c r="B289" s="14" t="n">
        <v>284</v>
      </c>
      <c r="C289" s="11" t="s">
        <v>425</v>
      </c>
      <c r="D289" s="11" t="s">
        <v>274</v>
      </c>
      <c r="E289" s="11" t="s">
        <v>511</v>
      </c>
      <c r="F289" s="22" t="n">
        <v>2</v>
      </c>
      <c r="G289" s="13" t="n">
        <f aca="false">IFERROR(VLOOKUP(244,Recipes!$B$7:$G$323,6,FALSE()),0)</f>
        <v>0.522411894273128</v>
      </c>
      <c r="H289" s="23" t="n">
        <f aca="false">IFERROR((F289-G289)/F289,0)</f>
        <v>0.738794052863436</v>
      </c>
      <c r="I289" s="14"/>
    </row>
    <row r="290" customFormat="false" ht="15" hidden="false" customHeight="true" outlineLevel="0" collapsed="false">
      <c r="B290" s="14" t="n">
        <v>285</v>
      </c>
      <c r="C290" s="11" t="s">
        <v>427</v>
      </c>
      <c r="D290" s="11" t="s">
        <v>274</v>
      </c>
      <c r="E290" s="11" t="s">
        <v>521</v>
      </c>
      <c r="F290" s="22" t="n">
        <v>2</v>
      </c>
      <c r="G290" s="13" t="n">
        <f aca="false">IFERROR(VLOOKUP(245,Recipes!$B$7:$G$323,6,FALSE()),0)</f>
        <v>0.199875</v>
      </c>
      <c r="H290" s="23" t="n">
        <f aca="false">IFERROR((F290-G290)/F290,0)</f>
        <v>0.9000625</v>
      </c>
      <c r="I290" s="14"/>
    </row>
    <row r="291" customFormat="false" ht="15" hidden="false" customHeight="true" outlineLevel="0" collapsed="false">
      <c r="B291" s="14" t="n">
        <v>286</v>
      </c>
      <c r="C291" s="11" t="s">
        <v>429</v>
      </c>
      <c r="D291" s="11" t="s">
        <v>266</v>
      </c>
      <c r="E291" s="11" t="s">
        <v>514</v>
      </c>
      <c r="F291" s="22" t="n">
        <v>3.1</v>
      </c>
      <c r="G291" s="13" t="n">
        <f aca="false">IFERROR(VLOOKUP(246,Recipes!$B$7:$G$323,6,FALSE()),0)</f>
        <v>1.3</v>
      </c>
      <c r="H291" s="23" t="n">
        <f aca="false">IFERROR((F291-G291)/F291,0)</f>
        <v>0.580645161290323</v>
      </c>
      <c r="I291" s="14"/>
    </row>
    <row r="292" customFormat="false" ht="15" hidden="false" customHeight="true" outlineLevel="0" collapsed="false">
      <c r="B292" s="14" t="n">
        <v>287</v>
      </c>
      <c r="C292" s="11" t="s">
        <v>490</v>
      </c>
      <c r="D292" s="11" t="s">
        <v>266</v>
      </c>
      <c r="E292" s="11" t="s">
        <v>513</v>
      </c>
      <c r="F292" s="22" t="n">
        <v>1.6</v>
      </c>
      <c r="G292" s="13" t="n">
        <f aca="false">IFERROR(VLOOKUP(310,Recipes!$B$7:$G$323,6,FALSE()),0)</f>
        <v>0</v>
      </c>
      <c r="H292" s="23" t="n">
        <f aca="false">IFERROR((F292-G292)/F292,0)</f>
        <v>1</v>
      </c>
      <c r="I292" s="14"/>
    </row>
    <row r="293" customFormat="false" ht="15" hidden="false" customHeight="true" outlineLevel="0" collapsed="false">
      <c r="B293" s="14" t="n">
        <v>288</v>
      </c>
      <c r="C293" s="11" t="s">
        <v>430</v>
      </c>
      <c r="D293" s="11" t="s">
        <v>268</v>
      </c>
      <c r="E293" s="11" t="s">
        <v>267</v>
      </c>
      <c r="F293" s="22" t="n">
        <v>3.9</v>
      </c>
      <c r="G293" s="13" t="n">
        <f aca="false">IFERROR(VLOOKUP(248,Recipes!$B$7:$G$323,6,FALSE()),0)</f>
        <v>0</v>
      </c>
      <c r="H293" s="23" t="n">
        <f aca="false">IFERROR((F293-G293)/F293,0)</f>
        <v>1</v>
      </c>
      <c r="I293" s="14"/>
    </row>
    <row r="294" customFormat="false" ht="15" hidden="false" customHeight="true" outlineLevel="0" collapsed="false">
      <c r="B294" s="14" t="n">
        <v>289</v>
      </c>
      <c r="C294" s="11" t="s">
        <v>430</v>
      </c>
      <c r="D294" s="11" t="s">
        <v>266</v>
      </c>
      <c r="E294" s="11" t="s">
        <v>267</v>
      </c>
      <c r="F294" s="22" t="n">
        <v>4.2</v>
      </c>
      <c r="G294" s="13" t="n">
        <f aca="false">IFERROR(VLOOKUP(247,Recipes!$B$7:$G$323,6,FALSE()),0)</f>
        <v>0</v>
      </c>
      <c r="H294" s="23" t="n">
        <f aca="false">IFERROR((F294-G294)/F294,0)</f>
        <v>1</v>
      </c>
      <c r="I294" s="14"/>
    </row>
    <row r="295" customFormat="false" ht="15" hidden="false" customHeight="true" outlineLevel="0" collapsed="false">
      <c r="B295" s="14" t="n">
        <v>290</v>
      </c>
      <c r="C295" s="11" t="s">
        <v>432</v>
      </c>
      <c r="D295" s="11" t="s">
        <v>274</v>
      </c>
      <c r="E295" s="11" t="s">
        <v>111</v>
      </c>
      <c r="F295" s="22" t="n">
        <v>2</v>
      </c>
      <c r="G295" s="13" t="n">
        <f aca="false">IFERROR(VLOOKUP(249,Recipes!$B$7:$G$323,6,FALSE()),0)</f>
        <v>0.199875</v>
      </c>
      <c r="H295" s="23" t="n">
        <f aca="false">IFERROR((F295-G295)/F295,0)</f>
        <v>0.9000625</v>
      </c>
      <c r="I295" s="14"/>
    </row>
    <row r="296" customFormat="false" ht="15" hidden="false" customHeight="true" outlineLevel="0" collapsed="false">
      <c r="B296" s="14" t="n">
        <v>291</v>
      </c>
      <c r="C296" s="11" t="s">
        <v>434</v>
      </c>
      <c r="D296" s="11" t="s">
        <v>268</v>
      </c>
      <c r="E296" s="11" t="s">
        <v>321</v>
      </c>
      <c r="F296" s="22" t="n">
        <v>4.4</v>
      </c>
      <c r="G296" s="13" t="n">
        <f aca="false">IFERROR(VLOOKUP(251,Recipes!$B$7:$G$323,6,FALSE()),0)</f>
        <v>0.55529919236417</v>
      </c>
      <c r="H296" s="23" t="n">
        <f aca="false">IFERROR((F296-G296)/F296,0)</f>
        <v>0.873795638099052</v>
      </c>
      <c r="I296" s="14"/>
    </row>
    <row r="297" customFormat="false" ht="15" hidden="false" customHeight="true" outlineLevel="0" collapsed="false">
      <c r="B297" s="14" t="n">
        <v>292</v>
      </c>
      <c r="C297" s="11" t="s">
        <v>434</v>
      </c>
      <c r="D297" s="11" t="s">
        <v>266</v>
      </c>
      <c r="E297" s="11" t="s">
        <v>321</v>
      </c>
      <c r="F297" s="22" t="n">
        <v>4.8</v>
      </c>
      <c r="G297" s="13" t="n">
        <f aca="false">IFERROR(VLOOKUP(250,Recipes!$B$7:$G$323,6,FALSE()),0)</f>
        <v>0.58529919236417</v>
      </c>
      <c r="H297" s="23" t="n">
        <f aca="false">IFERROR((F297-G297)/F297,0)</f>
        <v>0.878062668257464</v>
      </c>
      <c r="I297" s="14"/>
    </row>
    <row r="298" customFormat="false" ht="15" hidden="false" customHeight="true" outlineLevel="0" collapsed="false">
      <c r="B298" s="14" t="n">
        <v>293</v>
      </c>
      <c r="C298" s="11" t="s">
        <v>493</v>
      </c>
      <c r="D298" s="11" t="s">
        <v>266</v>
      </c>
      <c r="E298" s="11" t="s">
        <v>514</v>
      </c>
      <c r="F298" s="22" t="n">
        <v>3</v>
      </c>
      <c r="G298" s="13" t="n">
        <f aca="false">IFERROR(VLOOKUP(312,Recipes!$B$7:$G$323,6,FALSE()),0)</f>
        <v>0</v>
      </c>
      <c r="H298" s="23" t="n">
        <f aca="false">IFERROR((F298-G298)/F298,0)</f>
        <v>1</v>
      </c>
      <c r="I298" s="14"/>
    </row>
    <row r="299" customFormat="false" ht="15" hidden="false" customHeight="true" outlineLevel="0" collapsed="false">
      <c r="B299" s="14" t="n">
        <v>294</v>
      </c>
      <c r="C299" s="11" t="s">
        <v>491</v>
      </c>
      <c r="D299" s="11" t="s">
        <v>266</v>
      </c>
      <c r="E299" s="11" t="s">
        <v>267</v>
      </c>
      <c r="F299" s="22" t="n">
        <v>4</v>
      </c>
      <c r="G299" s="13" t="n">
        <f aca="false">IFERROR(VLOOKUP(311,Recipes!$B$7:$G$323,6,FALSE()),0)</f>
        <v>0</v>
      </c>
      <c r="H299" s="23" t="n">
        <f aca="false">IFERROR((F299-G299)/F299,0)</f>
        <v>1</v>
      </c>
      <c r="I299" s="14"/>
    </row>
    <row r="300" customFormat="false" ht="15" hidden="false" customHeight="true" outlineLevel="0" collapsed="false">
      <c r="B300" s="14" t="n">
        <v>295</v>
      </c>
      <c r="C300" s="11" t="s">
        <v>495</v>
      </c>
      <c r="D300" s="11" t="s">
        <v>266</v>
      </c>
      <c r="E300" s="11" t="s">
        <v>518</v>
      </c>
      <c r="F300" s="22" t="n">
        <v>0.4</v>
      </c>
      <c r="G300" s="13" t="n">
        <f aca="false">IFERROR(VLOOKUP(313,Recipes!$B$7:$G$323,6,FALSE()),0)</f>
        <v>0</v>
      </c>
      <c r="H300" s="23" t="n">
        <f aca="false">IFERROR((F300-G300)/F300,0)</f>
        <v>1</v>
      </c>
      <c r="I300" s="14"/>
    </row>
    <row r="301" customFormat="false" ht="15" hidden="false" customHeight="true" outlineLevel="0" collapsed="false">
      <c r="B301" s="14" t="n">
        <v>296</v>
      </c>
      <c r="C301" s="11" t="s">
        <v>496</v>
      </c>
      <c r="D301" s="11" t="s">
        <v>266</v>
      </c>
      <c r="E301" s="11" t="s">
        <v>511</v>
      </c>
      <c r="F301" s="22" t="n">
        <v>10.99</v>
      </c>
      <c r="G301" s="13" t="n">
        <f aca="false">IFERROR(VLOOKUP(314,Recipes!$B$7:$G$323,6,FALSE()),0)</f>
        <v>0</v>
      </c>
      <c r="H301" s="23" t="n">
        <f aca="false">IFERROR((F301-G301)/F301,0)</f>
        <v>1</v>
      </c>
      <c r="I301" s="14"/>
    </row>
    <row r="302" customFormat="false" ht="15" hidden="false" customHeight="true" outlineLevel="0" collapsed="false">
      <c r="B302" s="14" t="n">
        <v>297</v>
      </c>
      <c r="C302" s="11" t="s">
        <v>435</v>
      </c>
      <c r="D302" s="11" t="s">
        <v>268</v>
      </c>
      <c r="E302" s="11" t="s">
        <v>290</v>
      </c>
      <c r="F302" s="22" t="n">
        <v>4</v>
      </c>
      <c r="G302" s="13" t="n">
        <f aca="false">IFERROR(VLOOKUP(253,Recipes!$B$7:$G$323,6,FALSE()),0)</f>
        <v>0.421204111600587</v>
      </c>
      <c r="H302" s="23" t="n">
        <f aca="false">IFERROR((F302-G302)/F302,0)</f>
        <v>0.894698972099853</v>
      </c>
      <c r="I302" s="14"/>
    </row>
    <row r="303" customFormat="false" ht="15" hidden="false" customHeight="true" outlineLevel="0" collapsed="false">
      <c r="B303" s="14" t="n">
        <v>298</v>
      </c>
      <c r="C303" s="11" t="s">
        <v>435</v>
      </c>
      <c r="D303" s="11" t="s">
        <v>266</v>
      </c>
      <c r="E303" s="11" t="s">
        <v>290</v>
      </c>
      <c r="F303" s="22" t="n">
        <v>4.2</v>
      </c>
      <c r="G303" s="13" t="n">
        <f aca="false">IFERROR(VLOOKUP(252,Recipes!$B$7:$G$323,6,FALSE()),0)</f>
        <v>0.59913362701909</v>
      </c>
      <c r="H303" s="23" t="n">
        <f aca="false">IFERROR((F303-G303)/F303,0)</f>
        <v>0.857349136424026</v>
      </c>
      <c r="I303" s="14"/>
    </row>
    <row r="304" customFormat="false" ht="15" hidden="false" customHeight="true" outlineLevel="0" collapsed="false">
      <c r="B304" s="14" t="n">
        <v>299</v>
      </c>
      <c r="C304" s="11" t="s">
        <v>435</v>
      </c>
      <c r="D304" s="11" t="s">
        <v>279</v>
      </c>
      <c r="E304" s="11" t="s">
        <v>290</v>
      </c>
      <c r="F304" s="22" t="n">
        <v>4.4</v>
      </c>
      <c r="G304" s="13" t="n">
        <f aca="false">IFERROR(VLOOKUP(254,Recipes!$B$7:$G$323,6,FALSE()),0)</f>
        <v>0.787063142437592</v>
      </c>
      <c r="H304" s="23" t="n">
        <f aca="false">IFERROR((F304-G304)/F304,0)</f>
        <v>0.821122013082366</v>
      </c>
      <c r="I304" s="14"/>
    </row>
    <row r="305" customFormat="false" ht="15" hidden="false" customHeight="true" outlineLevel="0" collapsed="false">
      <c r="B305" s="14" t="n">
        <v>300</v>
      </c>
      <c r="C305" s="11" t="s">
        <v>436</v>
      </c>
      <c r="D305" s="11" t="s">
        <v>268</v>
      </c>
      <c r="E305" s="11" t="s">
        <v>517</v>
      </c>
      <c r="F305" s="22" t="n">
        <v>3.9</v>
      </c>
      <c r="G305" s="13" t="n">
        <f aca="false">IFERROR(VLOOKUP(256,Recipes!$B$7:$G$323,6,FALSE()),0)</f>
        <v>0.836894273127753</v>
      </c>
      <c r="H305" s="23" t="n">
        <f aca="false">IFERROR((F305-G305)/F305,0)</f>
        <v>0.785411724839038</v>
      </c>
      <c r="I305" s="14"/>
    </row>
    <row r="306" customFormat="false" ht="15" hidden="false" customHeight="true" outlineLevel="0" collapsed="false">
      <c r="B306" s="14" t="n">
        <v>301</v>
      </c>
      <c r="C306" s="11" t="s">
        <v>436</v>
      </c>
      <c r="D306" s="11" t="s">
        <v>266</v>
      </c>
      <c r="E306" s="11" t="s">
        <v>517</v>
      </c>
      <c r="F306" s="22" t="n">
        <v>4.1</v>
      </c>
      <c r="G306" s="13" t="n">
        <f aca="false">IFERROR(VLOOKUP(255,Recipes!$B$7:$G$323,6,FALSE()),0)</f>
        <v>0.944823788546256</v>
      </c>
      <c r="H306" s="23" t="n">
        <f aca="false">IFERROR((F306-G306)/F306,0)</f>
        <v>0.769555173525304</v>
      </c>
      <c r="I306" s="14"/>
    </row>
    <row r="307" customFormat="false" ht="15" hidden="false" customHeight="true" outlineLevel="0" collapsed="false">
      <c r="B307" s="14" t="n">
        <v>302</v>
      </c>
      <c r="C307" s="11" t="s">
        <v>436</v>
      </c>
      <c r="D307" s="11" t="s">
        <v>279</v>
      </c>
      <c r="E307" s="11" t="s">
        <v>517</v>
      </c>
      <c r="F307" s="22" t="n">
        <v>4.4</v>
      </c>
      <c r="G307" s="13" t="n">
        <f aca="false">IFERROR(VLOOKUP(257,Recipes!$B$7:$G$323,6,FALSE()),0)</f>
        <v>1.60378854625551</v>
      </c>
      <c r="H307" s="23" t="n">
        <f aca="false">IFERROR((F307-G307)/F307,0)</f>
        <v>0.635502603123749</v>
      </c>
      <c r="I307" s="14"/>
    </row>
    <row r="308" customFormat="false" ht="15" hidden="false" customHeight="true" outlineLevel="0" collapsed="false">
      <c r="B308" s="26" t="n">
        <v>303</v>
      </c>
      <c r="C308" s="26" t="s">
        <v>438</v>
      </c>
      <c r="D308" s="26" t="s">
        <v>268</v>
      </c>
      <c r="E308" s="26" t="s">
        <v>515</v>
      </c>
      <c r="F308" s="27" t="n">
        <v>0</v>
      </c>
      <c r="G308" s="27" t="n">
        <f aca="false">IFERROR(VLOOKUP(259,Recipes!$B$7:$G$323,6,FALSE()),0)</f>
        <v>0</v>
      </c>
      <c r="H308" s="28" t="n">
        <f aca="false">IFERROR((F308-G308)/F308,0)</f>
        <v>0</v>
      </c>
      <c r="I308" s="26"/>
    </row>
    <row r="309" customFormat="false" ht="15" hidden="false" customHeight="true" outlineLevel="0" collapsed="false">
      <c r="B309" s="26" t="n">
        <v>304</v>
      </c>
      <c r="C309" s="26" t="s">
        <v>438</v>
      </c>
      <c r="D309" s="26" t="s">
        <v>266</v>
      </c>
      <c r="E309" s="26" t="s">
        <v>515</v>
      </c>
      <c r="F309" s="27" t="n">
        <v>0</v>
      </c>
      <c r="G309" s="27" t="n">
        <f aca="false">IFERROR(VLOOKUP(258,Recipes!$B$7:$G$323,6,FALSE()),0)</f>
        <v>0</v>
      </c>
      <c r="H309" s="28" t="n">
        <f aca="false">IFERROR((F309-G309)/F309,0)</f>
        <v>0</v>
      </c>
      <c r="I309" s="26"/>
    </row>
    <row r="310" customFormat="false" ht="15" hidden="false" customHeight="true" outlineLevel="0" collapsed="false">
      <c r="B310" s="14" t="n">
        <v>305</v>
      </c>
      <c r="C310" s="11" t="s">
        <v>498</v>
      </c>
      <c r="D310" s="11" t="s">
        <v>266</v>
      </c>
      <c r="E310" s="11" t="s">
        <v>513</v>
      </c>
      <c r="F310" s="22" t="n">
        <v>2</v>
      </c>
      <c r="G310" s="13" t="n">
        <f aca="false">IFERROR(VLOOKUP(315,Recipes!$B$7:$G$323,6,FALSE()),0)</f>
        <v>0</v>
      </c>
      <c r="H310" s="23" t="n">
        <f aca="false">IFERROR((F310-G310)/F310,0)</f>
        <v>1</v>
      </c>
      <c r="I310" s="14"/>
    </row>
    <row r="311" customFormat="false" ht="15" hidden="false" customHeight="true" outlineLevel="0" collapsed="false">
      <c r="B311" s="14" t="n">
        <v>306</v>
      </c>
      <c r="C311" s="11" t="s">
        <v>499</v>
      </c>
      <c r="D311" s="11" t="s">
        <v>266</v>
      </c>
      <c r="E311" s="11" t="s">
        <v>519</v>
      </c>
      <c r="F311" s="22" t="n">
        <v>4.2</v>
      </c>
      <c r="G311" s="13" t="n">
        <f aca="false">IFERROR(VLOOKUP(316,Recipes!$B$7:$G$323,6,FALSE()),0)</f>
        <v>0</v>
      </c>
      <c r="H311" s="23" t="n">
        <f aca="false">IFERROR((F311-G311)/F311,0)</f>
        <v>1</v>
      </c>
      <c r="I311" s="14"/>
    </row>
    <row r="312" customFormat="false" ht="15" hidden="false" customHeight="true" outlineLevel="0" collapsed="false">
      <c r="B312" s="14" t="n">
        <v>307</v>
      </c>
      <c r="C312" s="11" t="s">
        <v>500</v>
      </c>
      <c r="D312" s="11" t="s">
        <v>266</v>
      </c>
      <c r="E312" s="11" t="s">
        <v>518</v>
      </c>
      <c r="F312" s="22" t="n">
        <v>0.4</v>
      </c>
      <c r="G312" s="13" t="n">
        <f aca="false">IFERROR(VLOOKUP(317,Recipes!$B$7:$G$323,6,FALSE()),0)</f>
        <v>0.15</v>
      </c>
      <c r="H312" s="23" t="n">
        <f aca="false">IFERROR((F312-G312)/F312,0)</f>
        <v>0.625</v>
      </c>
      <c r="I312" s="14"/>
    </row>
    <row r="313" customFormat="false" ht="15" hidden="false" customHeight="true" outlineLevel="0" collapsed="false">
      <c r="B313" s="14" t="n">
        <v>308</v>
      </c>
      <c r="C313" s="11" t="s">
        <v>439</v>
      </c>
      <c r="D313" s="11" t="s">
        <v>266</v>
      </c>
      <c r="E313" s="11" t="s">
        <v>513</v>
      </c>
      <c r="F313" s="22" t="n">
        <v>1.6</v>
      </c>
      <c r="G313" s="13" t="n">
        <f aca="false">IFERROR(VLOOKUP(260,Recipes!$B$7:$G$323,6,FALSE()),0)</f>
        <v>0</v>
      </c>
      <c r="H313" s="23" t="n">
        <f aca="false">IFERROR((F313-G313)/F313,0)</f>
        <v>1</v>
      </c>
      <c r="I313" s="14"/>
    </row>
    <row r="314" customFormat="false" ht="15" hidden="false" customHeight="true" outlineLevel="0" collapsed="false">
      <c r="B314" s="14" t="n">
        <v>309</v>
      </c>
      <c r="C314" s="11" t="s">
        <v>440</v>
      </c>
      <c r="D314" s="11" t="s">
        <v>268</v>
      </c>
      <c r="E314" s="11" t="s">
        <v>278</v>
      </c>
      <c r="F314" s="22" t="n">
        <v>2.8</v>
      </c>
      <c r="G314" s="13" t="n">
        <f aca="false">IFERROR(VLOOKUP(262,Recipes!$B$7:$G$323,6,FALSE()),0)</f>
        <v>0.726982378854626</v>
      </c>
      <c r="H314" s="23" t="n">
        <f aca="false">IFERROR((F314-G314)/F314,0)</f>
        <v>0.740363436123348</v>
      </c>
      <c r="I314" s="14"/>
    </row>
    <row r="315" customFormat="false" ht="15" hidden="false" customHeight="true" outlineLevel="0" collapsed="false">
      <c r="B315" s="14" t="n">
        <v>310</v>
      </c>
      <c r="C315" s="11" t="s">
        <v>440</v>
      </c>
      <c r="D315" s="11" t="s">
        <v>266</v>
      </c>
      <c r="E315" s="11" t="s">
        <v>278</v>
      </c>
      <c r="F315" s="22" t="n">
        <v>3.1</v>
      </c>
      <c r="G315" s="13" t="n">
        <f aca="false">IFERROR(VLOOKUP(261,Recipes!$B$7:$G$323,6,FALSE()),0)</f>
        <v>0.761637298091043</v>
      </c>
      <c r="H315" s="23" t="n">
        <f aca="false">IFERROR((F315-G315)/F315,0)</f>
        <v>0.75431054900289</v>
      </c>
      <c r="I315" s="14"/>
    </row>
    <row r="316" customFormat="false" ht="15" hidden="false" customHeight="true" outlineLevel="0" collapsed="false">
      <c r="B316" s="14" t="n">
        <v>311</v>
      </c>
      <c r="C316" s="11" t="s">
        <v>440</v>
      </c>
      <c r="D316" s="11" t="s">
        <v>279</v>
      </c>
      <c r="E316" s="11" t="s">
        <v>278</v>
      </c>
      <c r="F316" s="22" t="n">
        <v>3.4</v>
      </c>
      <c r="G316" s="13" t="n">
        <f aca="false">IFERROR(VLOOKUP(263,Recipes!$B$7:$G$323,6,FALSE()),0)</f>
        <v>1.39861967694567</v>
      </c>
      <c r="H316" s="23" t="n">
        <f aca="false">IFERROR((F316-G316)/F316,0)</f>
        <v>0.588641271486568</v>
      </c>
      <c r="I316" s="14"/>
    </row>
    <row r="317" customFormat="false" ht="15" hidden="false" customHeight="true" outlineLevel="0" collapsed="false">
      <c r="B317" s="14" t="n">
        <v>312</v>
      </c>
      <c r="C317" s="11" t="s">
        <v>441</v>
      </c>
      <c r="D317" s="11" t="s">
        <v>268</v>
      </c>
      <c r="E317" s="11" t="s">
        <v>290</v>
      </c>
      <c r="F317" s="22" t="n">
        <v>3.4</v>
      </c>
      <c r="G317" s="13" t="n">
        <f aca="false">IFERROR(VLOOKUP(265,Recipes!$B$7:$G$323,6,FALSE()),0)</f>
        <v>0.401204111600587</v>
      </c>
      <c r="H317" s="23" t="n">
        <f aca="false">IFERROR((F317-G317)/F317,0)</f>
        <v>0.88199879070571</v>
      </c>
      <c r="I317" s="14"/>
    </row>
    <row r="318" customFormat="false" ht="15" hidden="false" customHeight="true" outlineLevel="0" collapsed="false">
      <c r="B318" s="14" t="n">
        <v>313</v>
      </c>
      <c r="C318" s="11" t="s">
        <v>441</v>
      </c>
      <c r="D318" s="11" t="s">
        <v>266</v>
      </c>
      <c r="E318" s="11" t="s">
        <v>290</v>
      </c>
      <c r="F318" s="22" t="n">
        <v>3.7</v>
      </c>
      <c r="G318" s="13" t="n">
        <f aca="false">IFERROR(VLOOKUP(264,Recipes!$B$7:$G$323,6,FALSE()),0)</f>
        <v>0.56913362701909</v>
      </c>
      <c r="H318" s="23" t="n">
        <f aca="false">IFERROR((F318-G318)/F318,0)</f>
        <v>0.846180100805651</v>
      </c>
      <c r="I318" s="14"/>
    </row>
    <row r="319" customFormat="false" ht="15" hidden="false" customHeight="true" outlineLevel="0" collapsed="false">
      <c r="B319" s="14" t="n">
        <v>314</v>
      </c>
      <c r="C319" s="11" t="s">
        <v>441</v>
      </c>
      <c r="D319" s="11" t="s">
        <v>279</v>
      </c>
      <c r="E319" s="11" t="s">
        <v>290</v>
      </c>
      <c r="F319" s="22" t="n">
        <v>4</v>
      </c>
      <c r="G319" s="13" t="n">
        <f aca="false">IFERROR(VLOOKUP(266,Recipes!$B$7:$G$323,6,FALSE()),0)</f>
        <v>0.747063142437592</v>
      </c>
      <c r="H319" s="23" t="n">
        <f aca="false">IFERROR((F319-G319)/F319,0)</f>
        <v>0.813234214390602</v>
      </c>
      <c r="I319" s="14"/>
    </row>
    <row r="320" customFormat="false" ht="15" hidden="false" customHeight="true" outlineLevel="0" collapsed="false">
      <c r="B320" s="14" t="n">
        <v>315</v>
      </c>
      <c r="C320" s="11" t="s">
        <v>442</v>
      </c>
      <c r="D320" s="11" t="s">
        <v>268</v>
      </c>
      <c r="E320" s="11" t="s">
        <v>390</v>
      </c>
      <c r="F320" s="22" t="n">
        <v>3.5</v>
      </c>
      <c r="G320" s="13" t="n">
        <f aca="false">IFERROR(VLOOKUP(268,Recipes!$B$7:$G$323,6,FALSE()),0)</f>
        <v>0.956894273127753</v>
      </c>
      <c r="H320" s="23" t="n">
        <f aca="false">IFERROR((F320-G320)/F320,0)</f>
        <v>0.726601636249213</v>
      </c>
      <c r="I320" s="14"/>
    </row>
    <row r="321" customFormat="false" ht="15" hidden="false" customHeight="true" outlineLevel="0" collapsed="false">
      <c r="B321" s="14" t="n">
        <v>316</v>
      </c>
      <c r="C321" s="11" t="s">
        <v>442</v>
      </c>
      <c r="D321" s="11" t="s">
        <v>266</v>
      </c>
      <c r="E321" s="11" t="s">
        <v>390</v>
      </c>
      <c r="F321" s="22" t="n">
        <v>3.8</v>
      </c>
      <c r="G321" s="13" t="n">
        <f aca="false">IFERROR(VLOOKUP(267,Recipes!$B$7:$G$323,6,FALSE()),0)</f>
        <v>1.12482378854626</v>
      </c>
      <c r="H321" s="23" t="n">
        <f aca="false">IFERROR((F321-G321)/F321,0)</f>
        <v>0.703993739856249</v>
      </c>
      <c r="I321" s="14"/>
    </row>
    <row r="322" customFormat="false" ht="15" hidden="false" customHeight="true" outlineLevel="0" collapsed="false">
      <c r="B322" s="14" t="n">
        <v>317</v>
      </c>
      <c r="C322" s="11" t="s">
        <v>442</v>
      </c>
      <c r="D322" s="11" t="s">
        <v>279</v>
      </c>
      <c r="E322" s="11" t="s">
        <v>390</v>
      </c>
      <c r="F322" s="22" t="n">
        <v>4.1</v>
      </c>
      <c r="G322" s="13" t="n">
        <f aca="false">IFERROR(VLOOKUP(269,Recipes!$B$7:$G$323,6,FALSE()),0)</f>
        <v>1.84378854625551</v>
      </c>
      <c r="H322" s="23" t="n">
        <f aca="false">IFERROR((F322-G322)/F322,0)</f>
        <v>0.550295476523047</v>
      </c>
      <c r="I322" s="14"/>
    </row>
  </sheetData>
  <mergeCells count="1"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5" min="4" style="1" width="16"/>
    <col collapsed="false" customWidth="true" hidden="false" outlineLevel="0" max="7" min="6" style="1" width="20"/>
    <col collapsed="false" customWidth="true" hidden="false" outlineLevel="0" max="8" min="8" style="1" width="18"/>
    <col collapsed="false" customWidth="true" hidden="false" outlineLevel="0" max="10" min="9" style="1" width="14"/>
    <col collapsed="false" customWidth="true" hidden="false" outlineLevel="0" max="11" min="11" style="1" width="30"/>
  </cols>
  <sheetData>
    <row r="2" customFormat="false" ht="17.25" hidden="false" customHeight="true" outlineLevel="0" collapsed="false">
      <c r="B2" s="9" t="s">
        <v>524</v>
      </c>
    </row>
    <row r="3" customFormat="false" ht="15" hidden="false" customHeight="true" outlineLevel="0" collapsed="false">
      <c r="B3" s="3" t="s">
        <v>525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26.25" hidden="false" customHeight="true" outlineLevel="0" collapsed="false">
      <c r="B5" s="10" t="s">
        <v>526</v>
      </c>
      <c r="C5" s="10" t="s">
        <v>527</v>
      </c>
      <c r="D5" s="10" t="s">
        <v>528</v>
      </c>
      <c r="E5" s="10" t="s">
        <v>529</v>
      </c>
      <c r="F5" s="10" t="s">
        <v>530</v>
      </c>
      <c r="G5" s="10" t="s">
        <v>531</v>
      </c>
      <c r="H5" s="10" t="s">
        <v>532</v>
      </c>
      <c r="I5" s="10" t="s">
        <v>533</v>
      </c>
      <c r="J5" s="10" t="s">
        <v>534</v>
      </c>
      <c r="K5" s="10" t="s">
        <v>263</v>
      </c>
    </row>
    <row r="6" customFormat="false" ht="15" hidden="false" customHeight="true" outlineLevel="0" collapsed="false">
      <c r="B6" s="34" t="n">
        <v>45901</v>
      </c>
      <c r="C6" s="14" t="str">
        <f aca="false">IFERROR(TEXT(B6,"ddd"),"")</f>
        <v>Mon</v>
      </c>
      <c r="D6" s="22"/>
      <c r="E6" s="22"/>
      <c r="F6" s="31" t="n">
        <f aca="false">IFERROR(SUMIFS('Cash Transactions'!F6:F500,'Cash Transactions'!B6:B500,B6),0)</f>
        <v>0</v>
      </c>
      <c r="G6" s="22"/>
      <c r="H6" s="31" t="n">
        <f aca="false">D6+E6+IF(G6&gt;0,G6,F6)</f>
        <v>0</v>
      </c>
      <c r="I6" s="35"/>
      <c r="J6" s="31" t="n">
        <f aca="false">IFERROR(H6/I6,0)</f>
        <v>0</v>
      </c>
      <c r="K6" s="16"/>
    </row>
    <row r="7" customFormat="false" ht="15" hidden="false" customHeight="true" outlineLevel="0" collapsed="false">
      <c r="B7" s="34" t="n">
        <v>45902</v>
      </c>
      <c r="C7" s="14" t="str">
        <f aca="false">IFERROR(TEXT(B7,"ddd"),"")</f>
        <v>Tue</v>
      </c>
      <c r="D7" s="22"/>
      <c r="E7" s="22"/>
      <c r="F7" s="31" t="n">
        <f aca="false">IFERROR(SUMIFS('Cash Transactions'!F6:F500,'Cash Transactions'!B6:B500,B7),0)</f>
        <v>0</v>
      </c>
      <c r="G7" s="22"/>
      <c r="H7" s="31" t="n">
        <f aca="false">D7+E7+IF(G7&gt;0,G7,F7)</f>
        <v>0</v>
      </c>
      <c r="I7" s="35"/>
      <c r="J7" s="31" t="n">
        <f aca="false">IFERROR(H7/I7,0)</f>
        <v>0</v>
      </c>
      <c r="K7" s="16"/>
    </row>
    <row r="8" customFormat="false" ht="15" hidden="false" customHeight="true" outlineLevel="0" collapsed="false">
      <c r="B8" s="34" t="n">
        <v>45903</v>
      </c>
      <c r="C8" s="14" t="str">
        <f aca="false">IFERROR(TEXT(B8,"ddd"),"")</f>
        <v>Wed</v>
      </c>
      <c r="D8" s="22"/>
      <c r="E8" s="22"/>
      <c r="F8" s="31" t="n">
        <f aca="false">IFERROR(SUMIFS('Cash Transactions'!F6:F500,'Cash Transactions'!B6:B500,B8),0)</f>
        <v>0</v>
      </c>
      <c r="G8" s="22"/>
      <c r="H8" s="31" t="n">
        <f aca="false">D8+E8+IF(G8&gt;0,G8,F8)</f>
        <v>0</v>
      </c>
      <c r="I8" s="35"/>
      <c r="J8" s="31" t="n">
        <f aca="false">IFERROR(H8/I8,0)</f>
        <v>0</v>
      </c>
      <c r="K8" s="16"/>
    </row>
    <row r="9" customFormat="false" ht="15" hidden="false" customHeight="true" outlineLevel="0" collapsed="false">
      <c r="B9" s="34" t="n">
        <v>45904</v>
      </c>
      <c r="C9" s="14" t="str">
        <f aca="false">IFERROR(TEXT(B9,"ddd"),"")</f>
        <v>Thu</v>
      </c>
      <c r="D9" s="22"/>
      <c r="E9" s="22"/>
      <c r="F9" s="31" t="n">
        <f aca="false">IFERROR(SUMIFS('Cash Transactions'!F6:F500,'Cash Transactions'!B6:B500,B9),0)</f>
        <v>0</v>
      </c>
      <c r="G9" s="22"/>
      <c r="H9" s="31" t="n">
        <f aca="false">D9+E9+IF(G9&gt;0,G9,F9)</f>
        <v>0</v>
      </c>
      <c r="I9" s="35"/>
      <c r="J9" s="31" t="n">
        <f aca="false">IFERROR(H9/I9,0)</f>
        <v>0</v>
      </c>
      <c r="K9" s="16"/>
    </row>
    <row r="10" customFormat="false" ht="15" hidden="false" customHeight="true" outlineLevel="0" collapsed="false">
      <c r="B10" s="34" t="n">
        <v>45905</v>
      </c>
      <c r="C10" s="14" t="str">
        <f aca="false">IFERROR(TEXT(B10,"ddd"),"")</f>
        <v>Fri</v>
      </c>
      <c r="D10" s="22"/>
      <c r="E10" s="22"/>
      <c r="F10" s="31" t="n">
        <f aca="false">IFERROR(SUMIFS('Cash Transactions'!F6:F500,'Cash Transactions'!B6:B500,B10),0)</f>
        <v>0</v>
      </c>
      <c r="G10" s="22"/>
      <c r="H10" s="31" t="n">
        <f aca="false">D10+E10+IF(G10&gt;0,G10,F10)</f>
        <v>0</v>
      </c>
      <c r="I10" s="35"/>
      <c r="J10" s="31" t="n">
        <f aca="false">IFERROR(H10/I10,0)</f>
        <v>0</v>
      </c>
      <c r="K10" s="16"/>
    </row>
    <row r="11" customFormat="false" ht="15" hidden="false" customHeight="true" outlineLevel="0" collapsed="false">
      <c r="B11" s="34" t="n">
        <v>45906</v>
      </c>
      <c r="C11" s="14" t="str">
        <f aca="false">IFERROR(TEXT(B11,"ddd"),"")</f>
        <v>Sat</v>
      </c>
      <c r="D11" s="22"/>
      <c r="E11" s="22"/>
      <c r="F11" s="31" t="n">
        <f aca="false">IFERROR(SUMIFS('Cash Transactions'!F6:F500,'Cash Transactions'!B6:B500,B11),0)</f>
        <v>0</v>
      </c>
      <c r="G11" s="22"/>
      <c r="H11" s="31" t="n">
        <f aca="false">D11+E11+IF(G11&gt;0,G11,F11)</f>
        <v>0</v>
      </c>
      <c r="I11" s="35"/>
      <c r="J11" s="31" t="n">
        <f aca="false">IFERROR(H11/I11,0)</f>
        <v>0</v>
      </c>
      <c r="K11" s="16"/>
    </row>
    <row r="12" customFormat="false" ht="15" hidden="false" customHeight="true" outlineLevel="0" collapsed="false">
      <c r="B12" s="34" t="n">
        <v>45907</v>
      </c>
      <c r="C12" s="14" t="str">
        <f aca="false">IFERROR(TEXT(B12,"ddd"),"")</f>
        <v>Sun</v>
      </c>
      <c r="D12" s="22"/>
      <c r="E12" s="22"/>
      <c r="F12" s="31" t="n">
        <f aca="false">IFERROR(SUMIFS('Cash Transactions'!F6:F500,'Cash Transactions'!B6:B500,B12),0)</f>
        <v>0</v>
      </c>
      <c r="G12" s="22"/>
      <c r="H12" s="31" t="n">
        <f aca="false">D12+E12+IF(G12&gt;0,G12,F12)</f>
        <v>0</v>
      </c>
      <c r="I12" s="35"/>
      <c r="J12" s="31" t="n">
        <f aca="false">IFERROR(H12/I12,0)</f>
        <v>0</v>
      </c>
      <c r="K12" s="16"/>
    </row>
    <row r="13" customFormat="false" ht="15" hidden="false" customHeight="true" outlineLevel="0" collapsed="false">
      <c r="B13" s="34" t="n">
        <v>45908</v>
      </c>
      <c r="C13" s="14" t="str">
        <f aca="false">IFERROR(TEXT(B13,"ddd"),"")</f>
        <v>Mon</v>
      </c>
      <c r="D13" s="22"/>
      <c r="E13" s="22"/>
      <c r="F13" s="31" t="n">
        <f aca="false">IFERROR(SUMIFS('Cash Transactions'!F6:F500,'Cash Transactions'!B6:B500,B13),0)</f>
        <v>0</v>
      </c>
      <c r="G13" s="22"/>
      <c r="H13" s="31" t="n">
        <f aca="false">D13+E13+IF(G13&gt;0,G13,F13)</f>
        <v>0</v>
      </c>
      <c r="I13" s="35"/>
      <c r="J13" s="31" t="n">
        <f aca="false">IFERROR(H13/I13,0)</f>
        <v>0</v>
      </c>
      <c r="K13" s="16"/>
    </row>
    <row r="14" customFormat="false" ht="15" hidden="false" customHeight="true" outlineLevel="0" collapsed="false">
      <c r="B14" s="34" t="n">
        <v>45909</v>
      </c>
      <c r="C14" s="14" t="str">
        <f aca="false">IFERROR(TEXT(B14,"ddd"),"")</f>
        <v>Tue</v>
      </c>
      <c r="D14" s="22"/>
      <c r="E14" s="22"/>
      <c r="F14" s="31" t="n">
        <f aca="false">IFERROR(SUMIFS('Cash Transactions'!F6:F500,'Cash Transactions'!B6:B500,B14),0)</f>
        <v>0</v>
      </c>
      <c r="G14" s="22"/>
      <c r="H14" s="31" t="n">
        <f aca="false">D14+E14+IF(G14&gt;0,G14,F14)</f>
        <v>0</v>
      </c>
      <c r="I14" s="35"/>
      <c r="J14" s="31" t="n">
        <f aca="false">IFERROR(H14/I14,0)</f>
        <v>0</v>
      </c>
      <c r="K14" s="16"/>
    </row>
    <row r="15" customFormat="false" ht="15" hidden="false" customHeight="true" outlineLevel="0" collapsed="false">
      <c r="B15" s="34" t="n">
        <v>45910</v>
      </c>
      <c r="C15" s="14" t="str">
        <f aca="false">IFERROR(TEXT(B15,"ddd"),"")</f>
        <v>Wed</v>
      </c>
      <c r="D15" s="22"/>
      <c r="E15" s="22"/>
      <c r="F15" s="31" t="n">
        <f aca="false">IFERROR(SUMIFS('Cash Transactions'!F6:F500,'Cash Transactions'!B6:B500,B15),0)</f>
        <v>0</v>
      </c>
      <c r="G15" s="22"/>
      <c r="H15" s="31" t="n">
        <f aca="false">D15+E15+IF(G15&gt;0,G15,F15)</f>
        <v>0</v>
      </c>
      <c r="I15" s="35"/>
      <c r="J15" s="31" t="n">
        <f aca="false">IFERROR(H15/I15,0)</f>
        <v>0</v>
      </c>
      <c r="K15" s="16"/>
    </row>
    <row r="16" customFormat="false" ht="15" hidden="false" customHeight="true" outlineLevel="0" collapsed="false">
      <c r="B16" s="34" t="n">
        <v>45911</v>
      </c>
      <c r="C16" s="14" t="str">
        <f aca="false">IFERROR(TEXT(B16,"ddd"),"")</f>
        <v>Thu</v>
      </c>
      <c r="D16" s="22"/>
      <c r="E16" s="22"/>
      <c r="F16" s="31" t="n">
        <f aca="false">IFERROR(SUMIFS('Cash Transactions'!F6:F500,'Cash Transactions'!B6:B500,B16),0)</f>
        <v>0</v>
      </c>
      <c r="G16" s="22"/>
      <c r="H16" s="31" t="n">
        <f aca="false">D16+E16+IF(G16&gt;0,G16,F16)</f>
        <v>0</v>
      </c>
      <c r="I16" s="35"/>
      <c r="J16" s="31" t="n">
        <f aca="false">IFERROR(H16/I16,0)</f>
        <v>0</v>
      </c>
      <c r="K16" s="16"/>
    </row>
    <row r="17" customFormat="false" ht="15" hidden="false" customHeight="true" outlineLevel="0" collapsed="false">
      <c r="B17" s="34" t="n">
        <v>45912</v>
      </c>
      <c r="C17" s="14" t="str">
        <f aca="false">IFERROR(TEXT(B17,"ddd"),"")</f>
        <v>Fri</v>
      </c>
      <c r="D17" s="22"/>
      <c r="E17" s="22"/>
      <c r="F17" s="31" t="n">
        <f aca="false">IFERROR(SUMIFS('Cash Transactions'!F6:F500,'Cash Transactions'!B6:B500,B17),0)</f>
        <v>0</v>
      </c>
      <c r="G17" s="22"/>
      <c r="H17" s="31" t="n">
        <f aca="false">D17+E17+IF(G17&gt;0,G17,F17)</f>
        <v>0</v>
      </c>
      <c r="I17" s="35"/>
      <c r="J17" s="31" t="n">
        <f aca="false">IFERROR(H17/I17,0)</f>
        <v>0</v>
      </c>
      <c r="K17" s="16"/>
    </row>
    <row r="18" customFormat="false" ht="15" hidden="false" customHeight="true" outlineLevel="0" collapsed="false">
      <c r="B18" s="34" t="n">
        <v>45913</v>
      </c>
      <c r="C18" s="14" t="str">
        <f aca="false">IFERROR(TEXT(B18,"ddd"),"")</f>
        <v>Sat</v>
      </c>
      <c r="D18" s="22"/>
      <c r="E18" s="22"/>
      <c r="F18" s="31" t="n">
        <f aca="false">IFERROR(SUMIFS('Cash Transactions'!F6:F500,'Cash Transactions'!B6:B500,B18),0)</f>
        <v>0</v>
      </c>
      <c r="G18" s="22"/>
      <c r="H18" s="31" t="n">
        <f aca="false">D18+E18+IF(G18&gt;0,G18,F18)</f>
        <v>0</v>
      </c>
      <c r="I18" s="35"/>
      <c r="J18" s="31" t="n">
        <f aca="false">IFERROR(H18/I18,0)</f>
        <v>0</v>
      </c>
      <c r="K18" s="16"/>
    </row>
    <row r="19" customFormat="false" ht="15" hidden="false" customHeight="true" outlineLevel="0" collapsed="false">
      <c r="B19" s="34" t="n">
        <v>45914</v>
      </c>
      <c r="C19" s="14" t="str">
        <f aca="false">IFERROR(TEXT(B19,"ddd"),"")</f>
        <v>Sun</v>
      </c>
      <c r="D19" s="22"/>
      <c r="E19" s="22"/>
      <c r="F19" s="31" t="n">
        <f aca="false">IFERROR(SUMIFS('Cash Transactions'!F6:F500,'Cash Transactions'!B6:B500,B19),0)</f>
        <v>0</v>
      </c>
      <c r="G19" s="22"/>
      <c r="H19" s="31" t="n">
        <f aca="false">D19+E19+IF(G19&gt;0,G19,F19)</f>
        <v>0</v>
      </c>
      <c r="I19" s="35"/>
      <c r="J19" s="31" t="n">
        <f aca="false">IFERROR(H19/I19,0)</f>
        <v>0</v>
      </c>
      <c r="K19" s="16"/>
    </row>
    <row r="20" customFormat="false" ht="15" hidden="false" customHeight="true" outlineLevel="0" collapsed="false">
      <c r="B20" s="34" t="n">
        <v>45915</v>
      </c>
      <c r="C20" s="14" t="str">
        <f aca="false">IFERROR(TEXT(B20,"ddd"),"")</f>
        <v>Mon</v>
      </c>
      <c r="D20" s="22"/>
      <c r="E20" s="22"/>
      <c r="F20" s="31" t="n">
        <f aca="false">IFERROR(SUMIFS('Cash Transactions'!F6:F500,'Cash Transactions'!B6:B500,B20),0)</f>
        <v>0</v>
      </c>
      <c r="G20" s="22"/>
      <c r="H20" s="31" t="n">
        <f aca="false">D20+E20+IF(G20&gt;0,G20,F20)</f>
        <v>0</v>
      </c>
      <c r="I20" s="35"/>
      <c r="J20" s="31" t="n">
        <f aca="false">IFERROR(H20/I20,0)</f>
        <v>0</v>
      </c>
      <c r="K20" s="16"/>
    </row>
    <row r="21" customFormat="false" ht="15" hidden="false" customHeight="true" outlineLevel="0" collapsed="false">
      <c r="B21" s="34" t="n">
        <v>45916</v>
      </c>
      <c r="C21" s="14" t="str">
        <f aca="false">IFERROR(TEXT(B21,"ddd"),"")</f>
        <v>Tue</v>
      </c>
      <c r="D21" s="22"/>
      <c r="E21" s="22"/>
      <c r="F21" s="31" t="n">
        <f aca="false">IFERROR(SUMIFS('Cash Transactions'!F6:F500,'Cash Transactions'!B6:B500,B21),0)</f>
        <v>0</v>
      </c>
      <c r="G21" s="22"/>
      <c r="H21" s="31" t="n">
        <f aca="false">D21+E21+IF(G21&gt;0,G21,F21)</f>
        <v>0</v>
      </c>
      <c r="I21" s="35"/>
      <c r="J21" s="31" t="n">
        <f aca="false">IFERROR(H21/I21,0)</f>
        <v>0</v>
      </c>
      <c r="K21" s="16"/>
    </row>
    <row r="22" customFormat="false" ht="15" hidden="false" customHeight="true" outlineLevel="0" collapsed="false">
      <c r="B22" s="34" t="n">
        <v>45917</v>
      </c>
      <c r="C22" s="14" t="str">
        <f aca="false">IFERROR(TEXT(B22,"ddd"),"")</f>
        <v>Wed</v>
      </c>
      <c r="D22" s="22"/>
      <c r="E22" s="22"/>
      <c r="F22" s="31" t="n">
        <f aca="false">IFERROR(SUMIFS('Cash Transactions'!F6:F500,'Cash Transactions'!B6:B500,B22),0)</f>
        <v>0</v>
      </c>
      <c r="G22" s="22"/>
      <c r="H22" s="31" t="n">
        <f aca="false">D22+E22+IF(G22&gt;0,G22,F22)</f>
        <v>0</v>
      </c>
      <c r="I22" s="35"/>
      <c r="J22" s="31" t="n">
        <f aca="false">IFERROR(H22/I22,0)</f>
        <v>0</v>
      </c>
      <c r="K22" s="16"/>
    </row>
    <row r="23" customFormat="false" ht="15" hidden="false" customHeight="true" outlineLevel="0" collapsed="false">
      <c r="B23" s="34" t="n">
        <v>45918</v>
      </c>
      <c r="C23" s="14" t="str">
        <f aca="false">IFERROR(TEXT(B23,"ddd"),"")</f>
        <v>Thu</v>
      </c>
      <c r="D23" s="22"/>
      <c r="E23" s="22"/>
      <c r="F23" s="31" t="n">
        <f aca="false">IFERROR(SUMIFS('Cash Transactions'!F6:F500,'Cash Transactions'!B6:B500,B23),0)</f>
        <v>0</v>
      </c>
      <c r="G23" s="22"/>
      <c r="H23" s="31" t="n">
        <f aca="false">D23+E23+IF(G23&gt;0,G23,F23)</f>
        <v>0</v>
      </c>
      <c r="I23" s="35"/>
      <c r="J23" s="31" t="n">
        <f aca="false">IFERROR(H23/I23,0)</f>
        <v>0</v>
      </c>
      <c r="K23" s="16"/>
    </row>
    <row r="24" customFormat="false" ht="15" hidden="false" customHeight="true" outlineLevel="0" collapsed="false">
      <c r="B24" s="34" t="n">
        <v>45919</v>
      </c>
      <c r="C24" s="14" t="str">
        <f aca="false">IFERROR(TEXT(B24,"ddd"),"")</f>
        <v>Fri</v>
      </c>
      <c r="D24" s="22"/>
      <c r="E24" s="22"/>
      <c r="F24" s="31" t="n">
        <f aca="false">IFERROR(SUMIFS('Cash Transactions'!F6:F500,'Cash Transactions'!B6:B500,B24),0)</f>
        <v>0</v>
      </c>
      <c r="G24" s="22"/>
      <c r="H24" s="31" t="n">
        <f aca="false">D24+E24+IF(G24&gt;0,G24,F24)</f>
        <v>0</v>
      </c>
      <c r="I24" s="35"/>
      <c r="J24" s="31" t="n">
        <f aca="false">IFERROR(H24/I24,0)</f>
        <v>0</v>
      </c>
      <c r="K24" s="16"/>
    </row>
    <row r="25" customFormat="false" ht="15" hidden="false" customHeight="true" outlineLevel="0" collapsed="false">
      <c r="B25" s="34" t="n">
        <v>45920</v>
      </c>
      <c r="C25" s="14" t="str">
        <f aca="false">IFERROR(TEXT(B25,"ddd"),"")</f>
        <v>Sat</v>
      </c>
      <c r="D25" s="22"/>
      <c r="E25" s="22"/>
      <c r="F25" s="31" t="n">
        <f aca="false">IFERROR(SUMIFS('Cash Transactions'!F6:F500,'Cash Transactions'!B6:B500,B25),0)</f>
        <v>0</v>
      </c>
      <c r="G25" s="22"/>
      <c r="H25" s="31" t="n">
        <f aca="false">D25+E25+IF(G25&gt;0,G25,F25)</f>
        <v>0</v>
      </c>
      <c r="I25" s="35"/>
      <c r="J25" s="31" t="n">
        <f aca="false">IFERROR(H25/I25,0)</f>
        <v>0</v>
      </c>
      <c r="K25" s="16"/>
    </row>
    <row r="26" customFormat="false" ht="15" hidden="false" customHeight="true" outlineLevel="0" collapsed="false">
      <c r="B26" s="34" t="n">
        <v>45921</v>
      </c>
      <c r="C26" s="14" t="str">
        <f aca="false">IFERROR(TEXT(B26,"ddd"),"")</f>
        <v>Sun</v>
      </c>
      <c r="D26" s="22"/>
      <c r="E26" s="22"/>
      <c r="F26" s="31" t="n">
        <f aca="false">IFERROR(SUMIFS('Cash Transactions'!F6:F500,'Cash Transactions'!B6:B500,B26),0)</f>
        <v>0</v>
      </c>
      <c r="G26" s="22"/>
      <c r="H26" s="31" t="n">
        <f aca="false">D26+E26+IF(G26&gt;0,G26,F26)</f>
        <v>0</v>
      </c>
      <c r="I26" s="35"/>
      <c r="J26" s="31" t="n">
        <f aca="false">IFERROR(H26/I26,0)</f>
        <v>0</v>
      </c>
      <c r="K26" s="16"/>
    </row>
    <row r="27" customFormat="false" ht="15" hidden="false" customHeight="true" outlineLevel="0" collapsed="false">
      <c r="B27" s="34" t="n">
        <v>45922</v>
      </c>
      <c r="C27" s="14" t="str">
        <f aca="false">IFERROR(TEXT(B27,"ddd"),"")</f>
        <v>Mon</v>
      </c>
      <c r="D27" s="22"/>
      <c r="E27" s="22"/>
      <c r="F27" s="31" t="n">
        <f aca="false">IFERROR(SUMIFS('Cash Transactions'!F6:F500,'Cash Transactions'!B6:B500,B27),0)</f>
        <v>0</v>
      </c>
      <c r="G27" s="22"/>
      <c r="H27" s="31" t="n">
        <f aca="false">D27+E27+IF(G27&gt;0,G27,F27)</f>
        <v>0</v>
      </c>
      <c r="I27" s="35"/>
      <c r="J27" s="31" t="n">
        <f aca="false">IFERROR(H27/I27,0)</f>
        <v>0</v>
      </c>
      <c r="K27" s="16"/>
    </row>
    <row r="28" customFormat="false" ht="15" hidden="false" customHeight="true" outlineLevel="0" collapsed="false">
      <c r="B28" s="34" t="n">
        <v>45923</v>
      </c>
      <c r="C28" s="14" t="str">
        <f aca="false">IFERROR(TEXT(B28,"ddd"),"")</f>
        <v>Tue</v>
      </c>
      <c r="D28" s="22"/>
      <c r="E28" s="22"/>
      <c r="F28" s="31" t="n">
        <f aca="false">IFERROR(SUMIFS('Cash Transactions'!F6:F500,'Cash Transactions'!B6:B500,B28),0)</f>
        <v>0</v>
      </c>
      <c r="G28" s="22"/>
      <c r="H28" s="31" t="n">
        <f aca="false">D28+E28+IF(G28&gt;0,G28,F28)</f>
        <v>0</v>
      </c>
      <c r="I28" s="35"/>
      <c r="J28" s="31" t="n">
        <f aca="false">IFERROR(H28/I28,0)</f>
        <v>0</v>
      </c>
      <c r="K28" s="16"/>
    </row>
    <row r="29" customFormat="false" ht="15" hidden="false" customHeight="true" outlineLevel="0" collapsed="false">
      <c r="B29" s="34" t="n">
        <v>45924</v>
      </c>
      <c r="C29" s="14" t="str">
        <f aca="false">IFERROR(TEXT(B29,"ddd"),"")</f>
        <v>Wed</v>
      </c>
      <c r="D29" s="22"/>
      <c r="E29" s="22"/>
      <c r="F29" s="31" t="n">
        <f aca="false">IFERROR(SUMIFS('Cash Transactions'!F6:F500,'Cash Transactions'!B6:B500,B29),0)</f>
        <v>0</v>
      </c>
      <c r="G29" s="22"/>
      <c r="H29" s="31" t="n">
        <f aca="false">D29+E29+IF(G29&gt;0,G29,F29)</f>
        <v>0</v>
      </c>
      <c r="I29" s="35"/>
      <c r="J29" s="31" t="n">
        <f aca="false">IFERROR(H29/I29,0)</f>
        <v>0</v>
      </c>
      <c r="K29" s="16"/>
    </row>
    <row r="30" customFormat="false" ht="15" hidden="false" customHeight="true" outlineLevel="0" collapsed="false">
      <c r="B30" s="34" t="n">
        <v>45925</v>
      </c>
      <c r="C30" s="14" t="str">
        <f aca="false">IFERROR(TEXT(B30,"ddd"),"")</f>
        <v>Thu</v>
      </c>
      <c r="D30" s="22"/>
      <c r="E30" s="22"/>
      <c r="F30" s="31" t="n">
        <f aca="false">IFERROR(SUMIFS('Cash Transactions'!F6:F500,'Cash Transactions'!B6:B500,B30),0)</f>
        <v>0</v>
      </c>
      <c r="G30" s="22"/>
      <c r="H30" s="31" t="n">
        <f aca="false">D30+E30+IF(G30&gt;0,G30,F30)</f>
        <v>0</v>
      </c>
      <c r="I30" s="35"/>
      <c r="J30" s="31" t="n">
        <f aca="false">IFERROR(H30/I30,0)</f>
        <v>0</v>
      </c>
      <c r="K30" s="16"/>
    </row>
    <row r="31" customFormat="false" ht="15" hidden="false" customHeight="true" outlineLevel="0" collapsed="false">
      <c r="B31" s="34" t="n">
        <v>45926</v>
      </c>
      <c r="C31" s="14" t="str">
        <f aca="false">IFERROR(TEXT(B31,"ddd"),"")</f>
        <v>Fri</v>
      </c>
      <c r="D31" s="22"/>
      <c r="E31" s="22"/>
      <c r="F31" s="31" t="n">
        <f aca="false">IFERROR(SUMIFS('Cash Transactions'!F6:F500,'Cash Transactions'!B6:B500,B31),0)</f>
        <v>0</v>
      </c>
      <c r="G31" s="22"/>
      <c r="H31" s="31" t="n">
        <f aca="false">D31+E31+IF(G31&gt;0,G31,F31)</f>
        <v>0</v>
      </c>
      <c r="I31" s="35"/>
      <c r="J31" s="31" t="n">
        <f aca="false">IFERROR(H31/I31,0)</f>
        <v>0</v>
      </c>
      <c r="K31" s="16"/>
    </row>
    <row r="32" customFormat="false" ht="15" hidden="false" customHeight="true" outlineLevel="0" collapsed="false">
      <c r="B32" s="34" t="n">
        <v>45927</v>
      </c>
      <c r="C32" s="14" t="str">
        <f aca="false">IFERROR(TEXT(B32,"ddd"),"")</f>
        <v>Sat</v>
      </c>
      <c r="D32" s="22"/>
      <c r="E32" s="22"/>
      <c r="F32" s="31" t="n">
        <f aca="false">IFERROR(SUMIFS('Cash Transactions'!F6:F500,'Cash Transactions'!B6:B500,B32),0)</f>
        <v>0</v>
      </c>
      <c r="G32" s="22"/>
      <c r="H32" s="31" t="n">
        <f aca="false">D32+E32+IF(G32&gt;0,G32,F32)</f>
        <v>0</v>
      </c>
      <c r="I32" s="35"/>
      <c r="J32" s="31" t="n">
        <f aca="false">IFERROR(H32/I32,0)</f>
        <v>0</v>
      </c>
      <c r="K32" s="16"/>
    </row>
    <row r="33" customFormat="false" ht="15" hidden="false" customHeight="true" outlineLevel="0" collapsed="false">
      <c r="B33" s="34" t="n">
        <v>45928</v>
      </c>
      <c r="C33" s="14" t="str">
        <f aca="false">IFERROR(TEXT(B33,"ddd"),"")</f>
        <v>Sun</v>
      </c>
      <c r="D33" s="22"/>
      <c r="E33" s="22"/>
      <c r="F33" s="31" t="n">
        <f aca="false">IFERROR(SUMIFS('Cash Transactions'!F6:F500,'Cash Transactions'!B6:B500,B33),0)</f>
        <v>0</v>
      </c>
      <c r="G33" s="22"/>
      <c r="H33" s="31" t="n">
        <f aca="false">D33+E33+IF(G33&gt;0,G33,F33)</f>
        <v>0</v>
      </c>
      <c r="I33" s="35"/>
      <c r="J33" s="31" t="n">
        <f aca="false">IFERROR(H33/I33,0)</f>
        <v>0</v>
      </c>
      <c r="K33" s="16"/>
    </row>
    <row r="34" customFormat="false" ht="15" hidden="false" customHeight="true" outlineLevel="0" collapsed="false">
      <c r="B34" s="34" t="n">
        <v>45929</v>
      </c>
      <c r="C34" s="14" t="str">
        <f aca="false">IFERROR(TEXT(B34,"ddd"),"")</f>
        <v>Mon</v>
      </c>
      <c r="D34" s="22"/>
      <c r="E34" s="22"/>
      <c r="F34" s="31" t="n">
        <f aca="false">IFERROR(SUMIFS('Cash Transactions'!F6:F500,'Cash Transactions'!B6:B500,B34),0)</f>
        <v>0</v>
      </c>
      <c r="G34" s="22"/>
      <c r="H34" s="31" t="n">
        <f aca="false">D34+E34+IF(G34&gt;0,G34,F34)</f>
        <v>0</v>
      </c>
      <c r="I34" s="35"/>
      <c r="J34" s="31" t="n">
        <f aca="false">IFERROR(H34/I34,0)</f>
        <v>0</v>
      </c>
      <c r="K34" s="16"/>
    </row>
    <row r="35" customFormat="false" ht="15" hidden="false" customHeight="true" outlineLevel="0" collapsed="false">
      <c r="B35" s="34" t="n">
        <v>45930</v>
      </c>
      <c r="C35" s="14" t="str">
        <f aca="false">IFERROR(TEXT(B35,"ddd"),"")</f>
        <v>Tue</v>
      </c>
      <c r="D35" s="22"/>
      <c r="E35" s="22"/>
      <c r="F35" s="31" t="n">
        <f aca="false">IFERROR(SUMIFS('Cash Transactions'!F6:F500,'Cash Transactions'!B6:B500,B35),0)</f>
        <v>0</v>
      </c>
      <c r="G35" s="22"/>
      <c r="H35" s="31" t="n">
        <f aca="false">D35+E35+IF(G35&gt;0,G35,F35)</f>
        <v>0</v>
      </c>
      <c r="I35" s="35"/>
      <c r="J35" s="31" t="n">
        <f aca="false">IFERROR(H35/I35,0)</f>
        <v>0</v>
      </c>
      <c r="K35" s="16"/>
    </row>
    <row r="36" customFormat="false" ht="15" hidden="false" customHeight="true" outlineLevel="0" collapsed="false">
      <c r="B36" s="34" t="n">
        <v>45931</v>
      </c>
      <c r="C36" s="14" t="str">
        <f aca="false">IFERROR(TEXT(B36,"ddd"),"")</f>
        <v>Wed</v>
      </c>
      <c r="D36" s="22"/>
      <c r="E36" s="22"/>
      <c r="F36" s="31" t="n">
        <f aca="false">IFERROR(SUMIFS('Cash Transactions'!F6:F500,'Cash Transactions'!B6:B500,B36),0)</f>
        <v>0</v>
      </c>
      <c r="G36" s="22"/>
      <c r="H36" s="31" t="n">
        <f aca="false">D36+E36+IF(G36&gt;0,G36,F36)</f>
        <v>0</v>
      </c>
      <c r="I36" s="35"/>
      <c r="J36" s="31" t="n">
        <f aca="false">IFERROR(H36/I36,0)</f>
        <v>0</v>
      </c>
      <c r="K36" s="16"/>
    </row>
    <row r="37" customFormat="false" ht="15" hidden="false" customHeight="true" outlineLevel="0" collapsed="false">
      <c r="B37" s="34" t="n">
        <v>45932</v>
      </c>
      <c r="C37" s="14" t="str">
        <f aca="false">IFERROR(TEXT(B37,"ddd"),"")</f>
        <v>Thu</v>
      </c>
      <c r="D37" s="22"/>
      <c r="E37" s="22"/>
      <c r="F37" s="31" t="n">
        <f aca="false">IFERROR(SUMIFS('Cash Transactions'!F6:F500,'Cash Transactions'!B6:B500,B37),0)</f>
        <v>0</v>
      </c>
      <c r="G37" s="22"/>
      <c r="H37" s="31" t="n">
        <f aca="false">D37+E37+IF(G37&gt;0,G37,F37)</f>
        <v>0</v>
      </c>
      <c r="I37" s="35"/>
      <c r="J37" s="31" t="n">
        <f aca="false">IFERROR(H37/I37,0)</f>
        <v>0</v>
      </c>
      <c r="K37" s="16"/>
    </row>
    <row r="38" customFormat="false" ht="15" hidden="false" customHeight="true" outlineLevel="0" collapsed="false">
      <c r="B38" s="34" t="n">
        <v>45933</v>
      </c>
      <c r="C38" s="14" t="str">
        <f aca="false">IFERROR(TEXT(B38,"ddd"),"")</f>
        <v>Fri</v>
      </c>
      <c r="D38" s="22"/>
      <c r="E38" s="22"/>
      <c r="F38" s="31" t="n">
        <f aca="false">IFERROR(SUMIFS('Cash Transactions'!F6:F500,'Cash Transactions'!B6:B500,B38),0)</f>
        <v>0</v>
      </c>
      <c r="G38" s="22"/>
      <c r="H38" s="31" t="n">
        <f aca="false">D38+E38+IF(G38&gt;0,G38,F38)</f>
        <v>0</v>
      </c>
      <c r="I38" s="35"/>
      <c r="J38" s="31" t="n">
        <f aca="false">IFERROR(H38/I38,0)</f>
        <v>0</v>
      </c>
      <c r="K38" s="16"/>
    </row>
    <row r="39" customFormat="false" ht="15" hidden="false" customHeight="true" outlineLevel="0" collapsed="false">
      <c r="B39" s="34" t="n">
        <v>45934</v>
      </c>
      <c r="C39" s="14" t="str">
        <f aca="false">IFERROR(TEXT(B39,"ddd"),"")</f>
        <v>Sat</v>
      </c>
      <c r="D39" s="22"/>
      <c r="E39" s="22"/>
      <c r="F39" s="31" t="n">
        <f aca="false">IFERROR(SUMIFS('Cash Transactions'!F6:F500,'Cash Transactions'!B6:B500,B39),0)</f>
        <v>0</v>
      </c>
      <c r="G39" s="22"/>
      <c r="H39" s="31" t="n">
        <f aca="false">D39+E39+IF(G39&gt;0,G39,F39)</f>
        <v>0</v>
      </c>
      <c r="I39" s="35"/>
      <c r="J39" s="31" t="n">
        <f aca="false">IFERROR(H39/I39,0)</f>
        <v>0</v>
      </c>
      <c r="K39" s="16"/>
    </row>
    <row r="40" customFormat="false" ht="15" hidden="false" customHeight="true" outlineLevel="0" collapsed="false">
      <c r="B40" s="34" t="n">
        <v>45935</v>
      </c>
      <c r="C40" s="14" t="str">
        <f aca="false">IFERROR(TEXT(B40,"ddd"),"")</f>
        <v>Sun</v>
      </c>
      <c r="D40" s="22"/>
      <c r="E40" s="22"/>
      <c r="F40" s="31" t="n">
        <f aca="false">IFERROR(SUMIFS('Cash Transactions'!F6:F500,'Cash Transactions'!B6:B500,B40),0)</f>
        <v>0</v>
      </c>
      <c r="G40" s="22"/>
      <c r="H40" s="31" t="n">
        <f aca="false">D40+E40+IF(G40&gt;0,G40,F40)</f>
        <v>0</v>
      </c>
      <c r="I40" s="35"/>
      <c r="J40" s="31" t="n">
        <f aca="false">IFERROR(H40/I40,0)</f>
        <v>0</v>
      </c>
      <c r="K40" s="16"/>
    </row>
    <row r="41" customFormat="false" ht="15" hidden="false" customHeight="true" outlineLevel="0" collapsed="false">
      <c r="B41" s="34" t="n">
        <v>45936</v>
      </c>
      <c r="C41" s="14" t="str">
        <f aca="false">IFERROR(TEXT(B41,"ddd"),"")</f>
        <v>Mon</v>
      </c>
      <c r="D41" s="22"/>
      <c r="E41" s="22"/>
      <c r="F41" s="31" t="n">
        <f aca="false">IFERROR(SUMIFS('Cash Transactions'!F6:F500,'Cash Transactions'!B6:B500,B41),0)</f>
        <v>0</v>
      </c>
      <c r="G41" s="22"/>
      <c r="H41" s="31" t="n">
        <f aca="false">D41+E41+IF(G41&gt;0,G41,F41)</f>
        <v>0</v>
      </c>
      <c r="I41" s="35"/>
      <c r="J41" s="31" t="n">
        <f aca="false">IFERROR(H41/I41,0)</f>
        <v>0</v>
      </c>
      <c r="K41" s="16"/>
    </row>
    <row r="42" customFormat="false" ht="15" hidden="false" customHeight="true" outlineLevel="0" collapsed="false">
      <c r="B42" s="34" t="n">
        <v>45937</v>
      </c>
      <c r="C42" s="14" t="str">
        <f aca="false">IFERROR(TEXT(B42,"ddd"),"")</f>
        <v>Tue</v>
      </c>
      <c r="D42" s="22"/>
      <c r="E42" s="22"/>
      <c r="F42" s="31" t="n">
        <f aca="false">IFERROR(SUMIFS('Cash Transactions'!F6:F500,'Cash Transactions'!B6:B500,B42),0)</f>
        <v>0</v>
      </c>
      <c r="G42" s="22"/>
      <c r="H42" s="31" t="n">
        <f aca="false">D42+E42+IF(G42&gt;0,G42,F42)</f>
        <v>0</v>
      </c>
      <c r="I42" s="35"/>
      <c r="J42" s="31" t="n">
        <f aca="false">IFERROR(H42/I42,0)</f>
        <v>0</v>
      </c>
      <c r="K42" s="16"/>
    </row>
    <row r="43" customFormat="false" ht="15" hidden="false" customHeight="true" outlineLevel="0" collapsed="false">
      <c r="B43" s="34" t="n">
        <v>45938</v>
      </c>
      <c r="C43" s="14" t="str">
        <f aca="false">IFERROR(TEXT(B43,"ddd"),"")</f>
        <v>Wed</v>
      </c>
      <c r="D43" s="22"/>
      <c r="E43" s="22"/>
      <c r="F43" s="31" t="n">
        <f aca="false">IFERROR(SUMIFS('Cash Transactions'!F6:F500,'Cash Transactions'!B6:B500,B43),0)</f>
        <v>0</v>
      </c>
      <c r="G43" s="22"/>
      <c r="H43" s="31" t="n">
        <f aca="false">D43+E43+IF(G43&gt;0,G43,F43)</f>
        <v>0</v>
      </c>
      <c r="I43" s="35"/>
      <c r="J43" s="31" t="n">
        <f aca="false">IFERROR(H43/I43,0)</f>
        <v>0</v>
      </c>
      <c r="K43" s="16"/>
    </row>
    <row r="44" customFormat="false" ht="15" hidden="false" customHeight="true" outlineLevel="0" collapsed="false">
      <c r="B44" s="34" t="n">
        <v>45939</v>
      </c>
      <c r="C44" s="14" t="str">
        <f aca="false">IFERROR(TEXT(B44,"ddd"),"")</f>
        <v>Thu</v>
      </c>
      <c r="D44" s="22"/>
      <c r="E44" s="22"/>
      <c r="F44" s="31" t="n">
        <f aca="false">IFERROR(SUMIFS('Cash Transactions'!F6:F500,'Cash Transactions'!B6:B500,B44),0)</f>
        <v>0</v>
      </c>
      <c r="G44" s="22"/>
      <c r="H44" s="31" t="n">
        <f aca="false">D44+E44+IF(G44&gt;0,G44,F44)</f>
        <v>0</v>
      </c>
      <c r="I44" s="35"/>
      <c r="J44" s="31" t="n">
        <f aca="false">IFERROR(H44/I44,0)</f>
        <v>0</v>
      </c>
      <c r="K44" s="16"/>
    </row>
    <row r="45" customFormat="false" ht="15" hidden="false" customHeight="true" outlineLevel="0" collapsed="false">
      <c r="B45" s="34" t="n">
        <v>45940</v>
      </c>
      <c r="C45" s="14" t="str">
        <f aca="false">IFERROR(TEXT(B45,"ddd"),"")</f>
        <v>Fri</v>
      </c>
      <c r="D45" s="22"/>
      <c r="E45" s="22"/>
      <c r="F45" s="31" t="n">
        <f aca="false">IFERROR(SUMIFS('Cash Transactions'!F6:F500,'Cash Transactions'!B6:B500,B45),0)</f>
        <v>0</v>
      </c>
      <c r="G45" s="22"/>
      <c r="H45" s="31" t="n">
        <f aca="false">D45+E45+IF(G45&gt;0,G45,F45)</f>
        <v>0</v>
      </c>
      <c r="I45" s="35"/>
      <c r="J45" s="31" t="n">
        <f aca="false">IFERROR(H45/I45,0)</f>
        <v>0</v>
      </c>
      <c r="K45" s="16"/>
    </row>
    <row r="46" customFormat="false" ht="15" hidden="false" customHeight="true" outlineLevel="0" collapsed="false">
      <c r="B46" s="34" t="n">
        <v>45941</v>
      </c>
      <c r="C46" s="14" t="str">
        <f aca="false">IFERROR(TEXT(B46,"ddd"),"")</f>
        <v>Sat</v>
      </c>
      <c r="D46" s="22"/>
      <c r="E46" s="22"/>
      <c r="F46" s="31" t="n">
        <f aca="false">IFERROR(SUMIFS('Cash Transactions'!F6:F500,'Cash Transactions'!B6:B500,B46),0)</f>
        <v>0</v>
      </c>
      <c r="G46" s="22"/>
      <c r="H46" s="31" t="n">
        <f aca="false">D46+E46+IF(G46&gt;0,G46,F46)</f>
        <v>0</v>
      </c>
      <c r="I46" s="35"/>
      <c r="J46" s="31" t="n">
        <f aca="false">IFERROR(H46/I46,0)</f>
        <v>0</v>
      </c>
      <c r="K46" s="16"/>
    </row>
    <row r="47" customFormat="false" ht="15" hidden="false" customHeight="true" outlineLevel="0" collapsed="false">
      <c r="B47" s="34" t="n">
        <v>45942</v>
      </c>
      <c r="C47" s="14" t="str">
        <f aca="false">IFERROR(TEXT(B47,"ddd"),"")</f>
        <v>Sun</v>
      </c>
      <c r="D47" s="22"/>
      <c r="E47" s="22"/>
      <c r="F47" s="31" t="n">
        <f aca="false">IFERROR(SUMIFS('Cash Transactions'!F6:F500,'Cash Transactions'!B6:B500,B47),0)</f>
        <v>0</v>
      </c>
      <c r="G47" s="22"/>
      <c r="H47" s="31" t="n">
        <f aca="false">D47+E47+IF(G47&gt;0,G47,F47)</f>
        <v>0</v>
      </c>
      <c r="I47" s="35"/>
      <c r="J47" s="31" t="n">
        <f aca="false">IFERROR(H47/I47,0)</f>
        <v>0</v>
      </c>
      <c r="K47" s="16"/>
    </row>
    <row r="48" customFormat="false" ht="15" hidden="false" customHeight="true" outlineLevel="0" collapsed="false">
      <c r="B48" s="34" t="n">
        <v>45943</v>
      </c>
      <c r="C48" s="14" t="str">
        <f aca="false">IFERROR(TEXT(B48,"ddd"),"")</f>
        <v>Mon</v>
      </c>
      <c r="D48" s="22"/>
      <c r="E48" s="22"/>
      <c r="F48" s="31" t="n">
        <f aca="false">IFERROR(SUMIFS('Cash Transactions'!F6:F500,'Cash Transactions'!B6:B500,B48),0)</f>
        <v>0</v>
      </c>
      <c r="G48" s="22"/>
      <c r="H48" s="31" t="n">
        <f aca="false">D48+E48+IF(G48&gt;0,G48,F48)</f>
        <v>0</v>
      </c>
      <c r="I48" s="35"/>
      <c r="J48" s="31" t="n">
        <f aca="false">IFERROR(H48/I48,0)</f>
        <v>0</v>
      </c>
      <c r="K48" s="16"/>
    </row>
    <row r="49" customFormat="false" ht="15" hidden="false" customHeight="true" outlineLevel="0" collapsed="false">
      <c r="B49" s="34" t="n">
        <v>45944</v>
      </c>
      <c r="C49" s="14" t="str">
        <f aca="false">IFERROR(TEXT(B49,"ddd"),"")</f>
        <v>Tue</v>
      </c>
      <c r="D49" s="22"/>
      <c r="E49" s="22"/>
      <c r="F49" s="31" t="n">
        <f aca="false">IFERROR(SUMIFS('Cash Transactions'!F6:F500,'Cash Transactions'!B6:B500,B49),0)</f>
        <v>0</v>
      </c>
      <c r="G49" s="22"/>
      <c r="H49" s="31" t="n">
        <f aca="false">D49+E49+IF(G49&gt;0,G49,F49)</f>
        <v>0</v>
      </c>
      <c r="I49" s="35"/>
      <c r="J49" s="31" t="n">
        <f aca="false">IFERROR(H49/I49,0)</f>
        <v>0</v>
      </c>
      <c r="K49" s="16"/>
    </row>
    <row r="50" customFormat="false" ht="15" hidden="false" customHeight="true" outlineLevel="0" collapsed="false">
      <c r="B50" s="34" t="n">
        <v>45945</v>
      </c>
      <c r="C50" s="14" t="str">
        <f aca="false">IFERROR(TEXT(B50,"ddd"),"")</f>
        <v>Wed</v>
      </c>
      <c r="D50" s="22"/>
      <c r="E50" s="22"/>
      <c r="F50" s="31" t="n">
        <f aca="false">IFERROR(SUMIFS('Cash Transactions'!F6:F500,'Cash Transactions'!B6:B500,B50),0)</f>
        <v>0</v>
      </c>
      <c r="G50" s="22"/>
      <c r="H50" s="31" t="n">
        <f aca="false">D50+E50+IF(G50&gt;0,G50,F50)</f>
        <v>0</v>
      </c>
      <c r="I50" s="35"/>
      <c r="J50" s="31" t="n">
        <f aca="false">IFERROR(H50/I50,0)</f>
        <v>0</v>
      </c>
      <c r="K50" s="16"/>
    </row>
    <row r="51" customFormat="false" ht="15" hidden="false" customHeight="true" outlineLevel="0" collapsed="false">
      <c r="B51" s="34" t="n">
        <v>45946</v>
      </c>
      <c r="C51" s="14" t="str">
        <f aca="false">IFERROR(TEXT(B51,"ddd"),"")</f>
        <v>Thu</v>
      </c>
      <c r="D51" s="22"/>
      <c r="E51" s="22"/>
      <c r="F51" s="31" t="n">
        <f aca="false">IFERROR(SUMIFS('Cash Transactions'!F6:F500,'Cash Transactions'!B6:B500,B51),0)</f>
        <v>0</v>
      </c>
      <c r="G51" s="22"/>
      <c r="H51" s="31" t="n">
        <f aca="false">D51+E51+IF(G51&gt;0,G51,F51)</f>
        <v>0</v>
      </c>
      <c r="I51" s="35"/>
      <c r="J51" s="31" t="n">
        <f aca="false">IFERROR(H51/I51,0)</f>
        <v>0</v>
      </c>
      <c r="K51" s="16"/>
    </row>
    <row r="52" customFormat="false" ht="15" hidden="false" customHeight="true" outlineLevel="0" collapsed="false">
      <c r="B52" s="34" t="n">
        <v>45947</v>
      </c>
      <c r="C52" s="14" t="str">
        <f aca="false">IFERROR(TEXT(B52,"ddd"),"")</f>
        <v>Fri</v>
      </c>
      <c r="D52" s="22"/>
      <c r="E52" s="22"/>
      <c r="F52" s="31" t="n">
        <f aca="false">IFERROR(SUMIFS('Cash Transactions'!F6:F500,'Cash Transactions'!B6:B500,B52),0)</f>
        <v>0</v>
      </c>
      <c r="G52" s="22"/>
      <c r="H52" s="31" t="n">
        <f aca="false">D52+E52+IF(G52&gt;0,G52,F52)</f>
        <v>0</v>
      </c>
      <c r="I52" s="35"/>
      <c r="J52" s="31" t="n">
        <f aca="false">IFERROR(H52/I52,0)</f>
        <v>0</v>
      </c>
      <c r="K52" s="16"/>
    </row>
    <row r="53" customFormat="false" ht="15" hidden="false" customHeight="true" outlineLevel="0" collapsed="false">
      <c r="B53" s="34" t="n">
        <v>45948</v>
      </c>
      <c r="C53" s="14" t="str">
        <f aca="false">IFERROR(TEXT(B53,"ddd"),"")</f>
        <v>Sat</v>
      </c>
      <c r="D53" s="22"/>
      <c r="E53" s="22"/>
      <c r="F53" s="31" t="n">
        <f aca="false">IFERROR(SUMIFS('Cash Transactions'!F6:F500,'Cash Transactions'!B6:B500,B53),0)</f>
        <v>0</v>
      </c>
      <c r="G53" s="22"/>
      <c r="H53" s="31" t="n">
        <f aca="false">D53+E53+IF(G53&gt;0,G53,F53)</f>
        <v>0</v>
      </c>
      <c r="I53" s="35"/>
      <c r="J53" s="31" t="n">
        <f aca="false">IFERROR(H53/I53,0)</f>
        <v>0</v>
      </c>
      <c r="K53" s="16"/>
    </row>
    <row r="54" customFormat="false" ht="15" hidden="false" customHeight="true" outlineLevel="0" collapsed="false">
      <c r="B54" s="34" t="n">
        <v>45949</v>
      </c>
      <c r="C54" s="14" t="str">
        <f aca="false">IFERROR(TEXT(B54,"ddd"),"")</f>
        <v>Sun</v>
      </c>
      <c r="D54" s="22"/>
      <c r="E54" s="22"/>
      <c r="F54" s="31" t="n">
        <f aca="false">IFERROR(SUMIFS('Cash Transactions'!F6:F500,'Cash Transactions'!B6:B500,B54),0)</f>
        <v>0</v>
      </c>
      <c r="G54" s="22"/>
      <c r="H54" s="31" t="n">
        <f aca="false">D54+E54+IF(G54&gt;0,G54,F54)</f>
        <v>0</v>
      </c>
      <c r="I54" s="35"/>
      <c r="J54" s="31" t="n">
        <f aca="false">IFERROR(H54/I54,0)</f>
        <v>0</v>
      </c>
      <c r="K54" s="16"/>
    </row>
    <row r="55" customFormat="false" ht="15" hidden="false" customHeight="true" outlineLevel="0" collapsed="false">
      <c r="B55" s="34" t="n">
        <v>45950</v>
      </c>
      <c r="C55" s="14" t="str">
        <f aca="false">IFERROR(TEXT(B55,"ddd"),"")</f>
        <v>Mon</v>
      </c>
      <c r="D55" s="22"/>
      <c r="E55" s="22"/>
      <c r="F55" s="31" t="n">
        <f aca="false">IFERROR(SUMIFS('Cash Transactions'!F6:F500,'Cash Transactions'!B6:B500,B55),0)</f>
        <v>0</v>
      </c>
      <c r="G55" s="22"/>
      <c r="H55" s="31" t="n">
        <f aca="false">D55+E55+IF(G55&gt;0,G55,F55)</f>
        <v>0</v>
      </c>
      <c r="I55" s="35"/>
      <c r="J55" s="31" t="n">
        <f aca="false">IFERROR(H55/I55,0)</f>
        <v>0</v>
      </c>
      <c r="K55" s="16"/>
    </row>
    <row r="56" customFormat="false" ht="15" hidden="false" customHeight="true" outlineLevel="0" collapsed="false">
      <c r="B56" s="34" t="n">
        <v>45951</v>
      </c>
      <c r="C56" s="14" t="str">
        <f aca="false">IFERROR(TEXT(B56,"ddd"),"")</f>
        <v>Tue</v>
      </c>
      <c r="D56" s="22"/>
      <c r="E56" s="22"/>
      <c r="F56" s="31" t="n">
        <f aca="false">IFERROR(SUMIFS('Cash Transactions'!F6:F500,'Cash Transactions'!B6:B500,B56),0)</f>
        <v>0</v>
      </c>
      <c r="G56" s="22"/>
      <c r="H56" s="31" t="n">
        <f aca="false">D56+E56+IF(G56&gt;0,G56,F56)</f>
        <v>0</v>
      </c>
      <c r="I56" s="35"/>
      <c r="J56" s="31" t="n">
        <f aca="false">IFERROR(H56/I56,0)</f>
        <v>0</v>
      </c>
      <c r="K56" s="16"/>
    </row>
    <row r="57" customFormat="false" ht="15" hidden="false" customHeight="true" outlineLevel="0" collapsed="false">
      <c r="B57" s="34" t="n">
        <v>45952</v>
      </c>
      <c r="C57" s="14" t="str">
        <f aca="false">IFERROR(TEXT(B57,"ddd"),"")</f>
        <v>Wed</v>
      </c>
      <c r="D57" s="22"/>
      <c r="E57" s="22"/>
      <c r="F57" s="31" t="n">
        <f aca="false">IFERROR(SUMIFS('Cash Transactions'!F6:F500,'Cash Transactions'!B6:B500,B57),0)</f>
        <v>0</v>
      </c>
      <c r="G57" s="22"/>
      <c r="H57" s="31" t="n">
        <f aca="false">D57+E57+IF(G57&gt;0,G57,F57)</f>
        <v>0</v>
      </c>
      <c r="I57" s="35"/>
      <c r="J57" s="31" t="n">
        <f aca="false">IFERROR(H57/I57,0)</f>
        <v>0</v>
      </c>
      <c r="K57" s="16"/>
    </row>
    <row r="58" customFormat="false" ht="15" hidden="false" customHeight="true" outlineLevel="0" collapsed="false">
      <c r="B58" s="34" t="n">
        <v>45953</v>
      </c>
      <c r="C58" s="14" t="str">
        <f aca="false">IFERROR(TEXT(B58,"ddd"),"")</f>
        <v>Thu</v>
      </c>
      <c r="D58" s="22"/>
      <c r="E58" s="22"/>
      <c r="F58" s="31" t="n">
        <f aca="false">IFERROR(SUMIFS('Cash Transactions'!F6:F500,'Cash Transactions'!B6:B500,B58),0)</f>
        <v>0</v>
      </c>
      <c r="G58" s="22"/>
      <c r="H58" s="31" t="n">
        <f aca="false">D58+E58+IF(G58&gt;0,G58,F58)</f>
        <v>0</v>
      </c>
      <c r="I58" s="35"/>
      <c r="J58" s="31" t="n">
        <f aca="false">IFERROR(H58/I58,0)</f>
        <v>0</v>
      </c>
      <c r="K58" s="16"/>
    </row>
    <row r="59" customFormat="false" ht="15" hidden="false" customHeight="true" outlineLevel="0" collapsed="false">
      <c r="B59" s="34" t="n">
        <v>45954</v>
      </c>
      <c r="C59" s="14" t="str">
        <f aca="false">IFERROR(TEXT(B59,"ddd"),"")</f>
        <v>Fri</v>
      </c>
      <c r="D59" s="22"/>
      <c r="E59" s="22"/>
      <c r="F59" s="31" t="n">
        <f aca="false">IFERROR(SUMIFS('Cash Transactions'!F6:F500,'Cash Transactions'!B6:B500,B59),0)</f>
        <v>0</v>
      </c>
      <c r="G59" s="22"/>
      <c r="H59" s="31" t="n">
        <f aca="false">D59+E59+IF(G59&gt;0,G59,F59)</f>
        <v>0</v>
      </c>
      <c r="I59" s="35"/>
      <c r="J59" s="31" t="n">
        <f aca="false">IFERROR(H59/I59,0)</f>
        <v>0</v>
      </c>
      <c r="K59" s="16"/>
    </row>
    <row r="60" customFormat="false" ht="15" hidden="false" customHeight="true" outlineLevel="0" collapsed="false">
      <c r="B60" s="34" t="n">
        <v>45955</v>
      </c>
      <c r="C60" s="14" t="str">
        <f aca="false">IFERROR(TEXT(B60,"ddd"),"")</f>
        <v>Sat</v>
      </c>
      <c r="D60" s="22"/>
      <c r="E60" s="22"/>
      <c r="F60" s="31" t="n">
        <f aca="false">IFERROR(SUMIFS('Cash Transactions'!F6:F500,'Cash Transactions'!B6:B500,B60),0)</f>
        <v>0</v>
      </c>
      <c r="G60" s="22"/>
      <c r="H60" s="31" t="n">
        <f aca="false">D60+E60+IF(G60&gt;0,G60,F60)</f>
        <v>0</v>
      </c>
      <c r="I60" s="35"/>
      <c r="J60" s="31" t="n">
        <f aca="false">IFERROR(H60/I60,0)</f>
        <v>0</v>
      </c>
      <c r="K60" s="16"/>
    </row>
    <row r="61" customFormat="false" ht="15" hidden="false" customHeight="true" outlineLevel="0" collapsed="false">
      <c r="B61" s="34" t="n">
        <v>45956</v>
      </c>
      <c r="C61" s="14" t="str">
        <f aca="false">IFERROR(TEXT(B61,"ddd"),"")</f>
        <v>Sun</v>
      </c>
      <c r="D61" s="22" t="n">
        <v>0.98</v>
      </c>
      <c r="E61" s="22"/>
      <c r="F61" s="31" t="n">
        <f aca="false">IFERROR(SUMIFS('Cash Transactions'!F6:F500,'Cash Transactions'!B6:B500,B61),0)</f>
        <v>0</v>
      </c>
      <c r="G61" s="22"/>
      <c r="H61" s="31" t="n">
        <f aca="false">D61+E61+IF(G61&gt;0,G61,F61)</f>
        <v>0.98</v>
      </c>
      <c r="I61" s="35"/>
      <c r="J61" s="31" t="n">
        <f aca="false">IFERROR(H61/I61,0)</f>
        <v>0</v>
      </c>
      <c r="K61" s="16"/>
    </row>
    <row r="62" customFormat="false" ht="15" hidden="false" customHeight="true" outlineLevel="0" collapsed="false">
      <c r="B62" s="34" t="n">
        <v>45957</v>
      </c>
      <c r="C62" s="14" t="str">
        <f aca="false">IFERROR(TEXT(B62,"ddd"),"")</f>
        <v>Mon</v>
      </c>
      <c r="D62" s="22"/>
      <c r="E62" s="22"/>
      <c r="F62" s="31" t="n">
        <f aca="false">IFERROR(SUMIFS('Cash Transactions'!F6:F500,'Cash Transactions'!B6:B500,B62),0)</f>
        <v>0</v>
      </c>
      <c r="G62" s="22"/>
      <c r="H62" s="31" t="n">
        <f aca="false">D62+E62+IF(G62&gt;0,G62,F62)</f>
        <v>0</v>
      </c>
      <c r="I62" s="35"/>
      <c r="J62" s="31" t="n">
        <f aca="false">IFERROR(H62/I62,0)</f>
        <v>0</v>
      </c>
      <c r="K62" s="16"/>
    </row>
    <row r="63" customFormat="false" ht="15" hidden="false" customHeight="true" outlineLevel="0" collapsed="false">
      <c r="B63" s="34" t="n">
        <v>45958</v>
      </c>
      <c r="C63" s="14" t="str">
        <f aca="false">IFERROR(TEXT(B63,"ddd"),"")</f>
        <v>Tue</v>
      </c>
      <c r="D63" s="22"/>
      <c r="E63" s="22"/>
      <c r="F63" s="31" t="n">
        <f aca="false">IFERROR(SUMIFS('Cash Transactions'!F6:F500,'Cash Transactions'!B6:B500,B63),0)</f>
        <v>0</v>
      </c>
      <c r="G63" s="22"/>
      <c r="H63" s="31" t="n">
        <f aca="false">D63+E63+IF(G63&gt;0,G63,F63)</f>
        <v>0</v>
      </c>
      <c r="I63" s="35"/>
      <c r="J63" s="31" t="n">
        <f aca="false">IFERROR(H63/I63,0)</f>
        <v>0</v>
      </c>
      <c r="K63" s="16"/>
    </row>
    <row r="64" customFormat="false" ht="15" hidden="false" customHeight="true" outlineLevel="0" collapsed="false">
      <c r="B64" s="34" t="n">
        <v>45959</v>
      </c>
      <c r="C64" s="14" t="str">
        <f aca="false">IFERROR(TEXT(B64,"ddd"),"")</f>
        <v>Wed</v>
      </c>
      <c r="D64" s="22"/>
      <c r="E64" s="22"/>
      <c r="F64" s="31" t="n">
        <f aca="false">IFERROR(SUMIFS('Cash Transactions'!F6:F500,'Cash Transactions'!B6:B500,B64),0)</f>
        <v>0</v>
      </c>
      <c r="G64" s="22"/>
      <c r="H64" s="31" t="n">
        <f aca="false">D64+E64+IF(G64&gt;0,G64,F64)</f>
        <v>0</v>
      </c>
      <c r="I64" s="35"/>
      <c r="J64" s="31" t="n">
        <f aca="false">IFERROR(H64/I64,0)</f>
        <v>0</v>
      </c>
      <c r="K64" s="16"/>
    </row>
    <row r="65" customFormat="false" ht="15" hidden="false" customHeight="true" outlineLevel="0" collapsed="false">
      <c r="B65" s="34" t="n">
        <v>45960</v>
      </c>
      <c r="C65" s="14" t="str">
        <f aca="false">IFERROR(TEXT(B65,"ddd"),"")</f>
        <v>Thu</v>
      </c>
      <c r="D65" s="22"/>
      <c r="E65" s="22"/>
      <c r="F65" s="31" t="n">
        <f aca="false">IFERROR(SUMIFS('Cash Transactions'!F6:F500,'Cash Transactions'!B6:B500,B65),0)</f>
        <v>0</v>
      </c>
      <c r="G65" s="22"/>
      <c r="H65" s="31" t="n">
        <f aca="false">D65+E65+IF(G65&gt;0,G65,F65)</f>
        <v>0</v>
      </c>
      <c r="I65" s="35"/>
      <c r="J65" s="31" t="n">
        <f aca="false">IFERROR(H65/I65,0)</f>
        <v>0</v>
      </c>
      <c r="K65" s="16"/>
    </row>
    <row r="66" customFormat="false" ht="15" hidden="false" customHeight="true" outlineLevel="0" collapsed="false">
      <c r="B66" s="34" t="n">
        <v>45961</v>
      </c>
      <c r="C66" s="14" t="str">
        <f aca="false">IFERROR(TEXT(B66,"ddd"),"")</f>
        <v>Fri</v>
      </c>
      <c r="D66" s="22"/>
      <c r="E66" s="22"/>
      <c r="F66" s="31" t="n">
        <f aca="false">IFERROR(SUMIFS('Cash Transactions'!F6:F500,'Cash Transactions'!B6:B500,B66),0)</f>
        <v>0</v>
      </c>
      <c r="G66" s="22"/>
      <c r="H66" s="31" t="n">
        <f aca="false">D66+E66+IF(G66&gt;0,G66,F66)</f>
        <v>0</v>
      </c>
      <c r="I66" s="35"/>
      <c r="J66" s="31" t="n">
        <f aca="false">IFERROR(H66/I66,0)</f>
        <v>0</v>
      </c>
      <c r="K66" s="16"/>
    </row>
    <row r="67" customFormat="false" ht="15" hidden="false" customHeight="true" outlineLevel="0" collapsed="false">
      <c r="B67" s="34" t="n">
        <v>45962</v>
      </c>
      <c r="C67" s="14" t="str">
        <f aca="false">IFERROR(TEXT(B67,"ddd"),"")</f>
        <v>Sat</v>
      </c>
      <c r="D67" s="22"/>
      <c r="E67" s="22"/>
      <c r="F67" s="31" t="n">
        <f aca="false">IFERROR(SUMIFS('Cash Transactions'!F6:F500,'Cash Transactions'!B6:B500,B67),0)</f>
        <v>0</v>
      </c>
      <c r="G67" s="22"/>
      <c r="H67" s="31" t="n">
        <f aca="false">D67+E67+IF(G67&gt;0,G67,F67)</f>
        <v>0</v>
      </c>
      <c r="I67" s="35"/>
      <c r="J67" s="31" t="n">
        <f aca="false">IFERROR(H67/I67,0)</f>
        <v>0</v>
      </c>
      <c r="K67" s="16"/>
    </row>
    <row r="68" customFormat="false" ht="15" hidden="false" customHeight="true" outlineLevel="0" collapsed="false">
      <c r="B68" s="34" t="n">
        <v>45963</v>
      </c>
      <c r="C68" s="14" t="str">
        <f aca="false">IFERROR(TEXT(B68,"ddd"),"")</f>
        <v>Sun</v>
      </c>
      <c r="D68" s="22"/>
      <c r="E68" s="22"/>
      <c r="F68" s="31" t="n">
        <f aca="false">IFERROR(SUMIFS('Cash Transactions'!F6:F500,'Cash Transactions'!B6:B500,B68),0)</f>
        <v>0</v>
      </c>
      <c r="G68" s="22"/>
      <c r="H68" s="31" t="n">
        <f aca="false">D68+E68+IF(G68&gt;0,G68,F68)</f>
        <v>0</v>
      </c>
      <c r="I68" s="35"/>
      <c r="J68" s="31" t="n">
        <f aca="false">IFERROR(H68/I68,0)</f>
        <v>0</v>
      </c>
      <c r="K68" s="16"/>
    </row>
    <row r="69" customFormat="false" ht="15" hidden="false" customHeight="true" outlineLevel="0" collapsed="false">
      <c r="B69" s="34" t="n">
        <v>45964</v>
      </c>
      <c r="C69" s="14" t="str">
        <f aca="false">IFERROR(TEXT(B69,"ddd"),"")</f>
        <v>Mon</v>
      </c>
      <c r="D69" s="22"/>
      <c r="E69" s="22"/>
      <c r="F69" s="31" t="n">
        <f aca="false">IFERROR(SUMIFS('Cash Transactions'!F6:F500,'Cash Transactions'!B6:B500,B69),0)</f>
        <v>0</v>
      </c>
      <c r="G69" s="22"/>
      <c r="H69" s="31" t="n">
        <f aca="false">D69+E69+IF(G69&gt;0,G69,F69)</f>
        <v>0</v>
      </c>
      <c r="I69" s="35"/>
      <c r="J69" s="31" t="n">
        <f aca="false">IFERROR(H69/I69,0)</f>
        <v>0</v>
      </c>
      <c r="K69" s="16"/>
    </row>
    <row r="70" customFormat="false" ht="15" hidden="false" customHeight="true" outlineLevel="0" collapsed="false">
      <c r="B70" s="34" t="n">
        <v>45965</v>
      </c>
      <c r="C70" s="14" t="str">
        <f aca="false">IFERROR(TEXT(B70,"ddd"),"")</f>
        <v>Tue</v>
      </c>
      <c r="D70" s="22"/>
      <c r="E70" s="22"/>
      <c r="F70" s="31" t="n">
        <f aca="false">IFERROR(SUMIFS('Cash Transactions'!F6:F500,'Cash Transactions'!B6:B500,B70),0)</f>
        <v>0</v>
      </c>
      <c r="G70" s="22"/>
      <c r="H70" s="31" t="n">
        <f aca="false">D70+E70+IF(G70&gt;0,G70,F70)</f>
        <v>0</v>
      </c>
      <c r="I70" s="35"/>
      <c r="J70" s="31" t="n">
        <f aca="false">IFERROR(H70/I70,0)</f>
        <v>0</v>
      </c>
      <c r="K70" s="16"/>
    </row>
    <row r="71" customFormat="false" ht="15" hidden="false" customHeight="true" outlineLevel="0" collapsed="false">
      <c r="B71" s="34" t="n">
        <v>45966</v>
      </c>
      <c r="C71" s="14" t="str">
        <f aca="false">IFERROR(TEXT(B71,"ddd"),"")</f>
        <v>Wed</v>
      </c>
      <c r="D71" s="22" t="n">
        <v>3.92</v>
      </c>
      <c r="E71" s="22"/>
      <c r="F71" s="31" t="n">
        <f aca="false">IFERROR(SUMIFS('Cash Transactions'!F6:F500,'Cash Transactions'!B6:B500,B71),0)</f>
        <v>0</v>
      </c>
      <c r="G71" s="22"/>
      <c r="H71" s="31" t="n">
        <f aca="false">D71+E71+IF(G71&gt;0,G71,F71)</f>
        <v>3.92</v>
      </c>
      <c r="I71" s="35"/>
      <c r="J71" s="31" t="n">
        <f aca="false">IFERROR(H71/I71,0)</f>
        <v>0</v>
      </c>
      <c r="K71" s="16"/>
    </row>
    <row r="72" customFormat="false" ht="15" hidden="false" customHeight="true" outlineLevel="0" collapsed="false">
      <c r="B72" s="34" t="n">
        <v>45967</v>
      </c>
      <c r="C72" s="14" t="str">
        <f aca="false">IFERROR(TEXT(B72,"ddd"),"")</f>
        <v>Thu</v>
      </c>
      <c r="D72" s="22"/>
      <c r="E72" s="22"/>
      <c r="F72" s="31" t="n">
        <f aca="false">IFERROR(SUMIFS('Cash Transactions'!F6:F500,'Cash Transactions'!B6:B500,B72),0)</f>
        <v>0</v>
      </c>
      <c r="G72" s="22"/>
      <c r="H72" s="31" t="n">
        <f aca="false">D72+E72+IF(G72&gt;0,G72,F72)</f>
        <v>0</v>
      </c>
      <c r="I72" s="35"/>
      <c r="J72" s="31" t="n">
        <f aca="false">IFERROR(H72/I72,0)</f>
        <v>0</v>
      </c>
      <c r="K72" s="16"/>
    </row>
    <row r="73" customFormat="false" ht="15" hidden="false" customHeight="true" outlineLevel="0" collapsed="false">
      <c r="B73" s="34" t="n">
        <v>45968</v>
      </c>
      <c r="C73" s="14" t="str">
        <f aca="false">IFERROR(TEXT(B73,"ddd"),"")</f>
        <v>Fri</v>
      </c>
      <c r="D73" s="22"/>
      <c r="E73" s="22"/>
      <c r="F73" s="31" t="n">
        <f aca="false">IFERROR(SUMIFS('Cash Transactions'!F6:F500,'Cash Transactions'!B6:B500,B73),0)</f>
        <v>0</v>
      </c>
      <c r="G73" s="22"/>
      <c r="H73" s="31" t="n">
        <f aca="false">D73+E73+IF(G73&gt;0,G73,F73)</f>
        <v>0</v>
      </c>
      <c r="I73" s="35"/>
      <c r="J73" s="31" t="n">
        <f aca="false">IFERROR(H73/I73,0)</f>
        <v>0</v>
      </c>
      <c r="K73" s="16"/>
    </row>
    <row r="74" customFormat="false" ht="15" hidden="false" customHeight="true" outlineLevel="0" collapsed="false">
      <c r="B74" s="34" t="n">
        <v>45969</v>
      </c>
      <c r="C74" s="14" t="str">
        <f aca="false">IFERROR(TEXT(B74,"ddd"),"")</f>
        <v>Sat</v>
      </c>
      <c r="D74" s="22" t="n">
        <v>283.69</v>
      </c>
      <c r="E74" s="22"/>
      <c r="F74" s="31" t="n">
        <f aca="false">IFERROR(SUMIFS('Cash Transactions'!F6:F500,'Cash Transactions'!B6:B500,B74),0)</f>
        <v>0</v>
      </c>
      <c r="G74" s="22"/>
      <c r="H74" s="31" t="n">
        <f aca="false">D74+E74+IF(G74&gt;0,G74,F74)</f>
        <v>283.69</v>
      </c>
      <c r="I74" s="35"/>
      <c r="J74" s="31" t="n">
        <f aca="false">IFERROR(H74/I74,0)</f>
        <v>0</v>
      </c>
      <c r="K74" s="16"/>
    </row>
    <row r="75" customFormat="false" ht="15" hidden="false" customHeight="true" outlineLevel="0" collapsed="false">
      <c r="B75" s="34" t="n">
        <v>45970</v>
      </c>
      <c r="C75" s="14" t="str">
        <f aca="false">IFERROR(TEXT(B75,"ddd"),"")</f>
        <v>Sun</v>
      </c>
      <c r="D75" s="22" t="n">
        <v>107.16</v>
      </c>
      <c r="E75" s="22"/>
      <c r="F75" s="31" t="n">
        <f aca="false">IFERROR(SUMIFS('Cash Transactions'!F6:F500,'Cash Transactions'!B6:B500,B75),0)</f>
        <v>0</v>
      </c>
      <c r="G75" s="22"/>
      <c r="H75" s="31" t="n">
        <f aca="false">D75+E75+IF(G75&gt;0,G75,F75)</f>
        <v>107.16</v>
      </c>
      <c r="I75" s="35"/>
      <c r="J75" s="31" t="n">
        <f aca="false">IFERROR(H75/I75,0)</f>
        <v>0</v>
      </c>
      <c r="K75" s="16"/>
    </row>
    <row r="76" customFormat="false" ht="15" hidden="false" customHeight="true" outlineLevel="0" collapsed="false">
      <c r="B76" s="34" t="n">
        <v>45971</v>
      </c>
      <c r="C76" s="14" t="str">
        <f aca="false">IFERROR(TEXT(B76,"ddd"),"")</f>
        <v>Mon</v>
      </c>
      <c r="D76" s="22" t="n">
        <v>41.8</v>
      </c>
      <c r="E76" s="22"/>
      <c r="F76" s="31" t="n">
        <f aca="false">IFERROR(SUMIFS('Cash Transactions'!F6:F500,'Cash Transactions'!B6:B500,B76),0)</f>
        <v>0</v>
      </c>
      <c r="G76" s="22"/>
      <c r="H76" s="31" t="n">
        <f aca="false">D76+E76+IF(G76&gt;0,G76,F76)</f>
        <v>41.8</v>
      </c>
      <c r="I76" s="35"/>
      <c r="J76" s="31" t="n">
        <f aca="false">IFERROR(H76/I76,0)</f>
        <v>0</v>
      </c>
      <c r="K76" s="16"/>
    </row>
    <row r="77" customFormat="false" ht="15" hidden="false" customHeight="true" outlineLevel="0" collapsed="false">
      <c r="B77" s="34" t="n">
        <v>45972</v>
      </c>
      <c r="C77" s="14" t="str">
        <f aca="false">IFERROR(TEXT(B77,"ddd"),"")</f>
        <v>Tue</v>
      </c>
      <c r="D77" s="22" t="n">
        <v>121.01</v>
      </c>
      <c r="E77" s="22"/>
      <c r="F77" s="31" t="n">
        <f aca="false">IFERROR(SUMIFS('Cash Transactions'!F6:F500,'Cash Transactions'!B6:B500,B77),0)</f>
        <v>0</v>
      </c>
      <c r="G77" s="22"/>
      <c r="H77" s="31" t="n">
        <f aca="false">D77+E77+IF(G77&gt;0,G77,F77)</f>
        <v>121.01</v>
      </c>
      <c r="I77" s="35"/>
      <c r="J77" s="31" t="n">
        <f aca="false">IFERROR(H77/I77,0)</f>
        <v>0</v>
      </c>
      <c r="K77" s="16"/>
    </row>
    <row r="78" customFormat="false" ht="15" hidden="false" customHeight="true" outlineLevel="0" collapsed="false">
      <c r="B78" s="34" t="n">
        <v>45973</v>
      </c>
      <c r="C78" s="14" t="str">
        <f aca="false">IFERROR(TEXT(B78,"ddd"),"")</f>
        <v>Wed</v>
      </c>
      <c r="D78" s="22" t="n">
        <v>40.49</v>
      </c>
      <c r="E78" s="22"/>
      <c r="F78" s="31" t="n">
        <f aca="false">IFERROR(SUMIFS('Cash Transactions'!F6:F500,'Cash Transactions'!B6:B500,B78),0)</f>
        <v>0</v>
      </c>
      <c r="G78" s="22"/>
      <c r="H78" s="31" t="n">
        <f aca="false">D78+E78+IF(G78&gt;0,G78,F78)</f>
        <v>40.49</v>
      </c>
      <c r="I78" s="35"/>
      <c r="J78" s="31" t="n">
        <f aca="false">IFERROR(H78/I78,0)</f>
        <v>0</v>
      </c>
      <c r="K78" s="16"/>
    </row>
    <row r="79" customFormat="false" ht="15" hidden="false" customHeight="true" outlineLevel="0" collapsed="false">
      <c r="B79" s="34" t="n">
        <v>45974</v>
      </c>
      <c r="C79" s="14" t="str">
        <f aca="false">IFERROR(TEXT(B79,"ddd"),"")</f>
        <v>Thu</v>
      </c>
      <c r="D79" s="22" t="n">
        <v>70.69</v>
      </c>
      <c r="E79" s="22"/>
      <c r="F79" s="31" t="n">
        <f aca="false">IFERROR(SUMIFS('Cash Transactions'!F6:F500,'Cash Transactions'!B6:B500,B79),0)</f>
        <v>0</v>
      </c>
      <c r="G79" s="22"/>
      <c r="H79" s="31" t="n">
        <f aca="false">D79+E79+IF(G79&gt;0,G79,F79)</f>
        <v>70.69</v>
      </c>
      <c r="I79" s="35"/>
      <c r="J79" s="31" t="n">
        <f aca="false">IFERROR(H79/I79,0)</f>
        <v>0</v>
      </c>
      <c r="K79" s="16"/>
    </row>
    <row r="80" customFormat="false" ht="15" hidden="false" customHeight="true" outlineLevel="0" collapsed="false">
      <c r="B80" s="34" t="n">
        <v>45975</v>
      </c>
      <c r="C80" s="14" t="str">
        <f aca="false">IFERROR(TEXT(B80,"ddd"),"")</f>
        <v>Fri</v>
      </c>
      <c r="D80" s="22" t="n">
        <v>27.81</v>
      </c>
      <c r="E80" s="22"/>
      <c r="F80" s="31" t="n">
        <f aca="false">IFERROR(SUMIFS('Cash Transactions'!F6:F500,'Cash Transactions'!B6:B500,B80),0)</f>
        <v>0</v>
      </c>
      <c r="G80" s="22"/>
      <c r="H80" s="31" t="n">
        <f aca="false">D80+E80+IF(G80&gt;0,G80,F80)</f>
        <v>27.81</v>
      </c>
      <c r="I80" s="35"/>
      <c r="J80" s="31" t="n">
        <f aca="false">IFERROR(H80/I80,0)</f>
        <v>0</v>
      </c>
      <c r="K80" s="16"/>
    </row>
    <row r="81" customFormat="false" ht="15" hidden="false" customHeight="true" outlineLevel="0" collapsed="false">
      <c r="B81" s="34" t="n">
        <v>45976</v>
      </c>
      <c r="C81" s="14" t="str">
        <f aca="false">IFERROR(TEXT(B81,"ddd"),"")</f>
        <v>Sat</v>
      </c>
      <c r="D81" s="22" t="n">
        <v>101.35</v>
      </c>
      <c r="E81" s="22"/>
      <c r="F81" s="31" t="n">
        <f aca="false">IFERROR(SUMIFS('Cash Transactions'!F6:F500,'Cash Transactions'!B6:B500,B81),0)</f>
        <v>0</v>
      </c>
      <c r="G81" s="22"/>
      <c r="H81" s="31" t="n">
        <f aca="false">D81+E81+IF(G81&gt;0,G81,F81)</f>
        <v>101.35</v>
      </c>
      <c r="I81" s="35"/>
      <c r="J81" s="31" t="n">
        <f aca="false">IFERROR(H81/I81,0)</f>
        <v>0</v>
      </c>
      <c r="K81" s="16"/>
    </row>
    <row r="82" customFormat="false" ht="15" hidden="false" customHeight="true" outlineLevel="0" collapsed="false">
      <c r="B82" s="34" t="n">
        <v>45977</v>
      </c>
      <c r="C82" s="14" t="str">
        <f aca="false">IFERROR(TEXT(B82,"ddd"),"")</f>
        <v>Sun</v>
      </c>
      <c r="D82" s="22" t="n">
        <v>181.26</v>
      </c>
      <c r="E82" s="22"/>
      <c r="F82" s="31" t="n">
        <f aca="false">IFERROR(SUMIFS('Cash Transactions'!F6:F500,'Cash Transactions'!B6:B500,B82),0)</f>
        <v>0</v>
      </c>
      <c r="G82" s="22"/>
      <c r="H82" s="31" t="n">
        <f aca="false">D82+E82+IF(G82&gt;0,G82,F82)</f>
        <v>181.26</v>
      </c>
      <c r="I82" s="35"/>
      <c r="J82" s="31" t="n">
        <f aca="false">IFERROR(H82/I82,0)</f>
        <v>0</v>
      </c>
      <c r="K82" s="16"/>
    </row>
    <row r="83" customFormat="false" ht="15" hidden="false" customHeight="true" outlineLevel="0" collapsed="false">
      <c r="B83" s="34" t="n">
        <v>45978</v>
      </c>
      <c r="C83" s="14" t="str">
        <f aca="false">IFERROR(TEXT(B83,"ddd"),"")</f>
        <v>Mon</v>
      </c>
      <c r="D83" s="22" t="n">
        <v>66.27</v>
      </c>
      <c r="E83" s="22"/>
      <c r="F83" s="31" t="n">
        <f aca="false">IFERROR(SUMIFS('Cash Transactions'!F6:F500,'Cash Transactions'!B6:B500,B83),0)</f>
        <v>0</v>
      </c>
      <c r="G83" s="22"/>
      <c r="H83" s="31" t="n">
        <f aca="false">D83+E83+IF(G83&gt;0,G83,F83)</f>
        <v>66.27</v>
      </c>
      <c r="I83" s="35"/>
      <c r="J83" s="31" t="n">
        <f aca="false">IFERROR(H83/I83,0)</f>
        <v>0</v>
      </c>
      <c r="K83" s="16"/>
    </row>
    <row r="84" customFormat="false" ht="15" hidden="false" customHeight="true" outlineLevel="0" collapsed="false">
      <c r="B84" s="34" t="n">
        <v>45979</v>
      </c>
      <c r="C84" s="14" t="str">
        <f aca="false">IFERROR(TEXT(B84,"ddd"),"")</f>
        <v>Tue</v>
      </c>
      <c r="D84" s="22" t="n">
        <v>88.13</v>
      </c>
      <c r="E84" s="22"/>
      <c r="F84" s="31" t="n">
        <f aca="false">IFERROR(SUMIFS('Cash Transactions'!F6:F500,'Cash Transactions'!B6:B500,B84),0)</f>
        <v>0</v>
      </c>
      <c r="G84" s="22"/>
      <c r="H84" s="31" t="n">
        <f aca="false">D84+E84+IF(G84&gt;0,G84,F84)</f>
        <v>88.13</v>
      </c>
      <c r="I84" s="35"/>
      <c r="J84" s="31" t="n">
        <f aca="false">IFERROR(H84/I84,0)</f>
        <v>0</v>
      </c>
      <c r="K84" s="16"/>
    </row>
    <row r="85" customFormat="false" ht="15" hidden="false" customHeight="true" outlineLevel="0" collapsed="false">
      <c r="B85" s="34" t="n">
        <v>45980</v>
      </c>
      <c r="C85" s="14" t="str">
        <f aca="false">IFERROR(TEXT(B85,"ddd"),"")</f>
        <v>Wed</v>
      </c>
      <c r="D85" s="22" t="n">
        <v>81.3</v>
      </c>
      <c r="E85" s="22"/>
      <c r="F85" s="31" t="n">
        <f aca="false">IFERROR(SUMIFS('Cash Transactions'!F6:F500,'Cash Transactions'!B6:B500,B85),0)</f>
        <v>0</v>
      </c>
      <c r="G85" s="22"/>
      <c r="H85" s="31" t="n">
        <f aca="false">D85+E85+IF(G85&gt;0,G85,F85)</f>
        <v>81.3</v>
      </c>
      <c r="I85" s="35"/>
      <c r="J85" s="31" t="n">
        <f aca="false">IFERROR(H85/I85,0)</f>
        <v>0</v>
      </c>
      <c r="K85" s="16"/>
    </row>
    <row r="86" customFormat="false" ht="15" hidden="false" customHeight="true" outlineLevel="0" collapsed="false">
      <c r="B86" s="34" t="n">
        <v>45981</v>
      </c>
      <c r="C86" s="14" t="str">
        <f aca="false">IFERROR(TEXT(B86,"ddd"),"")</f>
        <v>Thu</v>
      </c>
      <c r="D86" s="22" t="n">
        <v>105.47</v>
      </c>
      <c r="E86" s="22"/>
      <c r="F86" s="31" t="n">
        <f aca="false">IFERROR(SUMIFS('Cash Transactions'!F6:F500,'Cash Transactions'!B6:B500,B86),0)</f>
        <v>0</v>
      </c>
      <c r="G86" s="22"/>
      <c r="H86" s="31" t="n">
        <f aca="false">D86+E86+IF(G86&gt;0,G86,F86)</f>
        <v>105.47</v>
      </c>
      <c r="I86" s="35"/>
      <c r="J86" s="31" t="n">
        <f aca="false">IFERROR(H86/I86,0)</f>
        <v>0</v>
      </c>
      <c r="K86" s="16"/>
    </row>
    <row r="87" customFormat="false" ht="15" hidden="false" customHeight="true" outlineLevel="0" collapsed="false">
      <c r="B87" s="34" t="n">
        <v>45982</v>
      </c>
      <c r="C87" s="14" t="str">
        <f aca="false">IFERROR(TEXT(B87,"ddd"),"")</f>
        <v>Fri</v>
      </c>
      <c r="D87" s="22" t="n">
        <v>116.33</v>
      </c>
      <c r="E87" s="22"/>
      <c r="F87" s="31" t="n">
        <f aca="false">IFERROR(SUMIFS('Cash Transactions'!F6:F500,'Cash Transactions'!B6:B500,B87),0)</f>
        <v>0</v>
      </c>
      <c r="G87" s="22"/>
      <c r="H87" s="31" t="n">
        <f aca="false">D87+E87+IF(G87&gt;0,G87,F87)</f>
        <v>116.33</v>
      </c>
      <c r="I87" s="35"/>
      <c r="J87" s="31" t="n">
        <f aca="false">IFERROR(H87/I87,0)</f>
        <v>0</v>
      </c>
      <c r="K87" s="16"/>
    </row>
    <row r="88" customFormat="false" ht="15" hidden="false" customHeight="true" outlineLevel="0" collapsed="false">
      <c r="B88" s="34" t="n">
        <v>45983</v>
      </c>
      <c r="C88" s="14" t="str">
        <f aca="false">IFERROR(TEXT(B88,"ddd"),"")</f>
        <v>Sat</v>
      </c>
      <c r="D88" s="22" t="n">
        <v>82.79</v>
      </c>
      <c r="E88" s="22"/>
      <c r="F88" s="31" t="n">
        <f aca="false">IFERROR(SUMIFS('Cash Transactions'!F6:F500,'Cash Transactions'!B6:B500,B88),0)</f>
        <v>0</v>
      </c>
      <c r="G88" s="22"/>
      <c r="H88" s="31" t="n">
        <f aca="false">D88+E88+IF(G88&gt;0,G88,F88)</f>
        <v>82.79</v>
      </c>
      <c r="I88" s="35"/>
      <c r="J88" s="31" t="n">
        <f aca="false">IFERROR(H88/I88,0)</f>
        <v>0</v>
      </c>
      <c r="K88" s="16"/>
    </row>
    <row r="89" customFormat="false" ht="15" hidden="false" customHeight="true" outlineLevel="0" collapsed="false">
      <c r="B89" s="34" t="n">
        <v>45984</v>
      </c>
      <c r="C89" s="14" t="str">
        <f aca="false">IFERROR(TEXT(B89,"ddd"),"")</f>
        <v>Sun</v>
      </c>
      <c r="D89" s="22" t="n">
        <v>71.18</v>
      </c>
      <c r="E89" s="22"/>
      <c r="F89" s="31" t="n">
        <f aca="false">IFERROR(SUMIFS('Cash Transactions'!F6:F500,'Cash Transactions'!B6:B500,B89),0)</f>
        <v>0</v>
      </c>
      <c r="G89" s="22"/>
      <c r="H89" s="31" t="n">
        <f aca="false">D89+E89+IF(G89&gt;0,G89,F89)</f>
        <v>71.18</v>
      </c>
      <c r="I89" s="35"/>
      <c r="J89" s="31" t="n">
        <f aca="false">IFERROR(H89/I89,0)</f>
        <v>0</v>
      </c>
      <c r="K89" s="16"/>
    </row>
    <row r="90" customFormat="false" ht="15" hidden="false" customHeight="true" outlineLevel="0" collapsed="false">
      <c r="B90" s="34" t="n">
        <v>45985</v>
      </c>
      <c r="C90" s="14" t="str">
        <f aca="false">IFERROR(TEXT(B90,"ddd"),"")</f>
        <v>Mon</v>
      </c>
      <c r="D90" s="22" t="n">
        <v>56.44</v>
      </c>
      <c r="E90" s="22"/>
      <c r="F90" s="31" t="n">
        <f aca="false">IFERROR(SUMIFS('Cash Transactions'!F6:F500,'Cash Transactions'!B6:B500,B90),0)</f>
        <v>0</v>
      </c>
      <c r="G90" s="22"/>
      <c r="H90" s="31" t="n">
        <f aca="false">D90+E90+IF(G90&gt;0,G90,F90)</f>
        <v>56.44</v>
      </c>
      <c r="I90" s="35"/>
      <c r="J90" s="31" t="n">
        <f aca="false">IFERROR(H90/I90,0)</f>
        <v>0</v>
      </c>
      <c r="K90" s="16"/>
    </row>
    <row r="91" customFormat="false" ht="15" hidden="false" customHeight="true" outlineLevel="0" collapsed="false">
      <c r="B91" s="34" t="n">
        <v>45986</v>
      </c>
      <c r="C91" s="14" t="str">
        <f aca="false">IFERROR(TEXT(B91,"ddd"),"")</f>
        <v>Tue</v>
      </c>
      <c r="D91" s="22" t="n">
        <v>56.46</v>
      </c>
      <c r="E91" s="22"/>
      <c r="F91" s="31" t="n">
        <f aca="false">IFERROR(SUMIFS('Cash Transactions'!F6:F500,'Cash Transactions'!B6:B500,B91),0)</f>
        <v>0</v>
      </c>
      <c r="G91" s="22"/>
      <c r="H91" s="31" t="n">
        <f aca="false">D91+E91+IF(G91&gt;0,G91,F91)</f>
        <v>56.46</v>
      </c>
      <c r="I91" s="35"/>
      <c r="J91" s="31" t="n">
        <f aca="false">IFERROR(H91/I91,0)</f>
        <v>0</v>
      </c>
      <c r="K91" s="16"/>
    </row>
    <row r="92" customFormat="false" ht="15" hidden="false" customHeight="true" outlineLevel="0" collapsed="false">
      <c r="B92" s="34" t="n">
        <v>45987</v>
      </c>
      <c r="C92" s="14" t="str">
        <f aca="false">IFERROR(TEXT(B92,"ddd"),"")</f>
        <v>Wed</v>
      </c>
      <c r="D92" s="22" t="n">
        <v>40.92</v>
      </c>
      <c r="E92" s="22"/>
      <c r="F92" s="31" t="n">
        <f aca="false">IFERROR(SUMIFS('Cash Transactions'!F6:F500,'Cash Transactions'!B6:B500,B92),0)</f>
        <v>0</v>
      </c>
      <c r="G92" s="22"/>
      <c r="H92" s="31" t="n">
        <f aca="false">D92+E92+IF(G92&gt;0,G92,F92)</f>
        <v>40.92</v>
      </c>
      <c r="I92" s="35"/>
      <c r="J92" s="31" t="n">
        <f aca="false">IFERROR(H92/I92,0)</f>
        <v>0</v>
      </c>
      <c r="K92" s="16"/>
    </row>
    <row r="93" customFormat="false" ht="15" hidden="false" customHeight="true" outlineLevel="0" collapsed="false">
      <c r="B93" s="34" t="n">
        <v>45988</v>
      </c>
      <c r="C93" s="14" t="str">
        <f aca="false">IFERROR(TEXT(B93,"ddd"),"")</f>
        <v>Thu</v>
      </c>
      <c r="D93" s="22"/>
      <c r="E93" s="22"/>
      <c r="F93" s="31" t="n">
        <f aca="false">IFERROR(SUMIFS('Cash Transactions'!F6:F500,'Cash Transactions'!B6:B500,B93),0)</f>
        <v>0</v>
      </c>
      <c r="G93" s="22"/>
      <c r="H93" s="31" t="n">
        <f aca="false">D93+E93+IF(G93&gt;0,G93,F93)</f>
        <v>0</v>
      </c>
      <c r="I93" s="35"/>
      <c r="J93" s="31" t="n">
        <f aca="false">IFERROR(H93/I93,0)</f>
        <v>0</v>
      </c>
      <c r="K93" s="16"/>
    </row>
    <row r="94" customFormat="false" ht="15" hidden="false" customHeight="true" outlineLevel="0" collapsed="false">
      <c r="B94" s="34" t="n">
        <v>45989</v>
      </c>
      <c r="C94" s="14" t="str">
        <f aca="false">IFERROR(TEXT(B94,"ddd"),"")</f>
        <v>Fri</v>
      </c>
      <c r="D94" s="22"/>
      <c r="E94" s="22" t="n">
        <v>29.62</v>
      </c>
      <c r="F94" s="31" t="n">
        <f aca="false">IFERROR(SUMIFS('Cash Transactions'!F6:F500,'Cash Transactions'!B6:B500,B94),0)</f>
        <v>0</v>
      </c>
      <c r="G94" s="22"/>
      <c r="H94" s="31" t="n">
        <f aca="false">D94+E94+IF(G94&gt;0,G94,F94)</f>
        <v>29.62</v>
      </c>
      <c r="I94" s="35"/>
      <c r="J94" s="31" t="n">
        <f aca="false">IFERROR(H94/I94,0)</f>
        <v>0</v>
      </c>
      <c r="K94" s="16" t="s">
        <v>535</v>
      </c>
    </row>
    <row r="95" customFormat="false" ht="15" hidden="false" customHeight="true" outlineLevel="0" collapsed="false">
      <c r="B95" s="34" t="n">
        <v>45990</v>
      </c>
      <c r="C95" s="14" t="str">
        <f aca="false">IFERROR(TEXT(B95,"ddd"),"")</f>
        <v>Sat</v>
      </c>
      <c r="D95" s="22"/>
      <c r="E95" s="22"/>
      <c r="F95" s="31" t="n">
        <f aca="false">IFERROR(SUMIFS('Cash Transactions'!F6:F500,'Cash Transactions'!B6:B500,B95),0)</f>
        <v>0</v>
      </c>
      <c r="G95" s="22"/>
      <c r="H95" s="31" t="n">
        <f aca="false">D95+E95+IF(G95&gt;0,G95,F95)</f>
        <v>0</v>
      </c>
      <c r="I95" s="35"/>
      <c r="J95" s="31" t="n">
        <f aca="false">IFERROR(H95/I95,0)</f>
        <v>0</v>
      </c>
      <c r="K95" s="16"/>
    </row>
    <row r="96" customFormat="false" ht="15" hidden="false" customHeight="true" outlineLevel="0" collapsed="false">
      <c r="B96" s="34" t="n">
        <v>45991</v>
      </c>
      <c r="C96" s="14" t="str">
        <f aca="false">IFERROR(TEXT(B96,"ddd"),"")</f>
        <v>Sun</v>
      </c>
      <c r="D96" s="22"/>
      <c r="E96" s="22"/>
      <c r="F96" s="31" t="n">
        <f aca="false">IFERROR(SUMIFS('Cash Transactions'!F6:F500,'Cash Transactions'!B6:B500,B96),0)</f>
        <v>0</v>
      </c>
      <c r="G96" s="22"/>
      <c r="H96" s="31" t="n">
        <f aca="false">D96+E96+IF(G96&gt;0,G96,F96)</f>
        <v>0</v>
      </c>
      <c r="I96" s="35"/>
      <c r="J96" s="31" t="n">
        <f aca="false">IFERROR(H96/I96,0)</f>
        <v>0</v>
      </c>
      <c r="K96" s="16"/>
    </row>
    <row r="97" customFormat="false" ht="15" hidden="false" customHeight="true" outlineLevel="0" collapsed="false">
      <c r="B97" s="34" t="n">
        <v>45992</v>
      </c>
      <c r="C97" s="14" t="str">
        <f aca="false">IFERROR(TEXT(B97,"ddd"),"")</f>
        <v>Mon</v>
      </c>
      <c r="D97" s="22"/>
      <c r="E97" s="22"/>
      <c r="F97" s="31" t="n">
        <f aca="false">IFERROR(SUMIFS('Cash Transactions'!F6:F500,'Cash Transactions'!B6:B500,B97),0)</f>
        <v>0</v>
      </c>
      <c r="G97" s="22"/>
      <c r="H97" s="31" t="n">
        <f aca="false">D97+E97+IF(G97&gt;0,G97,F97)</f>
        <v>0</v>
      </c>
      <c r="I97" s="35"/>
      <c r="J97" s="31" t="n">
        <f aca="false">IFERROR(H97/I97,0)</f>
        <v>0</v>
      </c>
      <c r="K97" s="16"/>
    </row>
    <row r="98" customFormat="false" ht="15" hidden="false" customHeight="true" outlineLevel="0" collapsed="false">
      <c r="B98" s="34" t="n">
        <v>45993</v>
      </c>
      <c r="C98" s="14" t="str">
        <f aca="false">IFERROR(TEXT(B98,"ddd"),"")</f>
        <v>Tue</v>
      </c>
      <c r="D98" s="22" t="n">
        <v>60.57</v>
      </c>
      <c r="E98" s="22"/>
      <c r="F98" s="31" t="n">
        <f aca="false">IFERROR(SUMIFS('Cash Transactions'!F6:F500,'Cash Transactions'!B6:B500,B98),0)</f>
        <v>0</v>
      </c>
      <c r="G98" s="22"/>
      <c r="H98" s="31" t="n">
        <f aca="false">D98+E98+IF(G98&gt;0,G98,F98)</f>
        <v>60.57</v>
      </c>
      <c r="I98" s="35"/>
      <c r="J98" s="31" t="n">
        <f aca="false">IFERROR(H98/I98,0)</f>
        <v>0</v>
      </c>
      <c r="K98" s="16"/>
    </row>
    <row r="99" customFormat="false" ht="15" hidden="false" customHeight="true" outlineLevel="0" collapsed="false">
      <c r="B99" s="34" t="n">
        <v>45994</v>
      </c>
      <c r="C99" s="14" t="str">
        <f aca="false">IFERROR(TEXT(B99,"ddd"),"")</f>
        <v>Wed</v>
      </c>
      <c r="D99" s="22" t="n">
        <v>85.14</v>
      </c>
      <c r="E99" s="22"/>
      <c r="F99" s="31" t="n">
        <f aca="false">IFERROR(SUMIFS('Cash Transactions'!F6:F500,'Cash Transactions'!B6:B500,B99),0)</f>
        <v>0</v>
      </c>
      <c r="G99" s="22"/>
      <c r="H99" s="31" t="n">
        <f aca="false">D99+E99+IF(G99&gt;0,G99,F99)</f>
        <v>85.14</v>
      </c>
      <c r="I99" s="35"/>
      <c r="J99" s="31" t="n">
        <f aca="false">IFERROR(H99/I99,0)</f>
        <v>0</v>
      </c>
      <c r="K99" s="16"/>
    </row>
    <row r="100" customFormat="false" ht="15" hidden="false" customHeight="true" outlineLevel="0" collapsed="false">
      <c r="B100" s="34" t="n">
        <v>45995</v>
      </c>
      <c r="C100" s="14" t="str">
        <f aca="false">IFERROR(TEXT(B100,"ddd"),"")</f>
        <v>Thu</v>
      </c>
      <c r="D100" s="22" t="n">
        <v>59.58</v>
      </c>
      <c r="E100" s="22"/>
      <c r="F100" s="31" t="n">
        <f aca="false">IFERROR(SUMIFS('Cash Transactions'!F6:F500,'Cash Transactions'!B6:B500,B100),0)</f>
        <v>0</v>
      </c>
      <c r="G100" s="22"/>
      <c r="H100" s="31" t="n">
        <f aca="false">D100+E100+IF(G100&gt;0,G100,F100)</f>
        <v>59.58</v>
      </c>
      <c r="I100" s="35"/>
      <c r="J100" s="31" t="n">
        <f aca="false">IFERROR(H100/I100,0)</f>
        <v>0</v>
      </c>
      <c r="K100" s="16"/>
    </row>
    <row r="101" customFormat="false" ht="15" hidden="false" customHeight="true" outlineLevel="0" collapsed="false">
      <c r="B101" s="34" t="n">
        <v>45996</v>
      </c>
      <c r="C101" s="14" t="str">
        <f aca="false">IFERROR(TEXT(B101,"ddd"),"")</f>
        <v>Fri</v>
      </c>
      <c r="D101" s="22" t="n">
        <v>65.19</v>
      </c>
      <c r="E101" s="22"/>
      <c r="F101" s="31" t="n">
        <f aca="false">IFERROR(SUMIFS('Cash Transactions'!F6:F500,'Cash Transactions'!B6:B500,B101),0)</f>
        <v>0</v>
      </c>
      <c r="G101" s="22"/>
      <c r="H101" s="31" t="n">
        <f aca="false">D101+E101+IF(G101&gt;0,G101,F101)</f>
        <v>65.19</v>
      </c>
      <c r="I101" s="35"/>
      <c r="J101" s="31" t="n">
        <f aca="false">IFERROR(H101/I101,0)</f>
        <v>0</v>
      </c>
      <c r="K101" s="16"/>
    </row>
    <row r="102" customFormat="false" ht="15" hidden="false" customHeight="true" outlineLevel="0" collapsed="false">
      <c r="B102" s="34" t="n">
        <v>45997</v>
      </c>
      <c r="C102" s="14" t="str">
        <f aca="false">IFERROR(TEXT(B102,"ddd"),"")</f>
        <v>Sat</v>
      </c>
      <c r="D102" s="22" t="n">
        <v>23.54</v>
      </c>
      <c r="E102" s="22"/>
      <c r="F102" s="31" t="n">
        <f aca="false">IFERROR(SUMIFS('Cash Transactions'!F6:F500,'Cash Transactions'!B6:B500,B102),0)</f>
        <v>0</v>
      </c>
      <c r="G102" s="22"/>
      <c r="H102" s="31" t="n">
        <f aca="false">D102+E102+IF(G102&gt;0,G102,F102)</f>
        <v>23.54</v>
      </c>
      <c r="I102" s="35"/>
      <c r="J102" s="31" t="n">
        <f aca="false">IFERROR(H102/I102,0)</f>
        <v>0</v>
      </c>
      <c r="K102" s="16"/>
    </row>
    <row r="103" customFormat="false" ht="15" hidden="false" customHeight="true" outlineLevel="0" collapsed="false">
      <c r="B103" s="34" t="n">
        <v>45998</v>
      </c>
      <c r="C103" s="14" t="str">
        <f aca="false">IFERROR(TEXT(B103,"ddd"),"")</f>
        <v>Sun</v>
      </c>
      <c r="D103" s="22" t="n">
        <v>50.61</v>
      </c>
      <c r="E103" s="22"/>
      <c r="F103" s="31" t="n">
        <f aca="false">IFERROR(SUMIFS('Cash Transactions'!F6:F500,'Cash Transactions'!B6:B500,B103),0)</f>
        <v>0</v>
      </c>
      <c r="G103" s="22"/>
      <c r="H103" s="31" t="n">
        <f aca="false">D103+E103+IF(G103&gt;0,G103,F103)</f>
        <v>50.61</v>
      </c>
      <c r="I103" s="35"/>
      <c r="J103" s="31" t="n">
        <f aca="false">IFERROR(H103/I103,0)</f>
        <v>0</v>
      </c>
      <c r="K103" s="16"/>
    </row>
    <row r="104" customFormat="false" ht="15" hidden="false" customHeight="true" outlineLevel="0" collapsed="false">
      <c r="B104" s="34" t="n">
        <v>45999</v>
      </c>
      <c r="C104" s="14" t="str">
        <f aca="false">IFERROR(TEXT(B104,"ddd"),"")</f>
        <v>Mon</v>
      </c>
      <c r="D104" s="22" t="n">
        <v>50.7</v>
      </c>
      <c r="E104" s="22"/>
      <c r="F104" s="31" t="n">
        <f aca="false">IFERROR(SUMIFS('Cash Transactions'!F6:F500,'Cash Transactions'!B6:B500,B104),0)</f>
        <v>0</v>
      </c>
      <c r="G104" s="22"/>
      <c r="H104" s="31" t="n">
        <f aca="false">D104+E104+IF(G104&gt;0,G104,F104)</f>
        <v>50.7</v>
      </c>
      <c r="I104" s="35"/>
      <c r="J104" s="31" t="n">
        <f aca="false">IFERROR(H104/I104,0)</f>
        <v>0</v>
      </c>
      <c r="K104" s="16"/>
    </row>
    <row r="105" customFormat="false" ht="15" hidden="false" customHeight="true" outlineLevel="0" collapsed="false">
      <c r="B105" s="34" t="n">
        <v>46000</v>
      </c>
      <c r="C105" s="14" t="str">
        <f aca="false">IFERROR(TEXT(B105,"ddd"),"")</f>
        <v>Tue</v>
      </c>
      <c r="D105" s="22" t="n">
        <v>57.73</v>
      </c>
      <c r="E105" s="22"/>
      <c r="F105" s="31" t="n">
        <f aca="false">IFERROR(SUMIFS('Cash Transactions'!F6:F500,'Cash Transactions'!B6:B500,B105),0)</f>
        <v>0</v>
      </c>
      <c r="G105" s="22"/>
      <c r="H105" s="31" t="n">
        <f aca="false">D105+E105+IF(G105&gt;0,G105,F105)</f>
        <v>57.73</v>
      </c>
      <c r="I105" s="35"/>
      <c r="J105" s="31" t="n">
        <f aca="false">IFERROR(H105/I105,0)</f>
        <v>0</v>
      </c>
      <c r="K105" s="16"/>
    </row>
    <row r="106" customFormat="false" ht="15" hidden="false" customHeight="true" outlineLevel="0" collapsed="false">
      <c r="B106" s="34" t="n">
        <v>46001</v>
      </c>
      <c r="C106" s="14" t="str">
        <f aca="false">IFERROR(TEXT(B106,"ddd"),"")</f>
        <v>Wed</v>
      </c>
      <c r="D106" s="22" t="n">
        <v>32.46</v>
      </c>
      <c r="E106" s="22"/>
      <c r="F106" s="31" t="n">
        <f aca="false">IFERROR(SUMIFS('Cash Transactions'!F6:F500,'Cash Transactions'!B6:B500,B106),0)</f>
        <v>0</v>
      </c>
      <c r="G106" s="22"/>
      <c r="H106" s="31" t="n">
        <f aca="false">D106+E106+IF(G106&gt;0,G106,F106)</f>
        <v>32.46</v>
      </c>
      <c r="I106" s="35"/>
      <c r="J106" s="31" t="n">
        <f aca="false">IFERROR(H106/I106,0)</f>
        <v>0</v>
      </c>
      <c r="K106" s="16"/>
    </row>
    <row r="107" customFormat="false" ht="15" hidden="false" customHeight="true" outlineLevel="0" collapsed="false">
      <c r="B107" s="34" t="n">
        <v>46002</v>
      </c>
      <c r="C107" s="14" t="str">
        <f aca="false">IFERROR(TEXT(B107,"ddd"),"")</f>
        <v>Thu</v>
      </c>
      <c r="D107" s="22" t="n">
        <v>66.52</v>
      </c>
      <c r="E107" s="22"/>
      <c r="F107" s="31" t="n">
        <f aca="false">IFERROR(SUMIFS('Cash Transactions'!F6:F500,'Cash Transactions'!B6:B500,B107),0)</f>
        <v>0</v>
      </c>
      <c r="G107" s="22"/>
      <c r="H107" s="31" t="n">
        <f aca="false">D107+E107+IF(G107&gt;0,G107,F107)</f>
        <v>66.52</v>
      </c>
      <c r="I107" s="35"/>
      <c r="J107" s="31" t="n">
        <f aca="false">IFERROR(H107/I107,0)</f>
        <v>0</v>
      </c>
      <c r="K107" s="16"/>
    </row>
    <row r="108" customFormat="false" ht="15" hidden="false" customHeight="true" outlineLevel="0" collapsed="false">
      <c r="B108" s="34" t="n">
        <v>46003</v>
      </c>
      <c r="C108" s="14" t="str">
        <f aca="false">IFERROR(TEXT(B108,"ddd"),"")</f>
        <v>Fri</v>
      </c>
      <c r="D108" s="22" t="n">
        <v>51.4</v>
      </c>
      <c r="E108" s="22" t="n">
        <v>15.68</v>
      </c>
      <c r="F108" s="31" t="n">
        <f aca="false">IFERROR(SUMIFS('Cash Transactions'!F6:F500,'Cash Transactions'!B6:B500,B108),0)</f>
        <v>0</v>
      </c>
      <c r="G108" s="22"/>
      <c r="H108" s="31" t="n">
        <f aca="false">D108+E108+IF(G108&gt;0,G108,F108)</f>
        <v>67.08</v>
      </c>
      <c r="I108" s="35"/>
      <c r="J108" s="31" t="n">
        <f aca="false">IFERROR(H108/I108,0)</f>
        <v>0</v>
      </c>
      <c r="K108" s="16" t="s">
        <v>536</v>
      </c>
    </row>
    <row r="109" customFormat="false" ht="15" hidden="false" customHeight="true" outlineLevel="0" collapsed="false">
      <c r="B109" s="34" t="n">
        <v>46004</v>
      </c>
      <c r="C109" s="14" t="str">
        <f aca="false">IFERROR(TEXT(B109,"ddd"),"")</f>
        <v>Sat</v>
      </c>
      <c r="D109" s="22" t="n">
        <v>52.22</v>
      </c>
      <c r="E109" s="22"/>
      <c r="F109" s="31" t="n">
        <f aca="false">IFERROR(SUMIFS('Cash Transactions'!F6:F500,'Cash Transactions'!B6:B500,B109),0)</f>
        <v>0</v>
      </c>
      <c r="G109" s="22"/>
      <c r="H109" s="31" t="n">
        <f aca="false">D109+E109+IF(G109&gt;0,G109,F109)</f>
        <v>52.22</v>
      </c>
      <c r="I109" s="35"/>
      <c r="J109" s="31" t="n">
        <f aca="false">IFERROR(H109/I109,0)</f>
        <v>0</v>
      </c>
      <c r="K109" s="16"/>
    </row>
    <row r="110" customFormat="false" ht="15" hidden="false" customHeight="true" outlineLevel="0" collapsed="false">
      <c r="B110" s="34" t="n">
        <v>46005</v>
      </c>
      <c r="C110" s="14" t="str">
        <f aca="false">IFERROR(TEXT(B110,"ddd"),"")</f>
        <v>Sun</v>
      </c>
      <c r="D110" s="22" t="n">
        <v>112.3</v>
      </c>
      <c r="E110" s="22"/>
      <c r="F110" s="31" t="n">
        <f aca="false">IFERROR(SUMIFS('Cash Transactions'!F6:F500,'Cash Transactions'!B6:B500,B110),0)</f>
        <v>0</v>
      </c>
      <c r="G110" s="22"/>
      <c r="H110" s="31" t="n">
        <f aca="false">D110+E110+IF(G110&gt;0,G110,F110)</f>
        <v>112.3</v>
      </c>
      <c r="I110" s="35"/>
      <c r="J110" s="31" t="n">
        <f aca="false">IFERROR(H110/I110,0)</f>
        <v>0</v>
      </c>
      <c r="K110" s="16"/>
    </row>
    <row r="111" customFormat="false" ht="15" hidden="false" customHeight="true" outlineLevel="0" collapsed="false">
      <c r="B111" s="34" t="n">
        <v>46006</v>
      </c>
      <c r="C111" s="14" t="str">
        <f aca="false">IFERROR(TEXT(B111,"ddd"),"")</f>
        <v>Mon</v>
      </c>
      <c r="D111" s="22" t="n">
        <v>36.99</v>
      </c>
      <c r="E111" s="22"/>
      <c r="F111" s="31" t="n">
        <f aca="false">IFERROR(SUMIFS('Cash Transactions'!F6:F500,'Cash Transactions'!B6:B500,B111),0)</f>
        <v>0</v>
      </c>
      <c r="G111" s="22"/>
      <c r="H111" s="31" t="n">
        <f aca="false">D111+E111+IF(G111&gt;0,G111,F111)</f>
        <v>36.99</v>
      </c>
      <c r="I111" s="35"/>
      <c r="J111" s="31" t="n">
        <f aca="false">IFERROR(H111/I111,0)</f>
        <v>0</v>
      </c>
      <c r="K111" s="16"/>
    </row>
    <row r="112" customFormat="false" ht="15" hidden="false" customHeight="true" outlineLevel="0" collapsed="false">
      <c r="B112" s="34" t="n">
        <v>46007</v>
      </c>
      <c r="C112" s="14" t="str">
        <f aca="false">IFERROR(TEXT(B112,"ddd"),"")</f>
        <v>Tue</v>
      </c>
      <c r="D112" s="22" t="n">
        <v>47.93</v>
      </c>
      <c r="E112" s="22"/>
      <c r="F112" s="31" t="n">
        <f aca="false">IFERROR(SUMIFS('Cash Transactions'!F6:F500,'Cash Transactions'!B6:B500,B112),0)</f>
        <v>0</v>
      </c>
      <c r="G112" s="22"/>
      <c r="H112" s="31" t="n">
        <f aca="false">D112+E112+IF(G112&gt;0,G112,F112)</f>
        <v>47.93</v>
      </c>
      <c r="I112" s="35"/>
      <c r="J112" s="31" t="n">
        <f aca="false">IFERROR(H112/I112,0)</f>
        <v>0</v>
      </c>
      <c r="K112" s="16"/>
    </row>
    <row r="113" customFormat="false" ht="15" hidden="false" customHeight="true" outlineLevel="0" collapsed="false">
      <c r="B113" s="34" t="n">
        <v>46008</v>
      </c>
      <c r="C113" s="14" t="str">
        <f aca="false">IFERROR(TEXT(B113,"ddd"),"")</f>
        <v>Wed</v>
      </c>
      <c r="D113" s="22" t="n">
        <v>33.55</v>
      </c>
      <c r="E113" s="22"/>
      <c r="F113" s="31" t="n">
        <f aca="false">IFERROR(SUMIFS('Cash Transactions'!F6:F500,'Cash Transactions'!B6:B500,B113),0)</f>
        <v>0</v>
      </c>
      <c r="G113" s="22"/>
      <c r="H113" s="31" t="n">
        <f aca="false">D113+E113+IF(G113&gt;0,G113,F113)</f>
        <v>33.55</v>
      </c>
      <c r="I113" s="35"/>
      <c r="J113" s="31" t="n">
        <f aca="false">IFERROR(H113/I113,0)</f>
        <v>0</v>
      </c>
      <c r="K113" s="16"/>
    </row>
    <row r="114" customFormat="false" ht="15" hidden="false" customHeight="true" outlineLevel="0" collapsed="false">
      <c r="B114" s="34" t="n">
        <v>46009</v>
      </c>
      <c r="C114" s="14" t="str">
        <f aca="false">IFERROR(TEXT(B114,"ddd"),"")</f>
        <v>Thu</v>
      </c>
      <c r="D114" s="22" t="n">
        <v>45.25</v>
      </c>
      <c r="E114" s="22"/>
      <c r="F114" s="31" t="n">
        <f aca="false">IFERROR(SUMIFS('Cash Transactions'!F6:F500,'Cash Transactions'!B6:B500,B114),0)</f>
        <v>0</v>
      </c>
      <c r="G114" s="22"/>
      <c r="H114" s="31" t="n">
        <f aca="false">D114+E114+IF(G114&gt;0,G114,F114)</f>
        <v>45.25</v>
      </c>
      <c r="I114" s="35"/>
      <c r="J114" s="31" t="n">
        <f aca="false">IFERROR(H114/I114,0)</f>
        <v>0</v>
      </c>
      <c r="K114" s="16"/>
    </row>
    <row r="115" customFormat="false" ht="15" hidden="false" customHeight="true" outlineLevel="0" collapsed="false">
      <c r="B115" s="34" t="n">
        <v>46010</v>
      </c>
      <c r="C115" s="14" t="str">
        <f aca="false">IFERROR(TEXT(B115,"ddd"),"")</f>
        <v>Fri</v>
      </c>
      <c r="D115" s="22" t="n">
        <v>80.56</v>
      </c>
      <c r="E115" s="22"/>
      <c r="F115" s="31" t="n">
        <f aca="false">IFERROR(SUMIFS('Cash Transactions'!F6:F500,'Cash Transactions'!B6:B500,B115),0)</f>
        <v>0</v>
      </c>
      <c r="G115" s="22"/>
      <c r="H115" s="31" t="n">
        <f aca="false">D115+E115+IF(G115&gt;0,G115,F115)</f>
        <v>80.56</v>
      </c>
      <c r="I115" s="35"/>
      <c r="J115" s="31" t="n">
        <f aca="false">IFERROR(H115/I115,0)</f>
        <v>0</v>
      </c>
      <c r="K115" s="16"/>
    </row>
    <row r="116" customFormat="false" ht="15" hidden="false" customHeight="true" outlineLevel="0" collapsed="false">
      <c r="B116" s="34" t="n">
        <v>46011</v>
      </c>
      <c r="C116" s="14" t="str">
        <f aca="false">IFERROR(TEXT(B116,"ddd"),"")</f>
        <v>Sat</v>
      </c>
      <c r="D116" s="22" t="n">
        <v>57.75</v>
      </c>
      <c r="E116" s="22"/>
      <c r="F116" s="31" t="n">
        <f aca="false">IFERROR(SUMIFS('Cash Transactions'!F6:F500,'Cash Transactions'!B6:B500,B116),0)</f>
        <v>0</v>
      </c>
      <c r="G116" s="22"/>
      <c r="H116" s="31" t="n">
        <f aca="false">D116+E116+IF(G116&gt;0,G116,F116)</f>
        <v>57.75</v>
      </c>
      <c r="I116" s="35"/>
      <c r="J116" s="31" t="n">
        <f aca="false">IFERROR(H116/I116,0)</f>
        <v>0</v>
      </c>
      <c r="K116" s="16"/>
    </row>
    <row r="117" customFormat="false" ht="15" hidden="false" customHeight="true" outlineLevel="0" collapsed="false">
      <c r="B117" s="34" t="n">
        <v>46012</v>
      </c>
      <c r="C117" s="14" t="str">
        <f aca="false">IFERROR(TEXT(B117,"ddd"),"")</f>
        <v>Sun</v>
      </c>
      <c r="D117" s="22" t="n">
        <v>109.11</v>
      </c>
      <c r="E117" s="22"/>
      <c r="F117" s="31" t="n">
        <f aca="false">IFERROR(SUMIFS('Cash Transactions'!F6:F500,'Cash Transactions'!B6:B500,B117),0)</f>
        <v>0</v>
      </c>
      <c r="G117" s="22"/>
      <c r="H117" s="31" t="n">
        <f aca="false">D117+E117+IF(G117&gt;0,G117,F117)</f>
        <v>109.11</v>
      </c>
      <c r="I117" s="35"/>
      <c r="J117" s="31" t="n">
        <f aca="false">IFERROR(H117/I117,0)</f>
        <v>0</v>
      </c>
      <c r="K117" s="16"/>
    </row>
    <row r="118" customFormat="false" ht="15" hidden="false" customHeight="true" outlineLevel="0" collapsed="false">
      <c r="B118" s="34" t="n">
        <v>46013</v>
      </c>
      <c r="C118" s="14" t="str">
        <f aca="false">IFERROR(TEXT(B118,"ddd"),"")</f>
        <v>Mon</v>
      </c>
      <c r="D118" s="22" t="n">
        <v>59.79</v>
      </c>
      <c r="E118" s="22"/>
      <c r="F118" s="31" t="n">
        <f aca="false">IFERROR(SUMIFS('Cash Transactions'!F6:F500,'Cash Transactions'!B6:B500,B118),0)</f>
        <v>0</v>
      </c>
      <c r="G118" s="22"/>
      <c r="H118" s="31" t="n">
        <f aca="false">D118+E118+IF(G118&gt;0,G118,F118)</f>
        <v>59.79</v>
      </c>
      <c r="I118" s="35"/>
      <c r="J118" s="31" t="n">
        <f aca="false">IFERROR(H118/I118,0)</f>
        <v>0</v>
      </c>
      <c r="K118" s="16"/>
    </row>
    <row r="119" customFormat="false" ht="15" hidden="false" customHeight="true" outlineLevel="0" collapsed="false">
      <c r="B119" s="34" t="n">
        <v>46014</v>
      </c>
      <c r="C119" s="14" t="str">
        <f aca="false">IFERROR(TEXT(B119,"ddd"),"")</f>
        <v>Tue</v>
      </c>
      <c r="D119" s="22" t="n">
        <v>24.32</v>
      </c>
      <c r="E119" s="22"/>
      <c r="F119" s="31" t="n">
        <f aca="false">IFERROR(SUMIFS('Cash Transactions'!F6:F500,'Cash Transactions'!B6:B500,B119),0)</f>
        <v>0</v>
      </c>
      <c r="G119" s="22"/>
      <c r="H119" s="31" t="n">
        <f aca="false">D119+E119+IF(G119&gt;0,G119,F119)</f>
        <v>24.32</v>
      </c>
      <c r="I119" s="35"/>
      <c r="J119" s="31" t="n">
        <f aca="false">IFERROR(H119/I119,0)</f>
        <v>0</v>
      </c>
      <c r="K119" s="16"/>
    </row>
    <row r="120" customFormat="false" ht="15" hidden="false" customHeight="true" outlineLevel="0" collapsed="false">
      <c r="B120" s="34" t="n">
        <v>46015</v>
      </c>
      <c r="C120" s="14" t="str">
        <f aca="false">IFERROR(TEXT(B120,"ddd"),"")</f>
        <v>Wed</v>
      </c>
      <c r="D120" s="22" t="n">
        <v>33.03</v>
      </c>
      <c r="E120" s="22"/>
      <c r="F120" s="31" t="n">
        <f aca="false">IFERROR(SUMIFS('Cash Transactions'!F6:F500,'Cash Transactions'!B6:B500,B120),0)</f>
        <v>0</v>
      </c>
      <c r="G120" s="22"/>
      <c r="H120" s="31" t="n">
        <f aca="false">D120+E120+IF(G120&gt;0,G120,F120)</f>
        <v>33.03</v>
      </c>
      <c r="I120" s="35"/>
      <c r="J120" s="31" t="n">
        <f aca="false">IFERROR(H120/I120,0)</f>
        <v>0</v>
      </c>
      <c r="K120" s="16"/>
    </row>
    <row r="121" customFormat="false" ht="15" hidden="false" customHeight="true" outlineLevel="0" collapsed="false">
      <c r="B121" s="34" t="n">
        <v>46016</v>
      </c>
      <c r="C121" s="14" t="str">
        <f aca="false">IFERROR(TEXT(B121,"ddd"),"")</f>
        <v>Thu</v>
      </c>
      <c r="D121" s="22" t="n">
        <v>53.45</v>
      </c>
      <c r="E121" s="22"/>
      <c r="F121" s="31" t="n">
        <f aca="false">IFERROR(SUMIFS('Cash Transactions'!F6:F500,'Cash Transactions'!B6:B500,B121),0)</f>
        <v>0</v>
      </c>
      <c r="G121" s="22"/>
      <c r="H121" s="31" t="n">
        <f aca="false">D121+E121+IF(G121&gt;0,G121,F121)</f>
        <v>53.45</v>
      </c>
      <c r="I121" s="35"/>
      <c r="J121" s="31" t="n">
        <f aca="false">IFERROR(H121/I121,0)</f>
        <v>0</v>
      </c>
      <c r="K121" s="16"/>
    </row>
    <row r="122" customFormat="false" ht="15" hidden="false" customHeight="true" outlineLevel="0" collapsed="false">
      <c r="B122" s="34" t="n">
        <v>46017</v>
      </c>
      <c r="C122" s="14" t="str">
        <f aca="false">IFERROR(TEXT(B122,"ddd"),"")</f>
        <v>Fri</v>
      </c>
      <c r="D122" s="22"/>
      <c r="E122" s="22"/>
      <c r="F122" s="31" t="n">
        <f aca="false">IFERROR(SUMIFS('Cash Transactions'!F6:F500,'Cash Transactions'!B6:B500,B122),0)</f>
        <v>0</v>
      </c>
      <c r="G122" s="22"/>
      <c r="H122" s="31" t="n">
        <f aca="false">D122+E122+IF(G122&gt;0,G122,F122)</f>
        <v>0</v>
      </c>
      <c r="I122" s="35"/>
      <c r="J122" s="31" t="n">
        <f aca="false">IFERROR(H122/I122,0)</f>
        <v>0</v>
      </c>
      <c r="K122" s="16"/>
    </row>
    <row r="123" customFormat="false" ht="15" hidden="false" customHeight="true" outlineLevel="0" collapsed="false">
      <c r="B123" s="34" t="n">
        <v>46018</v>
      </c>
      <c r="C123" s="14" t="str">
        <f aca="false">IFERROR(TEXT(B123,"ddd"),"")</f>
        <v>Sat</v>
      </c>
      <c r="D123" s="22" t="n">
        <v>21.87</v>
      </c>
      <c r="E123" s="22"/>
      <c r="F123" s="31" t="n">
        <f aca="false">IFERROR(SUMIFS('Cash Transactions'!F6:F500,'Cash Transactions'!B6:B500,B123),0)</f>
        <v>0</v>
      </c>
      <c r="G123" s="22"/>
      <c r="H123" s="31" t="n">
        <f aca="false">D123+E123+IF(G123&gt;0,G123,F123)</f>
        <v>21.87</v>
      </c>
      <c r="I123" s="35"/>
      <c r="J123" s="31" t="n">
        <f aca="false">IFERROR(H123/I123,0)</f>
        <v>0</v>
      </c>
      <c r="K123" s="16"/>
    </row>
    <row r="124" customFormat="false" ht="15" hidden="false" customHeight="true" outlineLevel="0" collapsed="false">
      <c r="B124" s="34" t="n">
        <v>46019</v>
      </c>
      <c r="C124" s="14" t="str">
        <f aca="false">IFERROR(TEXT(B124,"ddd"),"")</f>
        <v>Sun</v>
      </c>
      <c r="D124" s="22" t="n">
        <v>47.26</v>
      </c>
      <c r="E124" s="22"/>
      <c r="F124" s="31" t="n">
        <f aca="false">IFERROR(SUMIFS('Cash Transactions'!F6:F500,'Cash Transactions'!B6:B500,B124),0)</f>
        <v>0</v>
      </c>
      <c r="G124" s="22"/>
      <c r="H124" s="31" t="n">
        <f aca="false">D124+E124+IF(G124&gt;0,G124,F124)</f>
        <v>47.26</v>
      </c>
      <c r="I124" s="35"/>
      <c r="J124" s="31" t="n">
        <f aca="false">IFERROR(H124/I124,0)</f>
        <v>0</v>
      </c>
      <c r="K124" s="16"/>
    </row>
    <row r="125" customFormat="false" ht="15" hidden="false" customHeight="true" outlineLevel="0" collapsed="false">
      <c r="B125" s="34" t="n">
        <v>46020</v>
      </c>
      <c r="C125" s="14" t="str">
        <f aca="false">IFERROR(TEXT(B125,"ddd"),"")</f>
        <v>Mon</v>
      </c>
      <c r="D125" s="22" t="n">
        <v>33.3</v>
      </c>
      <c r="E125" s="22"/>
      <c r="F125" s="31" t="n">
        <f aca="false">IFERROR(SUMIFS('Cash Transactions'!F6:F500,'Cash Transactions'!B6:B500,B125),0)</f>
        <v>0</v>
      </c>
      <c r="G125" s="22"/>
      <c r="H125" s="31" t="n">
        <f aca="false">D125+E125+IF(G125&gt;0,G125,F125)</f>
        <v>33.3</v>
      </c>
      <c r="I125" s="35"/>
      <c r="J125" s="31" t="n">
        <f aca="false">IFERROR(H125/I125,0)</f>
        <v>0</v>
      </c>
      <c r="K125" s="16"/>
    </row>
    <row r="126" customFormat="false" ht="15" hidden="false" customHeight="true" outlineLevel="0" collapsed="false">
      <c r="B126" s="34" t="n">
        <v>46021</v>
      </c>
      <c r="C126" s="14" t="str">
        <f aca="false">IFERROR(TEXT(B126,"ddd"),"")</f>
        <v>Tue</v>
      </c>
      <c r="D126" s="22" t="n">
        <v>101.33</v>
      </c>
      <c r="E126" s="22"/>
      <c r="F126" s="31" t="n">
        <f aca="false">IFERROR(SUMIFS('Cash Transactions'!F6:F500,'Cash Transactions'!B6:B500,B126),0)</f>
        <v>0</v>
      </c>
      <c r="G126" s="22"/>
      <c r="H126" s="31" t="n">
        <f aca="false">D126+E126+IF(G126&gt;0,G126,F126)</f>
        <v>101.33</v>
      </c>
      <c r="I126" s="35"/>
      <c r="J126" s="31" t="n">
        <f aca="false">IFERROR(H126/I126,0)</f>
        <v>0</v>
      </c>
      <c r="K126" s="16"/>
    </row>
    <row r="127" customFormat="false" ht="15" hidden="false" customHeight="true" outlineLevel="0" collapsed="false">
      <c r="B127" s="34" t="n">
        <v>46022</v>
      </c>
      <c r="C127" s="14" t="str">
        <f aca="false">IFERROR(TEXT(B127,"ddd"),"")</f>
        <v>Wed</v>
      </c>
      <c r="D127" s="22" t="n">
        <v>38.87</v>
      </c>
      <c r="E127" s="22"/>
      <c r="F127" s="31" t="n">
        <f aca="false">IFERROR(SUMIFS('Cash Transactions'!F6:F500,'Cash Transactions'!B6:B500,B127),0)</f>
        <v>0</v>
      </c>
      <c r="G127" s="22"/>
      <c r="H127" s="31" t="n">
        <f aca="false">D127+E127+IF(G127&gt;0,G127,F127)</f>
        <v>38.87</v>
      </c>
      <c r="I127" s="35"/>
      <c r="J127" s="31" t="n">
        <f aca="false">IFERROR(H127/I127,0)</f>
        <v>0</v>
      </c>
      <c r="K127" s="16"/>
    </row>
    <row r="128" customFormat="false" ht="15" hidden="false" customHeight="true" outlineLevel="0" collapsed="false">
      <c r="B128" s="34" t="n">
        <v>46023</v>
      </c>
      <c r="C128" s="14" t="str">
        <f aca="false">IFERROR(TEXT(B128,"ddd"),"")</f>
        <v>Thu</v>
      </c>
      <c r="D128" s="22" t="n">
        <v>74.75</v>
      </c>
      <c r="E128" s="22"/>
      <c r="F128" s="31" t="n">
        <f aca="false">IFERROR(SUMIFS('Cash Transactions'!F6:F500,'Cash Transactions'!B6:B500,B128),0)</f>
        <v>0</v>
      </c>
      <c r="G128" s="22"/>
      <c r="H128" s="31" t="n">
        <f aca="false">D128+E128+IF(G128&gt;0,G128,F128)</f>
        <v>74.75</v>
      </c>
      <c r="I128" s="35"/>
      <c r="J128" s="31" t="n">
        <f aca="false">IFERROR(H128/I128,0)</f>
        <v>0</v>
      </c>
      <c r="K128" s="16"/>
    </row>
    <row r="129" customFormat="false" ht="15" hidden="false" customHeight="true" outlineLevel="0" collapsed="false">
      <c r="B129" s="34" t="n">
        <v>46024</v>
      </c>
      <c r="C129" s="14" t="str">
        <f aca="false">IFERROR(TEXT(B129,"ddd"),"")</f>
        <v>Fri</v>
      </c>
      <c r="D129" s="22"/>
      <c r="E129" s="22"/>
      <c r="F129" s="31" t="n">
        <f aca="false">IFERROR(SUMIFS('Cash Transactions'!F6:F500,'Cash Transactions'!B6:B500,B129),0)</f>
        <v>0</v>
      </c>
      <c r="G129" s="22"/>
      <c r="H129" s="31" t="n">
        <f aca="false">D129+E129+IF(G129&gt;0,G129,F129)</f>
        <v>0</v>
      </c>
      <c r="I129" s="35"/>
      <c r="J129" s="31" t="n">
        <f aca="false">IFERROR(H129/I129,0)</f>
        <v>0</v>
      </c>
      <c r="K129" s="16"/>
    </row>
    <row r="130" customFormat="false" ht="15" hidden="false" customHeight="true" outlineLevel="0" collapsed="false">
      <c r="B130" s="34" t="n">
        <v>46025</v>
      </c>
      <c r="C130" s="14" t="str">
        <f aca="false">IFERROR(TEXT(B130,"ddd"),"")</f>
        <v>Sat</v>
      </c>
      <c r="D130" s="22" t="n">
        <v>31.04</v>
      </c>
      <c r="E130" s="22"/>
      <c r="F130" s="31" t="n">
        <f aca="false">IFERROR(SUMIFS('Cash Transactions'!F6:F500,'Cash Transactions'!B6:B500,B130),0)</f>
        <v>0</v>
      </c>
      <c r="G130" s="22"/>
      <c r="H130" s="31" t="n">
        <f aca="false">D130+E130+IF(G130&gt;0,G130,F130)</f>
        <v>31.04</v>
      </c>
      <c r="I130" s="35"/>
      <c r="J130" s="31" t="n">
        <f aca="false">IFERROR(H130/I130,0)</f>
        <v>0</v>
      </c>
      <c r="K130" s="16"/>
    </row>
    <row r="131" customFormat="false" ht="15" hidden="false" customHeight="true" outlineLevel="0" collapsed="false">
      <c r="B131" s="34" t="n">
        <v>46026</v>
      </c>
      <c r="C131" s="14" t="str">
        <f aca="false">IFERROR(TEXT(B131,"ddd"),"")</f>
        <v>Sun</v>
      </c>
      <c r="D131" s="22" t="n">
        <v>36.06</v>
      </c>
      <c r="E131" s="22"/>
      <c r="F131" s="31" t="n">
        <f aca="false">IFERROR(SUMIFS('Cash Transactions'!F6:F500,'Cash Transactions'!B6:B500,B131),0)</f>
        <v>0</v>
      </c>
      <c r="G131" s="22"/>
      <c r="H131" s="31" t="n">
        <f aca="false">D131+E131+IF(G131&gt;0,G131,F131)</f>
        <v>36.06</v>
      </c>
      <c r="I131" s="35"/>
      <c r="J131" s="31" t="n">
        <f aca="false">IFERROR(H131/I131,0)</f>
        <v>0</v>
      </c>
      <c r="K131" s="16"/>
    </row>
    <row r="132" customFormat="false" ht="15" hidden="false" customHeight="true" outlineLevel="0" collapsed="false">
      <c r="B132" s="34" t="n">
        <v>46027</v>
      </c>
      <c r="C132" s="14" t="str">
        <f aca="false">IFERROR(TEXT(B132,"ddd"),"")</f>
        <v>Mon</v>
      </c>
      <c r="D132" s="22" t="n">
        <v>10.12</v>
      </c>
      <c r="E132" s="22"/>
      <c r="F132" s="31" t="n">
        <f aca="false">IFERROR(SUMIFS('Cash Transactions'!F6:F500,'Cash Transactions'!B6:B500,B132),0)</f>
        <v>0</v>
      </c>
      <c r="G132" s="22"/>
      <c r="H132" s="31" t="n">
        <f aca="false">D132+E132+IF(G132&gt;0,G132,F132)</f>
        <v>10.12</v>
      </c>
      <c r="I132" s="35"/>
      <c r="J132" s="31" t="n">
        <f aca="false">IFERROR(H132/I132,0)</f>
        <v>0</v>
      </c>
      <c r="K132" s="16"/>
    </row>
    <row r="133" customFormat="false" ht="15" hidden="false" customHeight="true" outlineLevel="0" collapsed="false">
      <c r="B133" s="34" t="n">
        <v>46028</v>
      </c>
      <c r="C133" s="14" t="str">
        <f aca="false">IFERROR(TEXT(B133,"ddd"),"")</f>
        <v>Tue</v>
      </c>
      <c r="D133" s="22" t="n">
        <v>7.17</v>
      </c>
      <c r="E133" s="22"/>
      <c r="F133" s="31" t="n">
        <f aca="false">IFERROR(SUMIFS('Cash Transactions'!F6:F500,'Cash Transactions'!B6:B500,B133),0)</f>
        <v>0</v>
      </c>
      <c r="G133" s="22"/>
      <c r="H133" s="31" t="n">
        <f aca="false">D133+E133+IF(G133&gt;0,G133,F133)</f>
        <v>7.17</v>
      </c>
      <c r="I133" s="35"/>
      <c r="J133" s="31" t="n">
        <f aca="false">IFERROR(H133/I133,0)</f>
        <v>0</v>
      </c>
      <c r="K133" s="16"/>
    </row>
    <row r="134" customFormat="false" ht="15" hidden="false" customHeight="true" outlineLevel="0" collapsed="false">
      <c r="B134" s="34" t="n">
        <v>46029</v>
      </c>
      <c r="C134" s="14" t="str">
        <f aca="false">IFERROR(TEXT(B134,"ddd"),"")</f>
        <v>Wed</v>
      </c>
      <c r="D134" s="22" t="n">
        <v>57.03</v>
      </c>
      <c r="E134" s="22"/>
      <c r="F134" s="31" t="n">
        <f aca="false">IFERROR(SUMIFS('Cash Transactions'!F6:F500,'Cash Transactions'!B6:B500,B134),0)</f>
        <v>0</v>
      </c>
      <c r="G134" s="22"/>
      <c r="H134" s="31" t="n">
        <f aca="false">D134+E134+IF(G134&gt;0,G134,F134)</f>
        <v>57.03</v>
      </c>
      <c r="I134" s="35"/>
      <c r="J134" s="31" t="n">
        <f aca="false">IFERROR(H134/I134,0)</f>
        <v>0</v>
      </c>
      <c r="K134" s="16"/>
    </row>
    <row r="135" customFormat="false" ht="15" hidden="false" customHeight="true" outlineLevel="0" collapsed="false">
      <c r="B135" s="34" t="n">
        <v>46030</v>
      </c>
      <c r="C135" s="14" t="str">
        <f aca="false">IFERROR(TEXT(B135,"ddd"),"")</f>
        <v>Thu</v>
      </c>
      <c r="D135" s="22" t="n">
        <v>84.4</v>
      </c>
      <c r="E135" s="22"/>
      <c r="F135" s="31" t="n">
        <f aca="false">IFERROR(SUMIFS('Cash Transactions'!F6:F500,'Cash Transactions'!B6:B500,B135),0)</f>
        <v>0</v>
      </c>
      <c r="G135" s="22"/>
      <c r="H135" s="31" t="n">
        <f aca="false">D135+E135+IF(G135&gt;0,G135,F135)</f>
        <v>84.4</v>
      </c>
      <c r="I135" s="35"/>
      <c r="J135" s="31" t="n">
        <f aca="false">IFERROR(H135/I135,0)</f>
        <v>0</v>
      </c>
      <c r="K135" s="16"/>
    </row>
    <row r="136" customFormat="false" ht="15" hidden="false" customHeight="true" outlineLevel="0" collapsed="false">
      <c r="B136" s="34" t="n">
        <v>46031</v>
      </c>
      <c r="C136" s="14" t="str">
        <f aca="false">IFERROR(TEXT(B136,"ddd"),"")</f>
        <v>Fri</v>
      </c>
      <c r="D136" s="22" t="n">
        <v>51.34</v>
      </c>
      <c r="E136" s="22" t="n">
        <v>17.73</v>
      </c>
      <c r="F136" s="31" t="n">
        <f aca="false">IFERROR(SUMIFS('Cash Transactions'!F6:F500,'Cash Transactions'!B6:B500,B136),0)</f>
        <v>0</v>
      </c>
      <c r="G136" s="22"/>
      <c r="H136" s="31" t="n">
        <f aca="false">D136+E136+IF(G136&gt;0,G136,F136)</f>
        <v>69.07</v>
      </c>
      <c r="I136" s="35"/>
      <c r="J136" s="31" t="n">
        <f aca="false">IFERROR(H136/I136,0)</f>
        <v>0</v>
      </c>
      <c r="K136" s="16" t="s">
        <v>537</v>
      </c>
    </row>
    <row r="137" customFormat="false" ht="15" hidden="false" customHeight="true" outlineLevel="0" collapsed="false">
      <c r="B137" s="34" t="n">
        <v>46032</v>
      </c>
      <c r="C137" s="14" t="str">
        <f aca="false">IFERROR(TEXT(B137,"ddd"),"")</f>
        <v>Sat</v>
      </c>
      <c r="D137" s="22" t="n">
        <v>57.7</v>
      </c>
      <c r="E137" s="22"/>
      <c r="F137" s="31" t="n">
        <f aca="false">IFERROR(SUMIFS('Cash Transactions'!F6:F500,'Cash Transactions'!B6:B500,B137),0)</f>
        <v>0</v>
      </c>
      <c r="G137" s="22"/>
      <c r="H137" s="31" t="n">
        <f aca="false">D137+E137+IF(G137&gt;0,G137,F137)</f>
        <v>57.7</v>
      </c>
      <c r="I137" s="35"/>
      <c r="J137" s="31" t="n">
        <f aca="false">IFERROR(H137/I137,0)</f>
        <v>0</v>
      </c>
      <c r="K137" s="16"/>
    </row>
    <row r="138" customFormat="false" ht="15" hidden="false" customHeight="true" outlineLevel="0" collapsed="false">
      <c r="B138" s="34" t="n">
        <v>46033</v>
      </c>
      <c r="C138" s="14" t="str">
        <f aca="false">IFERROR(TEXT(B138,"ddd"),"")</f>
        <v>Sun</v>
      </c>
      <c r="D138" s="22" t="n">
        <v>123.87</v>
      </c>
      <c r="E138" s="22"/>
      <c r="F138" s="31" t="n">
        <f aca="false">IFERROR(SUMIFS('Cash Transactions'!F6:F500,'Cash Transactions'!B6:B500,B138),0)</f>
        <v>0</v>
      </c>
      <c r="G138" s="22"/>
      <c r="H138" s="31" t="n">
        <f aca="false">D138+E138+IF(G138&gt;0,G138,F138)</f>
        <v>123.87</v>
      </c>
      <c r="I138" s="35"/>
      <c r="J138" s="31" t="n">
        <f aca="false">IFERROR(H138/I138,0)</f>
        <v>0</v>
      </c>
      <c r="K138" s="16"/>
    </row>
    <row r="139" customFormat="false" ht="15" hidden="false" customHeight="true" outlineLevel="0" collapsed="false">
      <c r="B139" s="34" t="n">
        <v>46034</v>
      </c>
      <c r="C139" s="14" t="str">
        <f aca="false">IFERROR(TEXT(B139,"ddd"),"")</f>
        <v>Mon</v>
      </c>
      <c r="D139" s="22" t="n">
        <v>65.39</v>
      </c>
      <c r="E139" s="22"/>
      <c r="F139" s="31" t="n">
        <f aca="false">IFERROR(SUMIFS('Cash Transactions'!F6:F500,'Cash Transactions'!B6:B500,B139),0)</f>
        <v>0</v>
      </c>
      <c r="G139" s="22"/>
      <c r="H139" s="31" t="n">
        <f aca="false">D139+E139+IF(G139&gt;0,G139,F139)</f>
        <v>65.39</v>
      </c>
      <c r="I139" s="35"/>
      <c r="J139" s="31" t="n">
        <f aca="false">IFERROR(H139/I139,0)</f>
        <v>0</v>
      </c>
      <c r="K139" s="16"/>
    </row>
    <row r="140" customFormat="false" ht="15" hidden="false" customHeight="true" outlineLevel="0" collapsed="false">
      <c r="B140" s="34" t="n">
        <v>46035</v>
      </c>
      <c r="C140" s="14" t="str">
        <f aca="false">IFERROR(TEXT(B140,"ddd"),"")</f>
        <v>Tue</v>
      </c>
      <c r="D140" s="22" t="n">
        <v>42.59</v>
      </c>
      <c r="E140" s="22"/>
      <c r="F140" s="31" t="n">
        <f aca="false">IFERROR(SUMIFS('Cash Transactions'!F6:F500,'Cash Transactions'!B6:B500,B140),0)</f>
        <v>0</v>
      </c>
      <c r="G140" s="22"/>
      <c r="H140" s="31" t="n">
        <f aca="false">D140+E140+IF(G140&gt;0,G140,F140)</f>
        <v>42.59</v>
      </c>
      <c r="I140" s="35"/>
      <c r="J140" s="31" t="n">
        <f aca="false">IFERROR(H140/I140,0)</f>
        <v>0</v>
      </c>
      <c r="K140" s="16"/>
    </row>
    <row r="141" customFormat="false" ht="15" hidden="false" customHeight="true" outlineLevel="0" collapsed="false">
      <c r="B141" s="34" t="n">
        <v>46036</v>
      </c>
      <c r="C141" s="14" t="str">
        <f aca="false">IFERROR(TEXT(B141,"ddd"),"")</f>
        <v>Wed</v>
      </c>
      <c r="D141" s="22" t="n">
        <v>76.94</v>
      </c>
      <c r="E141" s="22"/>
      <c r="F141" s="31" t="n">
        <f aca="false">IFERROR(SUMIFS('Cash Transactions'!F6:F500,'Cash Transactions'!B6:B500,B141),0)</f>
        <v>0</v>
      </c>
      <c r="G141" s="22"/>
      <c r="H141" s="31" t="n">
        <f aca="false">D141+E141+IF(G141&gt;0,G141,F141)</f>
        <v>76.94</v>
      </c>
      <c r="I141" s="35"/>
      <c r="J141" s="31" t="n">
        <f aca="false">IFERROR(H141/I141,0)</f>
        <v>0</v>
      </c>
      <c r="K141" s="16"/>
    </row>
    <row r="142" customFormat="false" ht="15" hidden="false" customHeight="true" outlineLevel="0" collapsed="false">
      <c r="B142" s="34" t="n">
        <v>46037</v>
      </c>
      <c r="C142" s="14" t="str">
        <f aca="false">IFERROR(TEXT(B142,"ddd"),"")</f>
        <v>Thu</v>
      </c>
      <c r="D142" s="22" t="n">
        <v>67.65</v>
      </c>
      <c r="E142" s="22"/>
      <c r="F142" s="31" t="n">
        <f aca="false">IFERROR(SUMIFS('Cash Transactions'!F6:F500,'Cash Transactions'!B6:B500,B142),0)</f>
        <v>0</v>
      </c>
      <c r="G142" s="22"/>
      <c r="H142" s="31" t="n">
        <f aca="false">D142+E142+IF(G142&gt;0,G142,F142)</f>
        <v>67.65</v>
      </c>
      <c r="I142" s="35"/>
      <c r="J142" s="31" t="n">
        <f aca="false">IFERROR(H142/I142,0)</f>
        <v>0</v>
      </c>
      <c r="K142" s="16"/>
    </row>
    <row r="143" customFormat="false" ht="15" hidden="false" customHeight="true" outlineLevel="0" collapsed="false">
      <c r="B143" s="34" t="n">
        <v>46038</v>
      </c>
      <c r="C143" s="14" t="str">
        <f aca="false">IFERROR(TEXT(B143,"ddd"),"")</f>
        <v>Fri</v>
      </c>
      <c r="D143" s="22" t="n">
        <v>89.61</v>
      </c>
      <c r="E143" s="22"/>
      <c r="F143" s="31" t="n">
        <f aca="false">IFERROR(SUMIFS('Cash Transactions'!F6:F500,'Cash Transactions'!B6:B500,B143),0)</f>
        <v>0</v>
      </c>
      <c r="G143" s="22"/>
      <c r="H143" s="31" t="n">
        <f aca="false">D143+E143+IF(G143&gt;0,G143,F143)</f>
        <v>89.61</v>
      </c>
      <c r="I143" s="35"/>
      <c r="J143" s="31" t="n">
        <f aca="false">IFERROR(H143/I143,0)</f>
        <v>0</v>
      </c>
      <c r="K143" s="16"/>
    </row>
    <row r="144" customFormat="false" ht="15" hidden="false" customHeight="true" outlineLevel="0" collapsed="false">
      <c r="B144" s="34" t="n">
        <v>46039</v>
      </c>
      <c r="C144" s="14" t="str">
        <f aca="false">IFERROR(TEXT(B144,"ddd"),"")</f>
        <v>Sat</v>
      </c>
      <c r="D144" s="22" t="n">
        <v>70.26</v>
      </c>
      <c r="E144" s="22"/>
      <c r="F144" s="31" t="n">
        <f aca="false">IFERROR(SUMIFS('Cash Transactions'!F6:F500,'Cash Transactions'!B6:B500,B144),0)</f>
        <v>0</v>
      </c>
      <c r="G144" s="22"/>
      <c r="H144" s="31" t="n">
        <f aca="false">D144+E144+IF(G144&gt;0,G144,F144)</f>
        <v>70.26</v>
      </c>
      <c r="I144" s="35"/>
      <c r="J144" s="31" t="n">
        <f aca="false">IFERROR(H144/I144,0)</f>
        <v>0</v>
      </c>
      <c r="K144" s="16"/>
    </row>
    <row r="145" customFormat="false" ht="15" hidden="false" customHeight="true" outlineLevel="0" collapsed="false">
      <c r="B145" s="34" t="n">
        <v>46040</v>
      </c>
      <c r="C145" s="14" t="str">
        <f aca="false">IFERROR(TEXT(B145,"ddd"),"")</f>
        <v>Sun</v>
      </c>
      <c r="D145" s="22" t="n">
        <v>86.41</v>
      </c>
      <c r="E145" s="22"/>
      <c r="F145" s="31" t="n">
        <f aca="false">IFERROR(SUMIFS('Cash Transactions'!F6:F500,'Cash Transactions'!B6:B500,B145),0)</f>
        <v>0</v>
      </c>
      <c r="G145" s="22"/>
      <c r="H145" s="31" t="n">
        <f aca="false">D145+E145+IF(G145&gt;0,G145,F145)</f>
        <v>86.41</v>
      </c>
      <c r="I145" s="35"/>
      <c r="J145" s="31" t="n">
        <f aca="false">IFERROR(H145/I145,0)</f>
        <v>0</v>
      </c>
      <c r="K145" s="16"/>
    </row>
    <row r="146" customFormat="false" ht="15" hidden="false" customHeight="true" outlineLevel="0" collapsed="false">
      <c r="B146" s="34" t="n">
        <v>46041</v>
      </c>
      <c r="C146" s="14" t="str">
        <f aca="false">IFERROR(TEXT(B146,"ddd"),"")</f>
        <v>Mon</v>
      </c>
      <c r="D146" s="22" t="n">
        <v>28.44</v>
      </c>
      <c r="E146" s="22"/>
      <c r="F146" s="31" t="n">
        <f aca="false">IFERROR(SUMIFS('Cash Transactions'!F6:F500,'Cash Transactions'!B6:B500,B146),0)</f>
        <v>0</v>
      </c>
      <c r="G146" s="22"/>
      <c r="H146" s="31" t="n">
        <f aca="false">D146+E146+IF(G146&gt;0,G146,F146)</f>
        <v>28.44</v>
      </c>
      <c r="I146" s="35"/>
      <c r="J146" s="31" t="n">
        <f aca="false">IFERROR(H146/I146,0)</f>
        <v>0</v>
      </c>
      <c r="K146" s="16"/>
    </row>
    <row r="147" customFormat="false" ht="15" hidden="false" customHeight="true" outlineLevel="0" collapsed="false">
      <c r="B147" s="34" t="n">
        <v>46042</v>
      </c>
      <c r="C147" s="14" t="str">
        <f aca="false">IFERROR(TEXT(B147,"ddd"),"")</f>
        <v>Tue</v>
      </c>
      <c r="D147" s="22" t="n">
        <v>49.66</v>
      </c>
      <c r="E147" s="22"/>
      <c r="F147" s="31" t="n">
        <f aca="false">IFERROR(SUMIFS('Cash Transactions'!F6:F500,'Cash Transactions'!B6:B500,B147),0)</f>
        <v>0</v>
      </c>
      <c r="G147" s="22"/>
      <c r="H147" s="31" t="n">
        <f aca="false">D147+E147+IF(G147&gt;0,G147,F147)</f>
        <v>49.66</v>
      </c>
      <c r="I147" s="35"/>
      <c r="J147" s="31" t="n">
        <f aca="false">IFERROR(H147/I147,0)</f>
        <v>0</v>
      </c>
      <c r="K147" s="16"/>
    </row>
    <row r="148" customFormat="false" ht="15" hidden="false" customHeight="true" outlineLevel="0" collapsed="false">
      <c r="B148" s="34" t="n">
        <v>46043</v>
      </c>
      <c r="C148" s="14" t="str">
        <f aca="false">IFERROR(TEXT(B148,"ddd"),"")</f>
        <v>Wed</v>
      </c>
      <c r="D148" s="22" t="n">
        <v>34.22</v>
      </c>
      <c r="E148" s="22"/>
      <c r="F148" s="31" t="n">
        <f aca="false">IFERROR(SUMIFS('Cash Transactions'!F6:F500,'Cash Transactions'!B6:B500,B148),0)</f>
        <v>0</v>
      </c>
      <c r="G148" s="22"/>
      <c r="H148" s="31" t="n">
        <f aca="false">D148+E148+IF(G148&gt;0,G148,F148)</f>
        <v>34.22</v>
      </c>
      <c r="I148" s="35"/>
      <c r="J148" s="31" t="n">
        <f aca="false">IFERROR(H148/I148,0)</f>
        <v>0</v>
      </c>
      <c r="K148" s="16"/>
    </row>
    <row r="149" customFormat="false" ht="15" hidden="false" customHeight="true" outlineLevel="0" collapsed="false">
      <c r="B149" s="34" t="n">
        <v>46044</v>
      </c>
      <c r="C149" s="14" t="str">
        <f aca="false">IFERROR(TEXT(B149,"ddd"),"")</f>
        <v>Thu</v>
      </c>
      <c r="D149" s="22" t="n">
        <v>54.4</v>
      </c>
      <c r="E149" s="22"/>
      <c r="F149" s="31" t="n">
        <f aca="false">IFERROR(SUMIFS('Cash Transactions'!F6:F500,'Cash Transactions'!B6:B500,B149),0)</f>
        <v>0</v>
      </c>
      <c r="G149" s="22"/>
      <c r="H149" s="31" t="n">
        <f aca="false">D149+E149+IF(G149&gt;0,G149,F149)</f>
        <v>54.4</v>
      </c>
      <c r="I149" s="35"/>
      <c r="J149" s="31" t="n">
        <f aca="false">IFERROR(H149/I149,0)</f>
        <v>0</v>
      </c>
      <c r="K149" s="16"/>
    </row>
    <row r="150" customFormat="false" ht="15" hidden="false" customHeight="true" outlineLevel="0" collapsed="false">
      <c r="B150" s="34" t="n">
        <v>46045</v>
      </c>
      <c r="C150" s="14" t="str">
        <f aca="false">IFERROR(TEXT(B150,"ddd"),"")</f>
        <v>Fri</v>
      </c>
      <c r="D150" s="22" t="n">
        <v>66.32</v>
      </c>
      <c r="E150" s="22"/>
      <c r="F150" s="31" t="n">
        <f aca="false">IFERROR(SUMIFS('Cash Transactions'!F6:F500,'Cash Transactions'!B6:B500,B150),0)</f>
        <v>0</v>
      </c>
      <c r="G150" s="22"/>
      <c r="H150" s="31" t="n">
        <f aca="false">D150+E150+IF(G150&gt;0,G150,F150)</f>
        <v>66.32</v>
      </c>
      <c r="I150" s="35"/>
      <c r="J150" s="31" t="n">
        <f aca="false">IFERROR(H150/I150,0)</f>
        <v>0</v>
      </c>
      <c r="K150" s="16"/>
    </row>
    <row r="151" customFormat="false" ht="15" hidden="false" customHeight="true" outlineLevel="0" collapsed="false">
      <c r="B151" s="34" t="n">
        <v>46046</v>
      </c>
      <c r="C151" s="14" t="str">
        <f aca="false">IFERROR(TEXT(B151,"ddd"),"")</f>
        <v>Sat</v>
      </c>
      <c r="D151" s="22" t="n">
        <v>43.98</v>
      </c>
      <c r="E151" s="22"/>
      <c r="F151" s="31" t="n">
        <f aca="false">IFERROR(SUMIFS('Cash Transactions'!F6:F500,'Cash Transactions'!B6:B500,B151),0)</f>
        <v>0</v>
      </c>
      <c r="G151" s="22"/>
      <c r="H151" s="31" t="n">
        <f aca="false">D151+E151+IF(G151&gt;0,G151,F151)</f>
        <v>43.98</v>
      </c>
      <c r="I151" s="35"/>
      <c r="J151" s="31" t="n">
        <f aca="false">IFERROR(H151/I151,0)</f>
        <v>0</v>
      </c>
      <c r="K151" s="16"/>
    </row>
    <row r="152" customFormat="false" ht="15" hidden="false" customHeight="true" outlineLevel="0" collapsed="false">
      <c r="B152" s="34" t="n">
        <v>46047</v>
      </c>
      <c r="C152" s="14" t="str">
        <f aca="false">IFERROR(TEXT(B152,"ddd"),"")</f>
        <v>Sun</v>
      </c>
      <c r="D152" s="22" t="n">
        <v>88.8</v>
      </c>
      <c r="E152" s="22"/>
      <c r="F152" s="31" t="n">
        <f aca="false">IFERROR(SUMIFS('Cash Transactions'!F6:F500,'Cash Transactions'!B6:B500,B152),0)</f>
        <v>0</v>
      </c>
      <c r="G152" s="22"/>
      <c r="H152" s="31" t="n">
        <f aca="false">D152+E152+IF(G152&gt;0,G152,F152)</f>
        <v>88.8</v>
      </c>
      <c r="I152" s="35"/>
      <c r="J152" s="31" t="n">
        <f aca="false">IFERROR(H152/I152,0)</f>
        <v>0</v>
      </c>
      <c r="K152" s="16"/>
    </row>
    <row r="153" customFormat="false" ht="15" hidden="false" customHeight="true" outlineLevel="0" collapsed="false">
      <c r="B153" s="34" t="n">
        <v>46048</v>
      </c>
      <c r="C153" s="14" t="str">
        <f aca="false">IFERROR(TEXT(B153,"ddd"),"")</f>
        <v>Mon</v>
      </c>
      <c r="D153" s="22" t="n">
        <v>46.67</v>
      </c>
      <c r="E153" s="22"/>
      <c r="F153" s="31" t="n">
        <f aca="false">IFERROR(SUMIFS('Cash Transactions'!F6:F500,'Cash Transactions'!B6:B500,B153),0)</f>
        <v>0</v>
      </c>
      <c r="G153" s="22"/>
      <c r="H153" s="31" t="n">
        <f aca="false">D153+E153+IF(G153&gt;0,G153,F153)</f>
        <v>46.67</v>
      </c>
      <c r="I153" s="35"/>
      <c r="J153" s="31" t="n">
        <f aca="false">IFERROR(H153/I153,0)</f>
        <v>0</v>
      </c>
      <c r="K153" s="16"/>
    </row>
    <row r="154" customFormat="false" ht="15" hidden="false" customHeight="true" outlineLevel="0" collapsed="false">
      <c r="B154" s="34" t="n">
        <v>46049</v>
      </c>
      <c r="C154" s="14" t="str">
        <f aca="false">IFERROR(TEXT(B154,"ddd"),"")</f>
        <v>Tue</v>
      </c>
      <c r="D154" s="22" t="n">
        <v>41.65</v>
      </c>
      <c r="E154" s="22"/>
      <c r="F154" s="31" t="n">
        <f aca="false">IFERROR(SUMIFS('Cash Transactions'!F6:F500,'Cash Transactions'!B6:B500,B154),0)</f>
        <v>0</v>
      </c>
      <c r="G154" s="22"/>
      <c r="H154" s="31" t="n">
        <f aca="false">D154+E154+IF(G154&gt;0,G154,F154)</f>
        <v>41.65</v>
      </c>
      <c r="I154" s="35"/>
      <c r="J154" s="31" t="n">
        <f aca="false">IFERROR(H154/I154,0)</f>
        <v>0</v>
      </c>
      <c r="K154" s="16"/>
    </row>
    <row r="155" customFormat="false" ht="15" hidden="false" customHeight="true" outlineLevel="0" collapsed="false">
      <c r="B155" s="34" t="n">
        <v>46050</v>
      </c>
      <c r="C155" s="14" t="str">
        <f aca="false">IFERROR(TEXT(B155,"ddd"),"")</f>
        <v>Wed</v>
      </c>
      <c r="D155" s="22" t="n">
        <v>30.25</v>
      </c>
      <c r="E155" s="22"/>
      <c r="F155" s="31" t="n">
        <f aca="false">IFERROR(SUMIFS('Cash Transactions'!F6:F500,'Cash Transactions'!B6:B500,B155),0)</f>
        <v>0</v>
      </c>
      <c r="G155" s="22"/>
      <c r="H155" s="31" t="n">
        <f aca="false">D155+E155+IF(G155&gt;0,G155,F155)</f>
        <v>30.25</v>
      </c>
      <c r="I155" s="35"/>
      <c r="J155" s="31" t="n">
        <f aca="false">IFERROR(H155/I155,0)</f>
        <v>0</v>
      </c>
      <c r="K155" s="16"/>
    </row>
    <row r="156" customFormat="false" ht="15" hidden="false" customHeight="true" outlineLevel="0" collapsed="false">
      <c r="B156" s="34" t="n">
        <v>46051</v>
      </c>
      <c r="C156" s="14" t="str">
        <f aca="false">IFERROR(TEXT(B156,"ddd"),"")</f>
        <v>Thu</v>
      </c>
      <c r="D156" s="22" t="n">
        <v>97.91</v>
      </c>
      <c r="E156" s="22"/>
      <c r="F156" s="31" t="n">
        <f aca="false">IFERROR(SUMIFS('Cash Transactions'!F6:F500,'Cash Transactions'!B6:B500,B156),0)</f>
        <v>0</v>
      </c>
      <c r="G156" s="22"/>
      <c r="H156" s="31" t="n">
        <f aca="false">D156+E156+IF(G156&gt;0,G156,F156)</f>
        <v>97.91</v>
      </c>
      <c r="I156" s="35"/>
      <c r="J156" s="31" t="n">
        <f aca="false">IFERROR(H156/I156,0)</f>
        <v>0</v>
      </c>
      <c r="K156" s="16"/>
    </row>
    <row r="157" customFormat="false" ht="15" hidden="false" customHeight="true" outlineLevel="0" collapsed="false">
      <c r="B157" s="34" t="n">
        <v>46052</v>
      </c>
      <c r="C157" s="14" t="str">
        <f aca="false">IFERROR(TEXT(B157,"ddd"),"")</f>
        <v>Fri</v>
      </c>
      <c r="D157" s="22" t="n">
        <v>113.87</v>
      </c>
      <c r="E157" s="22"/>
      <c r="F157" s="31" t="n">
        <f aca="false">IFERROR(SUMIFS('Cash Transactions'!F6:F500,'Cash Transactions'!B6:B500,B157),0)</f>
        <v>0</v>
      </c>
      <c r="G157" s="22"/>
      <c r="H157" s="31" t="n">
        <f aca="false">D157+E157+IF(G157&gt;0,G157,F157)</f>
        <v>113.87</v>
      </c>
      <c r="I157" s="35"/>
      <c r="J157" s="31" t="n">
        <f aca="false">IFERROR(H157/I157,0)</f>
        <v>0</v>
      </c>
      <c r="K157" s="16"/>
    </row>
    <row r="158" customFormat="false" ht="15" hidden="false" customHeight="true" outlineLevel="0" collapsed="false">
      <c r="B158" s="34" t="n">
        <v>46053</v>
      </c>
      <c r="C158" s="14" t="str">
        <f aca="false">IFERROR(TEXT(B158,"ddd"),"")</f>
        <v>Sat</v>
      </c>
      <c r="D158" s="22" t="n">
        <v>61.3</v>
      </c>
      <c r="E158" s="22"/>
      <c r="F158" s="31" t="n">
        <f aca="false">IFERROR(SUMIFS('Cash Transactions'!F6:F500,'Cash Transactions'!B6:B500,B158),0)</f>
        <v>0</v>
      </c>
      <c r="G158" s="22"/>
      <c r="H158" s="31" t="n">
        <f aca="false">D158+E158+IF(G158&gt;0,G158,F158)</f>
        <v>61.3</v>
      </c>
      <c r="I158" s="35"/>
      <c r="J158" s="31" t="n">
        <f aca="false">IFERROR(H158/I158,0)</f>
        <v>0</v>
      </c>
      <c r="K158" s="16"/>
    </row>
    <row r="159" customFormat="false" ht="15" hidden="false" customHeight="true" outlineLevel="0" collapsed="false">
      <c r="B159" s="34" t="n">
        <v>46054</v>
      </c>
      <c r="C159" s="14" t="str">
        <f aca="false">IFERROR(TEXT(B159,"ddd"),"")</f>
        <v>Sun</v>
      </c>
      <c r="D159" s="22" t="n">
        <v>51.63</v>
      </c>
      <c r="E159" s="22"/>
      <c r="F159" s="31" t="n">
        <f aca="false">IFERROR(SUMIFS('Cash Transactions'!F6:F500,'Cash Transactions'!B6:B500,B159),0)</f>
        <v>0</v>
      </c>
      <c r="G159" s="22"/>
      <c r="H159" s="31" t="n">
        <f aca="false">D159+E159+IF(G159&gt;0,G159,F159)</f>
        <v>51.63</v>
      </c>
      <c r="I159" s="35"/>
      <c r="J159" s="31" t="n">
        <f aca="false">IFERROR(H159/I159,0)</f>
        <v>0</v>
      </c>
      <c r="K159" s="16"/>
    </row>
    <row r="160" customFormat="false" ht="15" hidden="false" customHeight="true" outlineLevel="0" collapsed="false">
      <c r="B160" s="34" t="n">
        <v>46055</v>
      </c>
      <c r="C160" s="14" t="str">
        <f aca="false">IFERROR(TEXT(B160,"ddd"),"")</f>
        <v>Mon</v>
      </c>
      <c r="D160" s="22" t="n">
        <v>84.34</v>
      </c>
      <c r="E160" s="22"/>
      <c r="F160" s="31" t="n">
        <f aca="false">IFERROR(SUMIFS('Cash Transactions'!F6:F500,'Cash Transactions'!B6:B500,B160),0)</f>
        <v>0</v>
      </c>
      <c r="G160" s="22"/>
      <c r="H160" s="31" t="n">
        <f aca="false">D160+E160+IF(G160&gt;0,G160,F160)</f>
        <v>84.34</v>
      </c>
      <c r="I160" s="35"/>
      <c r="J160" s="31" t="n">
        <f aca="false">IFERROR(H160/I160,0)</f>
        <v>0</v>
      </c>
      <c r="K160" s="16"/>
    </row>
    <row r="161" customFormat="false" ht="15" hidden="false" customHeight="true" outlineLevel="0" collapsed="false">
      <c r="B161" s="34" t="n">
        <v>46056</v>
      </c>
      <c r="C161" s="14" t="str">
        <f aca="false">IFERROR(TEXT(B161,"ddd"),"")</f>
        <v>Tue</v>
      </c>
      <c r="D161" s="22" t="n">
        <v>38.34</v>
      </c>
      <c r="E161" s="22"/>
      <c r="F161" s="31" t="n">
        <f aca="false">IFERROR(SUMIFS('Cash Transactions'!F6:F500,'Cash Transactions'!B6:B500,B161),0)</f>
        <v>0</v>
      </c>
      <c r="G161" s="22"/>
      <c r="H161" s="31" t="n">
        <f aca="false">D161+E161+IF(G161&gt;0,G161,F161)</f>
        <v>38.34</v>
      </c>
      <c r="I161" s="35"/>
      <c r="J161" s="31" t="n">
        <f aca="false">IFERROR(H161/I161,0)</f>
        <v>0</v>
      </c>
      <c r="K161" s="16"/>
    </row>
    <row r="162" customFormat="false" ht="15" hidden="false" customHeight="true" outlineLevel="0" collapsed="false">
      <c r="B162" s="34" t="n">
        <v>46057</v>
      </c>
      <c r="C162" s="14" t="str">
        <f aca="false">IFERROR(TEXT(B162,"ddd"),"")</f>
        <v>Wed</v>
      </c>
      <c r="D162" s="22" t="n">
        <v>32.57</v>
      </c>
      <c r="E162" s="22"/>
      <c r="F162" s="31" t="n">
        <f aca="false">IFERROR(SUMIFS('Cash Transactions'!F6:F500,'Cash Transactions'!B6:B500,B162),0)</f>
        <v>0</v>
      </c>
      <c r="G162" s="22"/>
      <c r="H162" s="31" t="n">
        <f aca="false">D162+E162+IF(G162&gt;0,G162,F162)</f>
        <v>32.57</v>
      </c>
      <c r="I162" s="35"/>
      <c r="J162" s="31" t="n">
        <f aca="false">IFERROR(H162/I162,0)</f>
        <v>0</v>
      </c>
      <c r="K162" s="16"/>
    </row>
    <row r="163" customFormat="false" ht="15" hidden="false" customHeight="true" outlineLevel="0" collapsed="false">
      <c r="B163" s="34" t="n">
        <v>46058</v>
      </c>
      <c r="C163" s="14" t="str">
        <f aca="false">IFERROR(TEXT(B163,"ddd"),"")</f>
        <v>Thu</v>
      </c>
      <c r="D163" s="22" t="n">
        <v>83.07</v>
      </c>
      <c r="E163" s="22"/>
      <c r="F163" s="31" t="n">
        <f aca="false">IFERROR(SUMIFS('Cash Transactions'!F6:F500,'Cash Transactions'!B6:B500,B163),0)</f>
        <v>0</v>
      </c>
      <c r="G163" s="22"/>
      <c r="H163" s="31" t="n">
        <f aca="false">D163+E163+IF(G163&gt;0,G163,F163)</f>
        <v>83.07</v>
      </c>
      <c r="I163" s="35"/>
      <c r="J163" s="31" t="n">
        <f aca="false">IFERROR(H163/I163,0)</f>
        <v>0</v>
      </c>
      <c r="K163" s="16"/>
    </row>
    <row r="164" customFormat="false" ht="15" hidden="false" customHeight="true" outlineLevel="0" collapsed="false">
      <c r="B164" s="34" t="n">
        <v>46059</v>
      </c>
      <c r="C164" s="14" t="str">
        <f aca="false">IFERROR(TEXT(B164,"ddd"),"")</f>
        <v>Fri</v>
      </c>
      <c r="D164" s="22" t="n">
        <v>52.28</v>
      </c>
      <c r="E164" s="22"/>
      <c r="F164" s="31" t="n">
        <f aca="false">IFERROR(SUMIFS('Cash Transactions'!F6:F500,'Cash Transactions'!B6:B500,B164),0)</f>
        <v>0</v>
      </c>
      <c r="G164" s="22"/>
      <c r="H164" s="31" t="n">
        <f aca="false">D164+E164+IF(G164&gt;0,G164,F164)</f>
        <v>52.28</v>
      </c>
      <c r="I164" s="35"/>
      <c r="J164" s="31" t="n">
        <f aca="false">IFERROR(H164/I164,0)</f>
        <v>0</v>
      </c>
      <c r="K164" s="16"/>
    </row>
    <row r="165" customFormat="false" ht="15" hidden="false" customHeight="true" outlineLevel="0" collapsed="false">
      <c r="B165" s="34" t="n">
        <v>46060</v>
      </c>
      <c r="C165" s="14" t="str">
        <f aca="false">IFERROR(TEXT(B165,"ddd"),"")</f>
        <v>Sat</v>
      </c>
      <c r="D165" s="22" t="n">
        <v>33.15</v>
      </c>
      <c r="E165" s="22"/>
      <c r="F165" s="31" t="n">
        <f aca="false">IFERROR(SUMIFS('Cash Transactions'!F6:F500,'Cash Transactions'!B6:B500,B165),0)</f>
        <v>0</v>
      </c>
      <c r="G165" s="22"/>
      <c r="H165" s="31" t="n">
        <f aca="false">D165+E165+IF(G165&gt;0,G165,F165)</f>
        <v>33.15</v>
      </c>
      <c r="I165" s="35"/>
      <c r="J165" s="31" t="n">
        <f aca="false">IFERROR(H165/I165,0)</f>
        <v>0</v>
      </c>
      <c r="K165" s="16"/>
    </row>
    <row r="166" customFormat="false" ht="15" hidden="false" customHeight="true" outlineLevel="0" collapsed="false">
      <c r="B166" s="34" t="n">
        <v>46061</v>
      </c>
      <c r="C166" s="14" t="str">
        <f aca="false">IFERROR(TEXT(B166,"ddd"),"")</f>
        <v>Sun</v>
      </c>
      <c r="D166" s="22" t="n">
        <v>45</v>
      </c>
      <c r="E166" s="22"/>
      <c r="F166" s="31" t="n">
        <f aca="false">IFERROR(SUMIFS('Cash Transactions'!F6:F500,'Cash Transactions'!B6:B500,B166),0)</f>
        <v>0</v>
      </c>
      <c r="G166" s="22"/>
      <c r="H166" s="31" t="n">
        <f aca="false">D166+E166+IF(G166&gt;0,G166,F166)</f>
        <v>45</v>
      </c>
      <c r="I166" s="35"/>
      <c r="J166" s="31" t="n">
        <f aca="false">IFERROR(H166/I166,0)</f>
        <v>0</v>
      </c>
      <c r="K166" s="16"/>
    </row>
    <row r="167" customFormat="false" ht="15" hidden="false" customHeight="true" outlineLevel="0" collapsed="false">
      <c r="B167" s="34" t="n">
        <v>46062</v>
      </c>
      <c r="C167" s="14" t="str">
        <f aca="false">IFERROR(TEXT(B167,"ddd"),"")</f>
        <v>Mon</v>
      </c>
      <c r="D167" s="22" t="n">
        <v>144.21</v>
      </c>
      <c r="E167" s="22"/>
      <c r="F167" s="31" t="n">
        <f aca="false">IFERROR(SUMIFS('Cash Transactions'!F6:F500,'Cash Transactions'!B6:B500,B167),0)</f>
        <v>0</v>
      </c>
      <c r="G167" s="22"/>
      <c r="H167" s="31" t="n">
        <f aca="false">D167+E167+IF(G167&gt;0,G167,F167)</f>
        <v>144.21</v>
      </c>
      <c r="I167" s="35"/>
      <c r="J167" s="31" t="n">
        <f aca="false">IFERROR(H167/I167,0)</f>
        <v>0</v>
      </c>
      <c r="K167" s="16"/>
    </row>
    <row r="168" customFormat="false" ht="15" hidden="false" customHeight="true" outlineLevel="0" collapsed="false">
      <c r="B168" s="34" t="n">
        <v>46063</v>
      </c>
      <c r="C168" s="14" t="str">
        <f aca="false">IFERROR(TEXT(B168,"ddd"),"")</f>
        <v>Tue</v>
      </c>
      <c r="D168" s="22" t="n">
        <v>82.08</v>
      </c>
      <c r="E168" s="22"/>
      <c r="F168" s="31" t="n">
        <f aca="false">IFERROR(SUMIFS('Cash Transactions'!F6:F500,'Cash Transactions'!B6:B500,B168),0)</f>
        <v>0</v>
      </c>
      <c r="G168" s="22"/>
      <c r="H168" s="31" t="n">
        <f aca="false">D168+E168+IF(G168&gt;0,G168,F168)</f>
        <v>82.08</v>
      </c>
      <c r="I168" s="35"/>
      <c r="J168" s="31" t="n">
        <f aca="false">IFERROR(H168/I168,0)</f>
        <v>0</v>
      </c>
      <c r="K168" s="16"/>
    </row>
    <row r="169" customFormat="false" ht="15" hidden="false" customHeight="true" outlineLevel="0" collapsed="false">
      <c r="B169" s="34" t="n">
        <v>46064</v>
      </c>
      <c r="C169" s="14" t="str">
        <f aca="false">IFERROR(TEXT(B169,"ddd"),"")</f>
        <v>Wed</v>
      </c>
      <c r="D169" s="22" t="n">
        <v>69.59</v>
      </c>
      <c r="E169" s="22"/>
      <c r="F169" s="31" t="n">
        <f aca="false">IFERROR(SUMIFS('Cash Transactions'!F6:F500,'Cash Transactions'!B6:B500,B169),0)</f>
        <v>0</v>
      </c>
      <c r="G169" s="22"/>
      <c r="H169" s="31" t="n">
        <f aca="false">D169+E169+IF(G169&gt;0,G169,F169)</f>
        <v>69.59</v>
      </c>
      <c r="I169" s="35"/>
      <c r="J169" s="31" t="n">
        <f aca="false">IFERROR(H169/I169,0)</f>
        <v>0</v>
      </c>
      <c r="K169" s="16"/>
    </row>
    <row r="170" customFormat="false" ht="15" hidden="false" customHeight="true" outlineLevel="0" collapsed="false">
      <c r="B170" s="34" t="n">
        <v>46065</v>
      </c>
      <c r="C170" s="14" t="str">
        <f aca="false">IFERROR(TEXT(B170,"ddd"),"")</f>
        <v>Thu</v>
      </c>
      <c r="D170" s="22" t="n">
        <v>59.08</v>
      </c>
      <c r="E170" s="22"/>
      <c r="F170" s="31" t="n">
        <f aca="false">IFERROR(SUMIFS('Cash Transactions'!F6:F500,'Cash Transactions'!B6:B500,B170),0)</f>
        <v>0</v>
      </c>
      <c r="G170" s="22"/>
      <c r="H170" s="31" t="n">
        <f aca="false">D170+E170+IF(G170&gt;0,G170,F170)</f>
        <v>59.08</v>
      </c>
      <c r="I170" s="35"/>
      <c r="J170" s="31" t="n">
        <f aca="false">IFERROR(H170/I170,0)</f>
        <v>0</v>
      </c>
      <c r="K170" s="16"/>
    </row>
    <row r="171" customFormat="false" ht="15" hidden="false" customHeight="true" outlineLevel="0" collapsed="false">
      <c r="B171" s="34" t="n">
        <v>46066</v>
      </c>
      <c r="C171" s="14" t="str">
        <f aca="false">IFERROR(TEXT(B171,"ddd"),"")</f>
        <v>Fri</v>
      </c>
      <c r="D171" s="22" t="n">
        <v>40.66</v>
      </c>
      <c r="E171" s="22" t="n">
        <v>6.08</v>
      </c>
      <c r="F171" s="31" t="n">
        <f aca="false">IFERROR(SUMIFS('Cash Transactions'!F6:F500,'Cash Transactions'!B6:B500,B171),0)</f>
        <v>0</v>
      </c>
      <c r="G171" s="22"/>
      <c r="H171" s="31" t="n">
        <f aca="false">D171+E171+IF(G171&gt;0,G171,F171)</f>
        <v>46.74</v>
      </c>
      <c r="I171" s="35"/>
      <c r="J171" s="31" t="n">
        <f aca="false">IFERROR(H171/I171,0)</f>
        <v>0</v>
      </c>
      <c r="K171" s="16" t="s">
        <v>538</v>
      </c>
    </row>
    <row r="172" customFormat="false" ht="15" hidden="false" customHeight="true" outlineLevel="0" collapsed="false">
      <c r="B172" s="34" t="n">
        <v>46067</v>
      </c>
      <c r="C172" s="14" t="str">
        <f aca="false">IFERROR(TEXT(B172,"ddd"),"")</f>
        <v>Sat</v>
      </c>
      <c r="D172" s="22" t="n">
        <v>55.38</v>
      </c>
      <c r="E172" s="22"/>
      <c r="F172" s="31" t="n">
        <f aca="false">IFERROR(SUMIFS('Cash Transactions'!F6:F500,'Cash Transactions'!B6:B500,B172),0)</f>
        <v>0</v>
      </c>
      <c r="G172" s="22"/>
      <c r="H172" s="31" t="n">
        <f aca="false">D172+E172+IF(G172&gt;0,G172,F172)</f>
        <v>55.38</v>
      </c>
      <c r="I172" s="35"/>
      <c r="J172" s="31" t="n">
        <f aca="false">IFERROR(H172/I172,0)</f>
        <v>0</v>
      </c>
      <c r="K172" s="16"/>
    </row>
    <row r="173" customFormat="false" ht="15" hidden="false" customHeight="true" outlineLevel="0" collapsed="false">
      <c r="B173" s="34" t="n">
        <v>46068</v>
      </c>
      <c r="C173" s="14" t="str">
        <f aca="false">IFERROR(TEXT(B173,"ddd"),"")</f>
        <v>Sun</v>
      </c>
      <c r="D173" s="22" t="n">
        <v>127.43</v>
      </c>
      <c r="E173" s="22"/>
      <c r="F173" s="31" t="n">
        <f aca="false">IFERROR(SUMIFS('Cash Transactions'!F6:F500,'Cash Transactions'!B6:B500,B173),0)</f>
        <v>0</v>
      </c>
      <c r="G173" s="22"/>
      <c r="H173" s="31" t="n">
        <f aca="false">D173+E173+IF(G173&gt;0,G173,F173)</f>
        <v>127.43</v>
      </c>
      <c r="I173" s="35"/>
      <c r="J173" s="31" t="n">
        <f aca="false">IFERROR(H173/I173,0)</f>
        <v>0</v>
      </c>
      <c r="K173" s="16"/>
    </row>
    <row r="174" customFormat="false" ht="15" hidden="false" customHeight="true" outlineLevel="0" collapsed="false">
      <c r="B174" s="34" t="n">
        <v>46069</v>
      </c>
      <c r="C174" s="14" t="str">
        <f aca="false">IFERROR(TEXT(B174,"ddd"),"")</f>
        <v>Mon</v>
      </c>
      <c r="D174" s="22" t="n">
        <v>52.29</v>
      </c>
      <c r="E174" s="22"/>
      <c r="F174" s="31" t="n">
        <f aca="false">IFERROR(SUMIFS('Cash Transactions'!F6:F500,'Cash Transactions'!B6:B500,B174),0)</f>
        <v>0</v>
      </c>
      <c r="G174" s="22"/>
      <c r="H174" s="31" t="n">
        <f aca="false">D174+E174+IF(G174&gt;0,G174,F174)</f>
        <v>52.29</v>
      </c>
      <c r="I174" s="35"/>
      <c r="J174" s="31" t="n">
        <f aca="false">IFERROR(H174/I174,0)</f>
        <v>0</v>
      </c>
      <c r="K174" s="16"/>
    </row>
    <row r="175" customFormat="false" ht="15" hidden="false" customHeight="true" outlineLevel="0" collapsed="false">
      <c r="B175" s="34" t="n">
        <v>46070</v>
      </c>
      <c r="C175" s="14" t="str">
        <f aca="false">IFERROR(TEXT(B175,"ddd"),"")</f>
        <v>Tue</v>
      </c>
      <c r="D175" s="22" t="n">
        <v>31.36</v>
      </c>
      <c r="E175" s="22"/>
      <c r="F175" s="31" t="n">
        <f aca="false">IFERROR(SUMIFS('Cash Transactions'!F6:F500,'Cash Transactions'!B6:B500,B175),0)</f>
        <v>0</v>
      </c>
      <c r="G175" s="22"/>
      <c r="H175" s="31" t="n">
        <f aca="false">D175+E175+IF(G175&gt;0,G175,F175)</f>
        <v>31.36</v>
      </c>
      <c r="I175" s="35"/>
      <c r="J175" s="31" t="n">
        <f aca="false">IFERROR(H175/I175,0)</f>
        <v>0</v>
      </c>
      <c r="K175" s="16"/>
    </row>
    <row r="176" customFormat="false" ht="15" hidden="false" customHeight="true" outlineLevel="0" collapsed="false">
      <c r="B176" s="34" t="n">
        <v>46071</v>
      </c>
      <c r="C176" s="14" t="str">
        <f aca="false">IFERROR(TEXT(B176,"ddd"),"")</f>
        <v>Wed</v>
      </c>
      <c r="D176" s="22" t="n">
        <v>25.45</v>
      </c>
      <c r="E176" s="22"/>
      <c r="F176" s="31" t="n">
        <f aca="false">IFERROR(SUMIFS('Cash Transactions'!F6:F500,'Cash Transactions'!B6:B500,B176),0)</f>
        <v>0</v>
      </c>
      <c r="G176" s="22"/>
      <c r="H176" s="31" t="n">
        <f aca="false">D176+E176+IF(G176&gt;0,G176,F176)</f>
        <v>25.45</v>
      </c>
      <c r="I176" s="35"/>
      <c r="J176" s="31" t="n">
        <f aca="false">IFERROR(H176/I176,0)</f>
        <v>0</v>
      </c>
      <c r="K176" s="16"/>
    </row>
    <row r="177" customFormat="false" ht="15" hidden="false" customHeight="true" outlineLevel="0" collapsed="false">
      <c r="B177" s="34" t="n">
        <v>46072</v>
      </c>
      <c r="C177" s="14" t="str">
        <f aca="false">IFERROR(TEXT(B177,"ddd"),"")</f>
        <v>Thu</v>
      </c>
      <c r="D177" s="22" t="n">
        <v>87.8</v>
      </c>
      <c r="E177" s="22"/>
      <c r="F177" s="31" t="n">
        <f aca="false">IFERROR(SUMIFS('Cash Transactions'!F6:F500,'Cash Transactions'!B6:B500,B177),0)</f>
        <v>0</v>
      </c>
      <c r="G177" s="22"/>
      <c r="H177" s="31" t="n">
        <f aca="false">D177+E177+IF(G177&gt;0,G177,F177)</f>
        <v>87.8</v>
      </c>
      <c r="I177" s="35"/>
      <c r="J177" s="31" t="n">
        <f aca="false">IFERROR(H177/I177,0)</f>
        <v>0</v>
      </c>
      <c r="K177" s="16"/>
    </row>
    <row r="178" customFormat="false" ht="15" hidden="false" customHeight="true" outlineLevel="0" collapsed="false">
      <c r="B178" s="34" t="n">
        <v>46073</v>
      </c>
      <c r="C178" s="14" t="str">
        <f aca="false">IFERROR(TEXT(B178,"ddd"),"")</f>
        <v>Fri</v>
      </c>
      <c r="D178" s="22" t="n">
        <v>47.44</v>
      </c>
      <c r="E178" s="22" t="n">
        <v>14.04</v>
      </c>
      <c r="F178" s="31" t="n">
        <f aca="false">IFERROR(SUMIFS('Cash Transactions'!F6:F500,'Cash Transactions'!B6:B500,B178),0)</f>
        <v>0</v>
      </c>
      <c r="G178" s="22"/>
      <c r="H178" s="31" t="n">
        <f aca="false">D178+E178+IF(G178&gt;0,G178,F178)</f>
        <v>61.48</v>
      </c>
      <c r="I178" s="35"/>
      <c r="J178" s="31" t="n">
        <f aca="false">IFERROR(H178/I178,0)</f>
        <v>0</v>
      </c>
      <c r="K178" s="16" t="s">
        <v>539</v>
      </c>
    </row>
    <row r="179" customFormat="false" ht="15" hidden="false" customHeight="true" outlineLevel="0" collapsed="false">
      <c r="B179" s="34" t="n">
        <v>46074</v>
      </c>
      <c r="C179" s="14" t="str">
        <f aca="false">IFERROR(TEXT(B179,"ddd"),"")</f>
        <v>Sat</v>
      </c>
      <c r="D179" s="22" t="n">
        <v>81.59</v>
      </c>
      <c r="E179" s="22"/>
      <c r="F179" s="31" t="n">
        <f aca="false">IFERROR(SUMIFS('Cash Transactions'!F6:F500,'Cash Transactions'!B6:B500,B179),0)</f>
        <v>0</v>
      </c>
      <c r="G179" s="22"/>
      <c r="H179" s="31" t="n">
        <f aca="false">D179+E179+IF(G179&gt;0,G179,F179)</f>
        <v>81.59</v>
      </c>
      <c r="I179" s="35"/>
      <c r="J179" s="31" t="n">
        <f aca="false">IFERROR(H179/I179,0)</f>
        <v>0</v>
      </c>
      <c r="K179" s="16"/>
    </row>
    <row r="180" customFormat="false" ht="15" hidden="false" customHeight="true" outlineLevel="0" collapsed="false">
      <c r="B180" s="34" t="n">
        <v>46075</v>
      </c>
      <c r="C180" s="14" t="str">
        <f aca="false">IFERROR(TEXT(B180,"ddd"),"")</f>
        <v>Sun</v>
      </c>
      <c r="D180" s="22" t="n">
        <v>52.22</v>
      </c>
      <c r="E180" s="22"/>
      <c r="F180" s="31" t="n">
        <f aca="false">IFERROR(SUMIFS('Cash Transactions'!F6:F500,'Cash Transactions'!B6:B500,B180),0)</f>
        <v>0</v>
      </c>
      <c r="G180" s="22"/>
      <c r="H180" s="31" t="n">
        <f aca="false">D180+E180+IF(G180&gt;0,G180,F180)</f>
        <v>52.22</v>
      </c>
      <c r="I180" s="35"/>
      <c r="J180" s="31" t="n">
        <f aca="false">IFERROR(H180/I180,0)</f>
        <v>0</v>
      </c>
      <c r="K180" s="16"/>
    </row>
    <row r="181" customFormat="false" ht="15" hidden="false" customHeight="true" outlineLevel="0" collapsed="false">
      <c r="B181" s="34" t="n">
        <v>46076</v>
      </c>
      <c r="C181" s="14" t="str">
        <f aca="false">IFERROR(TEXT(B181,"ddd"),"")</f>
        <v>Mon</v>
      </c>
      <c r="D181" s="22" t="n">
        <v>52.85</v>
      </c>
      <c r="E181" s="22"/>
      <c r="F181" s="31" t="n">
        <f aca="false">IFERROR(SUMIFS('Cash Transactions'!F6:F500,'Cash Transactions'!B6:B500,B181),0)</f>
        <v>0</v>
      </c>
      <c r="G181" s="22"/>
      <c r="H181" s="31" t="n">
        <f aca="false">D181+E181+IF(G181&gt;0,G181,F181)</f>
        <v>52.85</v>
      </c>
      <c r="I181" s="35"/>
      <c r="J181" s="31" t="n">
        <f aca="false">IFERROR(H181/I181,0)</f>
        <v>0</v>
      </c>
      <c r="K181" s="16"/>
    </row>
    <row r="182" customFormat="false" ht="15" hidden="false" customHeight="true" outlineLevel="0" collapsed="false">
      <c r="B182" s="34" t="n">
        <v>46077</v>
      </c>
      <c r="C182" s="14" t="str">
        <f aca="false">IFERROR(TEXT(B182,"ddd"),"")</f>
        <v>Tue</v>
      </c>
      <c r="D182" s="22" t="n">
        <v>61.41</v>
      </c>
      <c r="E182" s="22"/>
      <c r="F182" s="31" t="n">
        <f aca="false">IFERROR(SUMIFS('Cash Transactions'!F6:F500,'Cash Transactions'!B6:B500,B182),0)</f>
        <v>0</v>
      </c>
      <c r="G182" s="22"/>
      <c r="H182" s="31" t="n">
        <f aca="false">D182+E182+IF(G182&gt;0,G182,F182)</f>
        <v>61.41</v>
      </c>
      <c r="I182" s="35"/>
      <c r="J182" s="31" t="n">
        <f aca="false">IFERROR(H182/I182,0)</f>
        <v>0</v>
      </c>
      <c r="K182" s="16"/>
    </row>
    <row r="183" customFormat="false" ht="15" hidden="false" customHeight="true" outlineLevel="0" collapsed="false">
      <c r="B183" s="34" t="n">
        <v>46078</v>
      </c>
      <c r="C183" s="14" t="str">
        <f aca="false">IFERROR(TEXT(B183,"ddd"),"")</f>
        <v>Wed</v>
      </c>
      <c r="D183" s="22" t="n">
        <v>42.94</v>
      </c>
      <c r="E183" s="22"/>
      <c r="F183" s="31" t="n">
        <f aca="false">IFERROR(SUMIFS('Cash Transactions'!F6:F500,'Cash Transactions'!B6:B500,B183),0)</f>
        <v>0</v>
      </c>
      <c r="G183" s="22"/>
      <c r="H183" s="31" t="n">
        <f aca="false">D183+E183+IF(G183&gt;0,G183,F183)</f>
        <v>42.94</v>
      </c>
      <c r="I183" s="35"/>
      <c r="J183" s="31" t="n">
        <f aca="false">IFERROR(H183/I183,0)</f>
        <v>0</v>
      </c>
      <c r="K183" s="16"/>
    </row>
    <row r="184" customFormat="false" ht="15" hidden="false" customHeight="true" outlineLevel="0" collapsed="false">
      <c r="B184" s="34" t="n">
        <v>46079</v>
      </c>
      <c r="C184" s="14" t="str">
        <f aca="false">IFERROR(TEXT(B184,"ddd"),"")</f>
        <v>Thu</v>
      </c>
      <c r="D184" s="22" t="n">
        <v>60.11</v>
      </c>
      <c r="E184" s="22"/>
      <c r="F184" s="31" t="n">
        <f aca="false">IFERROR(SUMIFS('Cash Transactions'!F6:F500,'Cash Transactions'!B6:B500,B184),0)</f>
        <v>0</v>
      </c>
      <c r="G184" s="22"/>
      <c r="H184" s="31" t="n">
        <f aca="false">D184+E184+IF(G184&gt;0,G184,F184)</f>
        <v>60.11</v>
      </c>
      <c r="I184" s="35"/>
      <c r="J184" s="31" t="n">
        <f aca="false">IFERROR(H184/I184,0)</f>
        <v>0</v>
      </c>
      <c r="K184" s="16"/>
    </row>
    <row r="185" customFormat="false" ht="15" hidden="false" customHeight="true" outlineLevel="0" collapsed="false">
      <c r="B185" s="34" t="n">
        <v>46080</v>
      </c>
      <c r="C185" s="14" t="str">
        <f aca="false">IFERROR(TEXT(B185,"ddd"),"")</f>
        <v>Fri</v>
      </c>
      <c r="D185" s="22" t="n">
        <v>88.16</v>
      </c>
      <c r="E185" s="22"/>
      <c r="F185" s="31" t="n">
        <f aca="false">IFERROR(SUMIFS('Cash Transactions'!F6:F500,'Cash Transactions'!B6:B500,B185),0)</f>
        <v>0</v>
      </c>
      <c r="G185" s="22"/>
      <c r="H185" s="31" t="n">
        <f aca="false">D185+E185+IF(G185&gt;0,G185,F185)</f>
        <v>88.16</v>
      </c>
      <c r="I185" s="35"/>
      <c r="J185" s="31" t="n">
        <f aca="false">IFERROR(H185/I185,0)</f>
        <v>0</v>
      </c>
      <c r="K185" s="16"/>
    </row>
    <row r="186" customFormat="false" ht="15" hidden="false" customHeight="true" outlineLevel="0" collapsed="false">
      <c r="B186" s="34" t="n">
        <v>46081</v>
      </c>
      <c r="C186" s="14" t="str">
        <f aca="false">IFERROR(TEXT(B186,"ddd"),"")</f>
        <v>Sat</v>
      </c>
      <c r="D186" s="22" t="n">
        <v>30.27</v>
      </c>
      <c r="E186" s="22"/>
      <c r="F186" s="31" t="n">
        <f aca="false">IFERROR(SUMIFS('Cash Transactions'!F6:F500,'Cash Transactions'!B6:B500,B186),0)</f>
        <v>0</v>
      </c>
      <c r="G186" s="22"/>
      <c r="H186" s="31" t="n">
        <f aca="false">D186+E186+IF(G186&gt;0,G186,F186)</f>
        <v>30.27</v>
      </c>
      <c r="I186" s="35"/>
      <c r="J186" s="31" t="n">
        <f aca="false">IFERROR(H186/I186,0)</f>
        <v>0</v>
      </c>
      <c r="K186" s="16"/>
    </row>
    <row r="187" customFormat="false" ht="15" hidden="false" customHeight="true" outlineLevel="0" collapsed="false">
      <c r="B187" s="34" t="n">
        <v>46082</v>
      </c>
      <c r="C187" s="14" t="str">
        <f aca="false">IFERROR(TEXT(B187,"ddd"),"")</f>
        <v>Sun</v>
      </c>
      <c r="D187" s="22" t="n">
        <v>96.8</v>
      </c>
      <c r="E187" s="22"/>
      <c r="F187" s="31" t="n">
        <f aca="false">IFERROR(SUMIFS('Cash Transactions'!F6:F500,'Cash Transactions'!B6:B500,B187),0)</f>
        <v>0</v>
      </c>
      <c r="G187" s="22"/>
      <c r="H187" s="31" t="n">
        <f aca="false">D187+E187+IF(G187&gt;0,G187,F187)</f>
        <v>96.8</v>
      </c>
      <c r="I187" s="35"/>
      <c r="J187" s="31" t="n">
        <f aca="false">IFERROR(H187/I187,0)</f>
        <v>0</v>
      </c>
      <c r="K187" s="16"/>
    </row>
    <row r="188" customFormat="false" ht="15" hidden="false" customHeight="true" outlineLevel="0" collapsed="false">
      <c r="B188" s="34" t="n">
        <v>46083</v>
      </c>
      <c r="C188" s="14" t="str">
        <f aca="false">IFERROR(TEXT(B188,"ddd"),"")</f>
        <v>Mon</v>
      </c>
      <c r="D188" s="22" t="n">
        <v>91.4</v>
      </c>
      <c r="E188" s="22"/>
      <c r="F188" s="31" t="n">
        <f aca="false">IFERROR(SUMIFS('Cash Transactions'!F6:F500,'Cash Transactions'!B6:B500,B188),0)</f>
        <v>0</v>
      </c>
      <c r="G188" s="22"/>
      <c r="H188" s="31" t="n">
        <f aca="false">D188+E188+IF(G188&gt;0,G188,F188)</f>
        <v>91.4</v>
      </c>
      <c r="I188" s="35"/>
      <c r="J188" s="31" t="n">
        <f aca="false">IFERROR(H188/I188,0)</f>
        <v>0</v>
      </c>
      <c r="K188" s="16"/>
    </row>
    <row r="189" customFormat="false" ht="15" hidden="false" customHeight="true" outlineLevel="0" collapsed="false">
      <c r="B189" s="34" t="n">
        <v>46084</v>
      </c>
      <c r="C189" s="14" t="str">
        <f aca="false">IFERROR(TEXT(B189,"ddd"),"")</f>
        <v>Tue</v>
      </c>
      <c r="D189" s="22" t="n">
        <v>77.64</v>
      </c>
      <c r="E189" s="22"/>
      <c r="F189" s="31" t="n">
        <f aca="false">IFERROR(SUMIFS('Cash Transactions'!F6:F500,'Cash Transactions'!B6:B500,B189),0)</f>
        <v>0</v>
      </c>
      <c r="G189" s="22"/>
      <c r="H189" s="31" t="n">
        <f aca="false">D189+E189+IF(G189&gt;0,G189,F189)</f>
        <v>77.64</v>
      </c>
      <c r="I189" s="35"/>
      <c r="J189" s="31" t="n">
        <f aca="false">IFERROR(H189/I189,0)</f>
        <v>0</v>
      </c>
      <c r="K189" s="16"/>
    </row>
    <row r="190" customFormat="false" ht="15" hidden="false" customHeight="true" outlineLevel="0" collapsed="false">
      <c r="B190" s="34" t="n">
        <v>46085</v>
      </c>
      <c r="C190" s="14" t="str">
        <f aca="false">IFERROR(TEXT(B190,"ddd"),"")</f>
        <v>Wed</v>
      </c>
      <c r="D190" s="22" t="n">
        <v>81.24</v>
      </c>
      <c r="E190" s="22"/>
      <c r="F190" s="31" t="n">
        <f aca="false">IFERROR(SUMIFS('Cash Transactions'!F6:F500,'Cash Transactions'!B6:B500,B190),0)</f>
        <v>0</v>
      </c>
      <c r="G190" s="22"/>
      <c r="H190" s="31" t="n">
        <f aca="false">D190+E190+IF(G190&gt;0,G190,F190)</f>
        <v>81.24</v>
      </c>
      <c r="I190" s="35"/>
      <c r="J190" s="31" t="n">
        <f aca="false">IFERROR(H190/I190,0)</f>
        <v>0</v>
      </c>
      <c r="K190" s="16"/>
    </row>
    <row r="191" customFormat="false" ht="15" hidden="false" customHeight="true" outlineLevel="0" collapsed="false">
      <c r="B191" s="34" t="n">
        <v>46086</v>
      </c>
      <c r="C191" s="14" t="str">
        <f aca="false">IFERROR(TEXT(B191,"ddd"),"")</f>
        <v>Thu</v>
      </c>
      <c r="D191" s="22" t="n">
        <v>70.01</v>
      </c>
      <c r="E191" s="22"/>
      <c r="F191" s="31" t="n">
        <f aca="false">IFERROR(SUMIFS('Cash Transactions'!F6:F500,'Cash Transactions'!B6:B500,B191),0)</f>
        <v>0</v>
      </c>
      <c r="G191" s="22"/>
      <c r="H191" s="31" t="n">
        <f aca="false">D191+E191+IF(G191&gt;0,G191,F191)</f>
        <v>70.01</v>
      </c>
      <c r="I191" s="35"/>
      <c r="J191" s="31" t="n">
        <f aca="false">IFERROR(H191/I191,0)</f>
        <v>0</v>
      </c>
      <c r="K191" s="16"/>
    </row>
    <row r="192" customFormat="false" ht="15" hidden="false" customHeight="true" outlineLevel="0" collapsed="false">
      <c r="B192" s="34" t="n">
        <v>46087</v>
      </c>
      <c r="C192" s="14" t="str">
        <f aca="false">IFERROR(TEXT(B192,"ddd"),"")</f>
        <v>Fri</v>
      </c>
      <c r="D192" s="22" t="n">
        <v>98.42</v>
      </c>
      <c r="E192" s="22"/>
      <c r="F192" s="31" t="n">
        <f aca="false">IFERROR(SUMIFS('Cash Transactions'!F6:F500,'Cash Transactions'!B6:B500,B192),0)</f>
        <v>0</v>
      </c>
      <c r="G192" s="22"/>
      <c r="H192" s="31" t="n">
        <f aca="false">D192+E192+IF(G192&gt;0,G192,F192)</f>
        <v>98.42</v>
      </c>
      <c r="I192" s="35"/>
      <c r="J192" s="31" t="n">
        <f aca="false">IFERROR(H192/I192,0)</f>
        <v>0</v>
      </c>
      <c r="K192" s="16"/>
    </row>
    <row r="193" customFormat="false" ht="15" hidden="false" customHeight="true" outlineLevel="0" collapsed="false">
      <c r="B193" s="34" t="n">
        <v>46088</v>
      </c>
      <c r="C193" s="14" t="str">
        <f aca="false">IFERROR(TEXT(B193,"ddd"),"")</f>
        <v>Sat</v>
      </c>
      <c r="D193" s="22" t="n">
        <v>48.1</v>
      </c>
      <c r="E193" s="22"/>
      <c r="F193" s="31" t="n">
        <f aca="false">IFERROR(SUMIFS('Cash Transactions'!F6:F500,'Cash Transactions'!B6:B500,B193),0)</f>
        <v>0</v>
      </c>
      <c r="G193" s="22"/>
      <c r="H193" s="31" t="n">
        <f aca="false">D193+E193+IF(G193&gt;0,G193,F193)</f>
        <v>48.1</v>
      </c>
      <c r="I193" s="35"/>
      <c r="J193" s="31" t="n">
        <f aca="false">IFERROR(H193/I193,0)</f>
        <v>0</v>
      </c>
      <c r="K193" s="16"/>
    </row>
    <row r="194" customFormat="false" ht="15" hidden="false" customHeight="true" outlineLevel="0" collapsed="false">
      <c r="B194" s="34" t="n">
        <v>46089</v>
      </c>
      <c r="C194" s="14" t="str">
        <f aca="false">IFERROR(TEXT(B194,"ddd"),"")</f>
        <v>Sun</v>
      </c>
      <c r="D194" s="22" t="n">
        <v>40.63</v>
      </c>
      <c r="E194" s="22"/>
      <c r="F194" s="31" t="n">
        <f aca="false">IFERROR(SUMIFS('Cash Transactions'!F6:F500,'Cash Transactions'!B6:B500,B194),0)</f>
        <v>0</v>
      </c>
      <c r="G194" s="22"/>
      <c r="H194" s="31" t="n">
        <f aca="false">D194+E194+IF(G194&gt;0,G194,F194)</f>
        <v>40.63</v>
      </c>
      <c r="I194" s="35"/>
      <c r="J194" s="31" t="n">
        <f aca="false">IFERROR(H194/I194,0)</f>
        <v>0</v>
      </c>
      <c r="K194" s="16"/>
    </row>
    <row r="195" customFormat="false" ht="15" hidden="false" customHeight="true" outlineLevel="0" collapsed="false">
      <c r="B195" s="34" t="n">
        <v>46090</v>
      </c>
      <c r="C195" s="14" t="str">
        <f aca="false">IFERROR(TEXT(B195,"ddd"),"")</f>
        <v>Mon</v>
      </c>
      <c r="D195" s="22" t="n">
        <v>103.79</v>
      </c>
      <c r="E195" s="22"/>
      <c r="F195" s="31" t="n">
        <f aca="false">IFERROR(SUMIFS('Cash Transactions'!F6:F500,'Cash Transactions'!B6:B500,B195),0)</f>
        <v>0</v>
      </c>
      <c r="G195" s="22"/>
      <c r="H195" s="31" t="n">
        <f aca="false">D195+E195+IF(G195&gt;0,G195,F195)</f>
        <v>103.79</v>
      </c>
      <c r="I195" s="35"/>
      <c r="J195" s="31" t="n">
        <f aca="false">IFERROR(H195/I195,0)</f>
        <v>0</v>
      </c>
      <c r="K195" s="16"/>
    </row>
    <row r="196" customFormat="false" ht="15" hidden="false" customHeight="true" outlineLevel="0" collapsed="false">
      <c r="B196" s="34" t="n">
        <v>46091</v>
      </c>
      <c r="C196" s="14" t="str">
        <f aca="false">IFERROR(TEXT(B196,"ddd"),"")</f>
        <v>Tue</v>
      </c>
      <c r="D196" s="22" t="n">
        <v>66.38</v>
      </c>
      <c r="E196" s="22"/>
      <c r="F196" s="31" t="n">
        <f aca="false">IFERROR(SUMIFS('Cash Transactions'!F6:F500,'Cash Transactions'!B6:B500,B196),0)</f>
        <v>0</v>
      </c>
      <c r="G196" s="22"/>
      <c r="H196" s="31" t="n">
        <f aca="false">D196+E196+IF(G196&gt;0,G196,F196)</f>
        <v>66.38</v>
      </c>
      <c r="I196" s="35"/>
      <c r="J196" s="31" t="n">
        <f aca="false">IFERROR(H196/I196,0)</f>
        <v>0</v>
      </c>
      <c r="K196" s="16"/>
    </row>
    <row r="197" customFormat="false" ht="15" hidden="false" customHeight="true" outlineLevel="0" collapsed="false">
      <c r="B197" s="34" t="n">
        <v>46092</v>
      </c>
      <c r="C197" s="14" t="str">
        <f aca="false">IFERROR(TEXT(B197,"ddd"),"")</f>
        <v>Wed</v>
      </c>
      <c r="D197" s="22" t="n">
        <v>36.8</v>
      </c>
      <c r="E197" s="22"/>
      <c r="F197" s="31" t="n">
        <f aca="false">IFERROR(SUMIFS('Cash Transactions'!F6:F500,'Cash Transactions'!B6:B500,B197),0)</f>
        <v>0</v>
      </c>
      <c r="G197" s="22"/>
      <c r="H197" s="31" t="n">
        <f aca="false">D197+E197+IF(G197&gt;0,G197,F197)</f>
        <v>36.8</v>
      </c>
      <c r="I197" s="35"/>
      <c r="J197" s="31" t="n">
        <f aca="false">IFERROR(H197/I197,0)</f>
        <v>0</v>
      </c>
      <c r="K197" s="16"/>
    </row>
    <row r="198" customFormat="false" ht="15" hidden="false" customHeight="true" outlineLevel="0" collapsed="false">
      <c r="B198" s="34" t="n">
        <v>46093</v>
      </c>
      <c r="C198" s="14" t="str">
        <f aca="false">IFERROR(TEXT(B198,"ddd"),"")</f>
        <v>Thu</v>
      </c>
      <c r="D198" s="22" t="n">
        <v>80.86</v>
      </c>
      <c r="E198" s="22"/>
      <c r="F198" s="31" t="n">
        <f aca="false">IFERROR(SUMIFS('Cash Transactions'!F6:F500,'Cash Transactions'!B6:B500,B198),0)</f>
        <v>0</v>
      </c>
      <c r="G198" s="22"/>
      <c r="H198" s="31" t="n">
        <f aca="false">D198+E198+IF(G198&gt;0,G198,F198)</f>
        <v>80.86</v>
      </c>
      <c r="I198" s="35"/>
      <c r="J198" s="31" t="n">
        <f aca="false">IFERROR(H198/I198,0)</f>
        <v>0</v>
      </c>
      <c r="K198" s="16"/>
    </row>
    <row r="199" customFormat="false" ht="15" hidden="false" customHeight="true" outlineLevel="0" collapsed="false">
      <c r="B199" s="34" t="n">
        <v>46094</v>
      </c>
      <c r="C199" s="14" t="str">
        <f aca="false">IFERROR(TEXT(B199,"ddd"),"")</f>
        <v>Fri</v>
      </c>
      <c r="D199" s="22" t="n">
        <v>36.77</v>
      </c>
      <c r="E199" s="22"/>
      <c r="F199" s="31" t="n">
        <f aca="false">IFERROR(SUMIFS('Cash Transactions'!F6:F500,'Cash Transactions'!B6:B500,B199),0)</f>
        <v>0</v>
      </c>
      <c r="G199" s="22"/>
      <c r="H199" s="31" t="n">
        <f aca="false">D199+E199+IF(G199&gt;0,G199,F199)</f>
        <v>36.77</v>
      </c>
      <c r="I199" s="35"/>
      <c r="J199" s="31" t="n">
        <f aca="false">IFERROR(H199/I199,0)</f>
        <v>0</v>
      </c>
      <c r="K199" s="16"/>
    </row>
    <row r="200" customFormat="false" ht="15" hidden="false" customHeight="true" outlineLevel="0" collapsed="false">
      <c r="B200" s="34" t="n">
        <v>46095</v>
      </c>
      <c r="C200" s="14" t="str">
        <f aca="false">IFERROR(TEXT(B200,"ddd"),"")</f>
        <v>Sat</v>
      </c>
      <c r="D200" s="22" t="n">
        <v>103.57</v>
      </c>
      <c r="E200" s="22"/>
      <c r="F200" s="31" t="n">
        <f aca="false">IFERROR(SUMIFS('Cash Transactions'!F6:F500,'Cash Transactions'!B6:B500,B200),0)</f>
        <v>0</v>
      </c>
      <c r="G200" s="22"/>
      <c r="H200" s="31" t="n">
        <f aca="false">D200+E200+IF(G200&gt;0,G200,F200)</f>
        <v>103.57</v>
      </c>
      <c r="I200" s="35"/>
      <c r="J200" s="31" t="n">
        <f aca="false">IFERROR(H200/I200,0)</f>
        <v>0</v>
      </c>
      <c r="K200" s="16"/>
    </row>
    <row r="201" customFormat="false" ht="15" hidden="false" customHeight="true" outlineLevel="0" collapsed="false">
      <c r="B201" s="34" t="n">
        <v>46096</v>
      </c>
      <c r="C201" s="14" t="str">
        <f aca="false">IFERROR(TEXT(B201,"ddd"),"")</f>
        <v>Sun</v>
      </c>
      <c r="D201" s="22" t="n">
        <v>97.8</v>
      </c>
      <c r="E201" s="22"/>
      <c r="F201" s="31" t="n">
        <f aca="false">IFERROR(SUMIFS('Cash Transactions'!F6:F500,'Cash Transactions'!B6:B500,B201),0)</f>
        <v>0</v>
      </c>
      <c r="G201" s="22"/>
      <c r="H201" s="31" t="n">
        <f aca="false">D201+E201+IF(G201&gt;0,G201,F201)</f>
        <v>97.8</v>
      </c>
      <c r="I201" s="35"/>
      <c r="J201" s="31" t="n">
        <f aca="false">IFERROR(H201/I201,0)</f>
        <v>0</v>
      </c>
      <c r="K201" s="16"/>
    </row>
    <row r="202" customFormat="false" ht="15" hidden="false" customHeight="true" outlineLevel="0" collapsed="false">
      <c r="B202" s="34" t="n">
        <v>46097</v>
      </c>
      <c r="C202" s="14" t="str">
        <f aca="false">IFERROR(TEXT(B202,"ddd"),"")</f>
        <v>Mon</v>
      </c>
      <c r="D202" s="22" t="n">
        <v>110.05</v>
      </c>
      <c r="E202" s="22"/>
      <c r="F202" s="31" t="n">
        <f aca="false">IFERROR(SUMIFS('Cash Transactions'!F6:F500,'Cash Transactions'!B6:B500,B202),0)</f>
        <v>0</v>
      </c>
      <c r="G202" s="22"/>
      <c r="H202" s="31" t="n">
        <f aca="false">D202+E202+IF(G202&gt;0,G202,F202)</f>
        <v>110.05</v>
      </c>
      <c r="I202" s="35"/>
      <c r="J202" s="31" t="n">
        <f aca="false">IFERROR(H202/I202,0)</f>
        <v>0</v>
      </c>
      <c r="K202" s="16"/>
    </row>
    <row r="203" customFormat="false" ht="15" hidden="false" customHeight="true" outlineLevel="0" collapsed="false">
      <c r="B203" s="34" t="n">
        <v>46098</v>
      </c>
      <c r="C203" s="14" t="str">
        <f aca="false">IFERROR(TEXT(B203,"ddd"),"")</f>
        <v>Tue</v>
      </c>
      <c r="D203" s="22" t="n">
        <v>82.95</v>
      </c>
      <c r="E203" s="22"/>
      <c r="F203" s="31" t="n">
        <f aca="false">IFERROR(SUMIFS('Cash Transactions'!F6:F500,'Cash Transactions'!B6:B500,B203),0)</f>
        <v>0</v>
      </c>
      <c r="G203" s="22"/>
      <c r="H203" s="31" t="n">
        <f aca="false">D203+E203+IF(G203&gt;0,G203,F203)</f>
        <v>82.95</v>
      </c>
      <c r="I203" s="35"/>
      <c r="J203" s="31" t="n">
        <f aca="false">IFERROR(H203/I203,0)</f>
        <v>0</v>
      </c>
      <c r="K203" s="16"/>
    </row>
    <row r="204" customFormat="false" ht="15" hidden="false" customHeight="true" outlineLevel="0" collapsed="false">
      <c r="B204" s="34" t="n">
        <v>46099</v>
      </c>
      <c r="C204" s="14" t="str">
        <f aca="false">IFERROR(TEXT(B204,"ddd"),"")</f>
        <v>Wed</v>
      </c>
      <c r="D204" s="22" t="n">
        <v>108.96</v>
      </c>
      <c r="E204" s="22"/>
      <c r="F204" s="31" t="n">
        <f aca="false">IFERROR(SUMIFS('Cash Transactions'!F6:F500,'Cash Transactions'!B6:B500,B204),0)</f>
        <v>0</v>
      </c>
      <c r="G204" s="22"/>
      <c r="H204" s="31" t="n">
        <f aca="false">D204+E204+IF(G204&gt;0,G204,F204)</f>
        <v>108.96</v>
      </c>
      <c r="I204" s="35"/>
      <c r="J204" s="31" t="n">
        <f aca="false">IFERROR(H204/I204,0)</f>
        <v>0</v>
      </c>
      <c r="K204" s="16"/>
    </row>
    <row r="205" customFormat="false" ht="15" hidden="false" customHeight="true" outlineLevel="0" collapsed="false">
      <c r="B205" s="34" t="n">
        <v>46100</v>
      </c>
      <c r="C205" s="14" t="str">
        <f aca="false">IFERROR(TEXT(B205,"ddd"),"")</f>
        <v>Thu</v>
      </c>
      <c r="D205" s="22" t="n">
        <v>122.3</v>
      </c>
      <c r="E205" s="22"/>
      <c r="F205" s="31" t="n">
        <f aca="false">IFERROR(SUMIFS('Cash Transactions'!F6:F500,'Cash Transactions'!B6:B500,B205),0)</f>
        <v>0</v>
      </c>
      <c r="G205" s="22"/>
      <c r="H205" s="31" t="n">
        <f aca="false">D205+E205+IF(G205&gt;0,G205,F205)</f>
        <v>122.3</v>
      </c>
      <c r="I205" s="35"/>
      <c r="J205" s="31" t="n">
        <f aca="false">IFERROR(H205/I205,0)</f>
        <v>0</v>
      </c>
      <c r="K205" s="16"/>
    </row>
    <row r="206" customFormat="false" ht="15" hidden="false" customHeight="true" outlineLevel="0" collapsed="false">
      <c r="B206" s="34" t="n">
        <v>46101</v>
      </c>
      <c r="C206" s="14" t="str">
        <f aca="false">IFERROR(TEXT(B206,"ddd"),"")</f>
        <v>Fri</v>
      </c>
      <c r="D206" s="22" t="n">
        <v>100.66</v>
      </c>
      <c r="E206" s="22" t="n">
        <v>15.64</v>
      </c>
      <c r="F206" s="31" t="n">
        <f aca="false">IFERROR(SUMIFS('Cash Transactions'!F6:F500,'Cash Transactions'!B6:B500,B206),0)</f>
        <v>0</v>
      </c>
      <c r="G206" s="22"/>
      <c r="H206" s="31" t="n">
        <f aca="false">D206+E206+IF(G206&gt;0,G206,F206)</f>
        <v>116.3</v>
      </c>
      <c r="I206" s="35"/>
      <c r="J206" s="31" t="n">
        <f aca="false">IFERROR(H206/I206,0)</f>
        <v>0</v>
      </c>
      <c r="K206" s="16" t="s">
        <v>540</v>
      </c>
    </row>
    <row r="207" customFormat="false" ht="15" hidden="false" customHeight="true" outlineLevel="0" collapsed="false">
      <c r="B207" s="34" t="n">
        <v>46102</v>
      </c>
      <c r="C207" s="14" t="str">
        <f aca="false">IFERROR(TEXT(B207,"ddd"),"")</f>
        <v>Sat</v>
      </c>
      <c r="D207" s="22" t="n">
        <v>68.89</v>
      </c>
      <c r="E207" s="22"/>
      <c r="F207" s="31" t="n">
        <f aca="false">IFERROR(SUMIFS('Cash Transactions'!F6:F500,'Cash Transactions'!B6:B500,B207),0)</f>
        <v>0</v>
      </c>
      <c r="G207" s="22"/>
      <c r="H207" s="31" t="n">
        <f aca="false">D207+E207+IF(G207&gt;0,G207,F207)</f>
        <v>68.89</v>
      </c>
      <c r="I207" s="35"/>
      <c r="J207" s="31" t="n">
        <f aca="false">IFERROR(H207/I207,0)</f>
        <v>0</v>
      </c>
      <c r="K207" s="16"/>
    </row>
    <row r="208" customFormat="false" ht="15" hidden="false" customHeight="true" outlineLevel="0" collapsed="false">
      <c r="B208" s="34" t="n">
        <v>46103</v>
      </c>
      <c r="C208" s="14" t="str">
        <f aca="false">IFERROR(TEXT(B208,"ddd"),"")</f>
        <v>Sun</v>
      </c>
      <c r="D208" s="22" t="n">
        <v>60.83</v>
      </c>
      <c r="E208" s="22"/>
      <c r="F208" s="31" t="n">
        <f aca="false">IFERROR(SUMIFS('Cash Transactions'!F6:F500,'Cash Transactions'!B6:B500,B208),0)</f>
        <v>0</v>
      </c>
      <c r="G208" s="22"/>
      <c r="H208" s="31" t="n">
        <f aca="false">D208+E208+IF(G208&gt;0,G208,F208)</f>
        <v>60.83</v>
      </c>
      <c r="I208" s="35"/>
      <c r="J208" s="31" t="n">
        <f aca="false">IFERROR(H208/I208,0)</f>
        <v>0</v>
      </c>
      <c r="K208" s="16"/>
    </row>
    <row r="209" customFormat="false" ht="15" hidden="false" customHeight="true" outlineLevel="0" collapsed="false">
      <c r="B209" s="34" t="n">
        <v>46104</v>
      </c>
      <c r="C209" s="14" t="str">
        <f aca="false">IFERROR(TEXT(B209,"ddd"),"")</f>
        <v>Mon</v>
      </c>
      <c r="D209" s="22" t="n">
        <v>90.59</v>
      </c>
      <c r="E209" s="22"/>
      <c r="F209" s="31" t="n">
        <f aca="false">IFERROR(SUMIFS('Cash Transactions'!F6:F500,'Cash Transactions'!B6:B500,B209),0)</f>
        <v>0</v>
      </c>
      <c r="G209" s="22"/>
      <c r="H209" s="31" t="n">
        <f aca="false">D209+E209+IF(G209&gt;0,G209,F209)</f>
        <v>90.59</v>
      </c>
      <c r="I209" s="35"/>
      <c r="J209" s="31" t="n">
        <f aca="false">IFERROR(H209/I209,0)</f>
        <v>0</v>
      </c>
      <c r="K209" s="16"/>
    </row>
    <row r="210" customFormat="false" ht="15" hidden="false" customHeight="true" outlineLevel="0" collapsed="false">
      <c r="B210" s="34" t="n">
        <v>46105</v>
      </c>
      <c r="C210" s="14" t="str">
        <f aca="false">IFERROR(TEXT(B210,"ddd"),"")</f>
        <v>Tue</v>
      </c>
      <c r="D210" s="22" t="n">
        <v>78.32</v>
      </c>
      <c r="E210" s="22"/>
      <c r="F210" s="31" t="n">
        <f aca="false">IFERROR(SUMIFS('Cash Transactions'!F6:F500,'Cash Transactions'!B6:B500,B210),0)</f>
        <v>0</v>
      </c>
      <c r="G210" s="22"/>
      <c r="H210" s="31" t="n">
        <f aca="false">D210+E210+IF(G210&gt;0,G210,F210)</f>
        <v>78.32</v>
      </c>
      <c r="I210" s="35"/>
      <c r="J210" s="31" t="n">
        <f aca="false">IFERROR(H210/I210,0)</f>
        <v>0</v>
      </c>
      <c r="K210" s="16"/>
    </row>
    <row r="211" customFormat="false" ht="15" hidden="false" customHeight="true" outlineLevel="0" collapsed="false">
      <c r="B211" s="34" t="n">
        <v>46106</v>
      </c>
      <c r="C211" s="14" t="str">
        <f aca="false">IFERROR(TEXT(B211,"ddd"),"")</f>
        <v>Wed</v>
      </c>
      <c r="D211" s="22" t="n">
        <v>39.96</v>
      </c>
      <c r="E211" s="22"/>
      <c r="F211" s="31" t="n">
        <f aca="false">IFERROR(SUMIFS('Cash Transactions'!F6:F500,'Cash Transactions'!B6:B500,B211),0)</f>
        <v>0</v>
      </c>
      <c r="G211" s="22"/>
      <c r="H211" s="31" t="n">
        <f aca="false">D211+E211+IF(G211&gt;0,G211,F211)</f>
        <v>39.96</v>
      </c>
      <c r="I211" s="35"/>
      <c r="J211" s="31" t="n">
        <f aca="false">IFERROR(H211/I211,0)</f>
        <v>0</v>
      </c>
      <c r="K211" s="16"/>
    </row>
    <row r="212" customFormat="false" ht="15" hidden="false" customHeight="true" outlineLevel="0" collapsed="false">
      <c r="B212" s="34" t="n">
        <v>46107</v>
      </c>
      <c r="C212" s="14" t="str">
        <f aca="false">IFERROR(TEXT(B212,"ddd"),"")</f>
        <v>Thu</v>
      </c>
      <c r="D212" s="22" t="n">
        <v>51.88</v>
      </c>
      <c r="E212" s="22"/>
      <c r="F212" s="31" t="n">
        <f aca="false">IFERROR(SUMIFS('Cash Transactions'!F6:F500,'Cash Transactions'!B6:B500,B212),0)</f>
        <v>0</v>
      </c>
      <c r="G212" s="22"/>
      <c r="H212" s="31" t="n">
        <f aca="false">D212+E212+IF(G212&gt;0,G212,F212)</f>
        <v>51.88</v>
      </c>
      <c r="I212" s="35"/>
      <c r="J212" s="31" t="n">
        <f aca="false">IFERROR(H212/I212,0)</f>
        <v>0</v>
      </c>
      <c r="K212" s="16"/>
    </row>
    <row r="213" customFormat="false" ht="15" hidden="false" customHeight="true" outlineLevel="0" collapsed="false">
      <c r="B213" s="34" t="n">
        <v>46108</v>
      </c>
      <c r="C213" s="14" t="str">
        <f aca="false">IFERROR(TEXT(B213,"ddd"),"")</f>
        <v>Fri</v>
      </c>
      <c r="D213" s="22" t="n">
        <v>95.18</v>
      </c>
      <c r="E213" s="22" t="n">
        <v>16.13</v>
      </c>
      <c r="F213" s="31" t="n">
        <f aca="false">IFERROR(SUMIFS('Cash Transactions'!F6:F500,'Cash Transactions'!B6:B500,B213),0)</f>
        <v>0</v>
      </c>
      <c r="G213" s="22"/>
      <c r="H213" s="31" t="n">
        <f aca="false">D213+E213+IF(G213&gt;0,G213,F213)</f>
        <v>111.31</v>
      </c>
      <c r="I213" s="35"/>
      <c r="J213" s="31" t="n">
        <f aca="false">IFERROR(H213/I213,0)</f>
        <v>0</v>
      </c>
      <c r="K213" s="16" t="s">
        <v>541</v>
      </c>
    </row>
    <row r="214" customFormat="false" ht="15" hidden="false" customHeight="true" outlineLevel="0" collapsed="false">
      <c r="B214" s="34" t="n">
        <v>46109</v>
      </c>
      <c r="C214" s="14" t="str">
        <f aca="false">IFERROR(TEXT(B214,"ddd"),"")</f>
        <v>Sat</v>
      </c>
      <c r="D214" s="22" t="n">
        <v>70.84</v>
      </c>
      <c r="E214" s="22"/>
      <c r="F214" s="31" t="n">
        <f aca="false">IFERROR(SUMIFS('Cash Transactions'!F6:F500,'Cash Transactions'!B6:B500,B214),0)</f>
        <v>0</v>
      </c>
      <c r="G214" s="22"/>
      <c r="H214" s="31" t="n">
        <f aca="false">D214+E214+IF(G214&gt;0,G214,F214)</f>
        <v>70.84</v>
      </c>
      <c r="I214" s="35"/>
      <c r="J214" s="31" t="n">
        <f aca="false">IFERROR(H214/I214,0)</f>
        <v>0</v>
      </c>
      <c r="K214" s="16"/>
    </row>
    <row r="215" customFormat="false" ht="15" hidden="false" customHeight="true" outlineLevel="0" collapsed="false">
      <c r="B215" s="34" t="n">
        <v>46110</v>
      </c>
      <c r="C215" s="14" t="str">
        <f aca="false">IFERROR(TEXT(B215,"ddd"),"")</f>
        <v>Sun</v>
      </c>
      <c r="D215" s="22" t="n">
        <v>126.19</v>
      </c>
      <c r="E215" s="22"/>
      <c r="F215" s="31" t="n">
        <f aca="false">IFERROR(SUMIFS('Cash Transactions'!F6:F500,'Cash Transactions'!B6:B500,B215),0)</f>
        <v>0</v>
      </c>
      <c r="G215" s="22"/>
      <c r="H215" s="31" t="n">
        <f aca="false">D215+E215+IF(G215&gt;0,G215,F215)</f>
        <v>126.19</v>
      </c>
      <c r="I215" s="35"/>
      <c r="J215" s="31" t="n">
        <f aca="false">IFERROR(H215/I215,0)</f>
        <v>0</v>
      </c>
      <c r="K215" s="16"/>
    </row>
    <row r="216" customFormat="false" ht="15" hidden="false" customHeight="true" outlineLevel="0" collapsed="false">
      <c r="B216" s="34" t="n">
        <v>46111</v>
      </c>
      <c r="C216" s="14" t="str">
        <f aca="false">IFERROR(TEXT(B216,"ddd"),"")</f>
        <v>Mon</v>
      </c>
      <c r="D216" s="22" t="n">
        <v>23.92</v>
      </c>
      <c r="E216" s="22"/>
      <c r="F216" s="31" t="n">
        <f aca="false">IFERROR(SUMIFS('Cash Transactions'!F6:F500,'Cash Transactions'!B6:B500,B216),0)</f>
        <v>0</v>
      </c>
      <c r="G216" s="22"/>
      <c r="H216" s="31" t="n">
        <f aca="false">D216+E216+IF(G216&gt;0,G216,F216)</f>
        <v>23.92</v>
      </c>
      <c r="I216" s="35"/>
      <c r="J216" s="31" t="n">
        <f aca="false">IFERROR(H216/I216,0)</f>
        <v>0</v>
      </c>
      <c r="K216" s="16"/>
    </row>
    <row r="217" customFormat="false" ht="15" hidden="false" customHeight="true" outlineLevel="0" collapsed="false">
      <c r="B217" s="34" t="n">
        <v>46112</v>
      </c>
      <c r="C217" s="14" t="str">
        <f aca="false">IFERROR(TEXT(B217,"ddd"),"")</f>
        <v>Tue</v>
      </c>
      <c r="D217" s="22" t="n">
        <v>43.71</v>
      </c>
      <c r="E217" s="22"/>
      <c r="F217" s="31" t="n">
        <f aca="false">IFERROR(SUMIFS('Cash Transactions'!F6:F500,'Cash Transactions'!B6:B500,B217),0)</f>
        <v>0</v>
      </c>
      <c r="G217" s="22"/>
      <c r="H217" s="31" t="n">
        <f aca="false">D217+E217+IF(G217&gt;0,G217,F217)</f>
        <v>43.71</v>
      </c>
      <c r="I217" s="35"/>
      <c r="J217" s="31" t="n">
        <f aca="false">IFERROR(H217/I217,0)</f>
        <v>0</v>
      </c>
      <c r="K217" s="16"/>
    </row>
    <row r="218" customFormat="false" ht="15" hidden="false" customHeight="true" outlineLevel="0" collapsed="false">
      <c r="B218" s="34" t="n">
        <v>46113</v>
      </c>
      <c r="C218" s="14" t="str">
        <f aca="false">IFERROR(TEXT(B218,"ddd"),"")</f>
        <v>Wed</v>
      </c>
      <c r="D218" s="22"/>
      <c r="E218" s="22"/>
      <c r="F218" s="31" t="n">
        <f aca="false">IFERROR(SUMIFS('Cash Transactions'!F6:F500,'Cash Transactions'!B6:B500,B218),0)</f>
        <v>0</v>
      </c>
      <c r="G218" s="22"/>
      <c r="H218" s="31" t="n">
        <f aca="false">D218+E218+IF(G218&gt;0,G218,F218)</f>
        <v>0</v>
      </c>
      <c r="I218" s="35"/>
      <c r="J218" s="31" t="n">
        <f aca="false">IFERROR(H218/I218,0)</f>
        <v>0</v>
      </c>
      <c r="K218" s="16"/>
    </row>
    <row r="219" customFormat="false" ht="15" hidden="false" customHeight="true" outlineLevel="0" collapsed="false">
      <c r="B219" s="34" t="n">
        <v>46114</v>
      </c>
      <c r="C219" s="14" t="str">
        <f aca="false">IFERROR(TEXT(B219,"ddd"),"")</f>
        <v>Thu</v>
      </c>
      <c r="D219" s="22"/>
      <c r="E219" s="22"/>
      <c r="F219" s="31" t="n">
        <f aca="false">IFERROR(SUMIFS('Cash Transactions'!F6:F500,'Cash Transactions'!B6:B500,B219),0)</f>
        <v>0</v>
      </c>
      <c r="G219" s="22"/>
      <c r="H219" s="31" t="n">
        <f aca="false">D219+E219+IF(G219&gt;0,G219,F219)</f>
        <v>0</v>
      </c>
      <c r="I219" s="35"/>
      <c r="J219" s="31" t="n">
        <f aca="false">IFERROR(H219/I219,0)</f>
        <v>0</v>
      </c>
      <c r="K219" s="16"/>
    </row>
    <row r="220" customFormat="false" ht="15" hidden="false" customHeight="true" outlineLevel="0" collapsed="false">
      <c r="B220" s="34" t="n">
        <v>46115</v>
      </c>
      <c r="C220" s="14" t="str">
        <f aca="false">IFERROR(TEXT(B220,"ddd"),"")</f>
        <v>Fri</v>
      </c>
      <c r="D220" s="22"/>
      <c r="E220" s="22"/>
      <c r="F220" s="31" t="n">
        <f aca="false">IFERROR(SUMIFS('Cash Transactions'!F6:F500,'Cash Transactions'!B6:B500,B220),0)</f>
        <v>0</v>
      </c>
      <c r="G220" s="22"/>
      <c r="H220" s="31" t="n">
        <f aca="false">D220+E220+IF(G220&gt;0,G220,F220)</f>
        <v>0</v>
      </c>
      <c r="I220" s="35"/>
      <c r="J220" s="31" t="n">
        <f aca="false">IFERROR(H220/I220,0)</f>
        <v>0</v>
      </c>
      <c r="K220" s="16"/>
    </row>
    <row r="221" customFormat="false" ht="15" hidden="false" customHeight="true" outlineLevel="0" collapsed="false">
      <c r="B221" s="34" t="n">
        <v>46116</v>
      </c>
      <c r="C221" s="14" t="str">
        <f aca="false">IFERROR(TEXT(B221,"ddd"),"")</f>
        <v>Sat</v>
      </c>
      <c r="D221" s="22"/>
      <c r="E221" s="22"/>
      <c r="F221" s="31" t="n">
        <f aca="false">IFERROR(SUMIFS('Cash Transactions'!F6:F500,'Cash Transactions'!B6:B500,B221),0)</f>
        <v>0</v>
      </c>
      <c r="G221" s="22"/>
      <c r="H221" s="31" t="n">
        <f aca="false">D221+E221+IF(G221&gt;0,G221,F221)</f>
        <v>0</v>
      </c>
      <c r="I221" s="35"/>
      <c r="J221" s="31" t="n">
        <f aca="false">IFERROR(H221/I221,0)</f>
        <v>0</v>
      </c>
      <c r="K221" s="16"/>
    </row>
    <row r="222" customFormat="false" ht="15" hidden="false" customHeight="true" outlineLevel="0" collapsed="false">
      <c r="B222" s="34" t="n">
        <v>46117</v>
      </c>
      <c r="C222" s="14" t="str">
        <f aca="false">IFERROR(TEXT(B222,"ddd"),"")</f>
        <v>Sun</v>
      </c>
      <c r="D222" s="22"/>
      <c r="E222" s="22"/>
      <c r="F222" s="31" t="n">
        <f aca="false">IFERROR(SUMIFS('Cash Transactions'!F6:F500,'Cash Transactions'!B6:B500,B222),0)</f>
        <v>0</v>
      </c>
      <c r="G222" s="22"/>
      <c r="H222" s="31" t="n">
        <f aca="false">D222+E222+IF(G222&gt;0,G222,F222)</f>
        <v>0</v>
      </c>
      <c r="I222" s="35"/>
      <c r="J222" s="31" t="n">
        <f aca="false">IFERROR(H222/I222,0)</f>
        <v>0</v>
      </c>
      <c r="K222" s="16"/>
    </row>
    <row r="223" customFormat="false" ht="15" hidden="false" customHeight="true" outlineLevel="0" collapsed="false">
      <c r="B223" s="34" t="n">
        <v>46118</v>
      </c>
      <c r="C223" s="14" t="str">
        <f aca="false">IFERROR(TEXT(B223,"ddd"),"")</f>
        <v>Mon</v>
      </c>
      <c r="D223" s="22"/>
      <c r="E223" s="22"/>
      <c r="F223" s="31" t="n">
        <f aca="false">IFERROR(SUMIFS('Cash Transactions'!F6:F500,'Cash Transactions'!B6:B500,B223),0)</f>
        <v>0</v>
      </c>
      <c r="G223" s="22"/>
      <c r="H223" s="31" t="n">
        <f aca="false">D223+E223+IF(G223&gt;0,G223,F223)</f>
        <v>0</v>
      </c>
      <c r="I223" s="35"/>
      <c r="J223" s="31" t="n">
        <f aca="false">IFERROR(H223/I223,0)</f>
        <v>0</v>
      </c>
      <c r="K223" s="16"/>
    </row>
    <row r="224" customFormat="false" ht="15" hidden="false" customHeight="true" outlineLevel="0" collapsed="false">
      <c r="B224" s="34" t="n">
        <v>46119</v>
      </c>
      <c r="C224" s="14" t="str">
        <f aca="false">IFERROR(TEXT(B224,"ddd"),"")</f>
        <v>Tue</v>
      </c>
      <c r="D224" s="22"/>
      <c r="E224" s="22"/>
      <c r="F224" s="31" t="n">
        <f aca="false">IFERROR(SUMIFS('Cash Transactions'!F6:F500,'Cash Transactions'!B6:B500,B224),0)</f>
        <v>0</v>
      </c>
      <c r="G224" s="22"/>
      <c r="H224" s="31" t="n">
        <f aca="false">D224+E224+IF(G224&gt;0,G224,F224)</f>
        <v>0</v>
      </c>
      <c r="I224" s="35"/>
      <c r="J224" s="31" t="n">
        <f aca="false">IFERROR(H224/I224,0)</f>
        <v>0</v>
      </c>
      <c r="K224" s="16"/>
    </row>
    <row r="225" customFormat="false" ht="15" hidden="false" customHeight="true" outlineLevel="0" collapsed="false">
      <c r="B225" s="34" t="n">
        <v>46120</v>
      </c>
      <c r="C225" s="14" t="str">
        <f aca="false">IFERROR(TEXT(B225,"ddd"),"")</f>
        <v>Wed</v>
      </c>
      <c r="D225" s="22" t="n">
        <v>60.75</v>
      </c>
      <c r="E225" s="22"/>
      <c r="F225" s="31" t="n">
        <f aca="false">IFERROR(SUMIFS('Cash Transactions'!F6:F500,'Cash Transactions'!B6:B500,B225),0)</f>
        <v>0</v>
      </c>
      <c r="G225" s="22"/>
      <c r="H225" s="31" t="n">
        <f aca="false">D225+E225+IF(G225&gt;0,G225,F225)</f>
        <v>60.75</v>
      </c>
      <c r="I225" s="35"/>
      <c r="J225" s="31" t="n">
        <f aca="false">IFERROR(H225/I225,0)</f>
        <v>0</v>
      </c>
      <c r="K225" s="16"/>
    </row>
    <row r="226" customFormat="false" ht="15" hidden="false" customHeight="true" outlineLevel="0" collapsed="false">
      <c r="B226" s="34" t="n">
        <v>46121</v>
      </c>
      <c r="C226" s="14" t="str">
        <f aca="false">IFERROR(TEXT(B226,"ddd"),"")</f>
        <v>Thu</v>
      </c>
      <c r="D226" s="22" t="n">
        <v>67.3</v>
      </c>
      <c r="E226" s="22"/>
      <c r="F226" s="31" t="n">
        <f aca="false">IFERROR(SUMIFS('Cash Transactions'!F6:F500,'Cash Transactions'!B6:B500,B226),0)</f>
        <v>0</v>
      </c>
      <c r="G226" s="22"/>
      <c r="H226" s="31" t="n">
        <f aca="false">D226+E226+IF(G226&gt;0,G226,F226)</f>
        <v>67.3</v>
      </c>
      <c r="I226" s="35"/>
      <c r="J226" s="31" t="n">
        <f aca="false">IFERROR(H226/I226,0)</f>
        <v>0</v>
      </c>
      <c r="K226" s="16"/>
    </row>
    <row r="227" customFormat="false" ht="15" hidden="false" customHeight="true" outlineLevel="0" collapsed="false">
      <c r="B227" s="34" t="n">
        <v>46122</v>
      </c>
      <c r="C227" s="14" t="str">
        <f aca="false">IFERROR(TEXT(B227,"ddd"),"")</f>
        <v>Fri</v>
      </c>
      <c r="D227" s="22" t="n">
        <v>65.7</v>
      </c>
      <c r="E227" s="22"/>
      <c r="F227" s="31" t="n">
        <f aca="false">IFERROR(SUMIFS('Cash Transactions'!F6:F500,'Cash Transactions'!B6:B500,B227),0)</f>
        <v>0</v>
      </c>
      <c r="G227" s="22"/>
      <c r="H227" s="31" t="n">
        <f aca="false">D227+E227+IF(G227&gt;0,G227,F227)</f>
        <v>65.7</v>
      </c>
      <c r="I227" s="35"/>
      <c r="J227" s="31" t="n">
        <f aca="false">IFERROR(H227/I227,0)</f>
        <v>0</v>
      </c>
      <c r="K227" s="16"/>
    </row>
    <row r="228" customFormat="false" ht="15" hidden="false" customHeight="true" outlineLevel="0" collapsed="false">
      <c r="B228" s="34" t="n">
        <v>46123</v>
      </c>
      <c r="C228" s="14" t="str">
        <f aca="false">IFERROR(TEXT(B228,"ddd"),"")</f>
        <v>Sat</v>
      </c>
      <c r="D228" s="22" t="n">
        <v>59.15</v>
      </c>
      <c r="E228" s="22"/>
      <c r="F228" s="31" t="n">
        <f aca="false">IFERROR(SUMIFS('Cash Transactions'!F6:F500,'Cash Transactions'!B6:B500,B228),0)</f>
        <v>0</v>
      </c>
      <c r="G228" s="22"/>
      <c r="H228" s="31" t="n">
        <f aca="false">D228+E228+IF(G228&gt;0,G228,F228)</f>
        <v>59.15</v>
      </c>
      <c r="I228" s="35"/>
      <c r="J228" s="31" t="n">
        <f aca="false">IFERROR(H228/I228,0)</f>
        <v>0</v>
      </c>
      <c r="K228" s="16"/>
    </row>
    <row r="229" customFormat="false" ht="15" hidden="false" customHeight="true" outlineLevel="0" collapsed="false">
      <c r="B229" s="34" t="n">
        <v>46124</v>
      </c>
      <c r="C229" s="14" t="str">
        <f aca="false">IFERROR(TEXT(B229,"ddd"),"")</f>
        <v>Sun</v>
      </c>
      <c r="D229" s="22" t="n">
        <v>78.9</v>
      </c>
      <c r="E229" s="22"/>
      <c r="F229" s="31" t="n">
        <f aca="false">IFERROR(SUMIFS('Cash Transactions'!F6:F500,'Cash Transactions'!B6:B500,B229),0)</f>
        <v>0</v>
      </c>
      <c r="G229" s="22"/>
      <c r="H229" s="31" t="n">
        <f aca="false">D229+E229+IF(G229&gt;0,G229,F229)</f>
        <v>78.9</v>
      </c>
      <c r="I229" s="35"/>
      <c r="J229" s="31" t="n">
        <f aca="false">IFERROR(H229/I229,0)</f>
        <v>0</v>
      </c>
      <c r="K229" s="16"/>
    </row>
    <row r="230" customFormat="false" ht="15" hidden="false" customHeight="true" outlineLevel="0" collapsed="false">
      <c r="B230" s="34" t="n">
        <v>46125</v>
      </c>
      <c r="C230" s="14" t="str">
        <f aca="false">IFERROR(TEXT(B230,"ddd"),"")</f>
        <v>Mon</v>
      </c>
      <c r="D230" s="22" t="n">
        <v>32.9</v>
      </c>
      <c r="E230" s="22"/>
      <c r="F230" s="31" t="n">
        <f aca="false">IFERROR(SUMIFS('Cash Transactions'!F6:F500,'Cash Transactions'!B6:B500,B230),0)</f>
        <v>0</v>
      </c>
      <c r="G230" s="22"/>
      <c r="H230" s="31" t="n">
        <f aca="false">D230+E230+IF(G230&gt;0,G230,F230)</f>
        <v>32.9</v>
      </c>
      <c r="I230" s="35"/>
      <c r="J230" s="31" t="n">
        <f aca="false">IFERROR(H230/I230,0)</f>
        <v>0</v>
      </c>
      <c r="K230" s="16"/>
    </row>
    <row r="231" customFormat="false" ht="15" hidden="false" customHeight="true" outlineLevel="0" collapsed="false">
      <c r="B231" s="34" t="n">
        <v>46126</v>
      </c>
      <c r="C231" s="14" t="str">
        <f aca="false">IFERROR(TEXT(B231,"ddd"),"")</f>
        <v>Tue</v>
      </c>
      <c r="D231" s="22" t="n">
        <v>25.65</v>
      </c>
      <c r="E231" s="22"/>
      <c r="F231" s="31" t="n">
        <f aca="false">IFERROR(SUMIFS('Cash Transactions'!F6:F500,'Cash Transactions'!B6:B500,B231),0)</f>
        <v>0</v>
      </c>
      <c r="G231" s="22"/>
      <c r="H231" s="31" t="n">
        <f aca="false">D231+E231+IF(G231&gt;0,G231,F231)</f>
        <v>25.65</v>
      </c>
      <c r="I231" s="35"/>
      <c r="J231" s="31" t="n">
        <f aca="false">IFERROR(H231/I231,0)</f>
        <v>0</v>
      </c>
      <c r="K231" s="16"/>
    </row>
    <row r="232" customFormat="false" ht="15" hidden="false" customHeight="true" outlineLevel="0" collapsed="false">
      <c r="B232" s="34" t="n">
        <v>46127</v>
      </c>
      <c r="C232" s="14" t="str">
        <f aca="false">IFERROR(TEXT(B232,"ddd"),"")</f>
        <v>Wed</v>
      </c>
      <c r="D232" s="22" t="n">
        <v>77.55</v>
      </c>
      <c r="E232" s="22"/>
      <c r="F232" s="31" t="n">
        <f aca="false">IFERROR(SUMIFS('Cash Transactions'!F6:F500,'Cash Transactions'!B6:B500,B232),0)</f>
        <v>0</v>
      </c>
      <c r="G232" s="22"/>
      <c r="H232" s="31" t="n">
        <f aca="false">D232+E232+IF(G232&gt;0,G232,F232)</f>
        <v>77.55</v>
      </c>
      <c r="I232" s="35"/>
      <c r="J232" s="31" t="n">
        <f aca="false">IFERROR(H232/I232,0)</f>
        <v>0</v>
      </c>
      <c r="K232" s="16"/>
    </row>
    <row r="233" customFormat="false" ht="15" hidden="false" customHeight="true" outlineLevel="0" collapsed="false">
      <c r="B233" s="34" t="n">
        <v>46128</v>
      </c>
      <c r="C233" s="14" t="str">
        <f aca="false">IFERROR(TEXT(B233,"ddd"),"")</f>
        <v>Thu</v>
      </c>
      <c r="D233" s="22" t="n">
        <v>79.2</v>
      </c>
      <c r="E233" s="22"/>
      <c r="F233" s="31" t="n">
        <f aca="false">IFERROR(SUMIFS('Cash Transactions'!F6:F500,'Cash Transactions'!B6:B500,B233),0)</f>
        <v>0</v>
      </c>
      <c r="G233" s="22"/>
      <c r="H233" s="31" t="n">
        <f aca="false">D233+E233+IF(G233&gt;0,G233,F233)</f>
        <v>79.2</v>
      </c>
      <c r="I233" s="35"/>
      <c r="J233" s="31" t="n">
        <f aca="false">IFERROR(H233/I233,0)</f>
        <v>0</v>
      </c>
      <c r="K233" s="16"/>
    </row>
    <row r="234" customFormat="false" ht="15" hidden="false" customHeight="true" outlineLevel="0" collapsed="false">
      <c r="B234" s="34" t="n">
        <v>46129</v>
      </c>
      <c r="C234" s="14" t="str">
        <f aca="false">IFERROR(TEXT(B234,"ddd"),"")</f>
        <v>Fri</v>
      </c>
      <c r="D234" s="22" t="n">
        <v>39</v>
      </c>
      <c r="E234" s="22"/>
      <c r="F234" s="31" t="n">
        <f aca="false">IFERROR(SUMIFS('Cash Transactions'!F6:F500,'Cash Transactions'!B6:B500,B234),0)</f>
        <v>0</v>
      </c>
      <c r="G234" s="22"/>
      <c r="H234" s="31" t="n">
        <f aca="false">D234+E234+IF(G234&gt;0,G234,F234)</f>
        <v>39</v>
      </c>
      <c r="I234" s="35"/>
      <c r="J234" s="31" t="n">
        <f aca="false">IFERROR(H234/I234,0)</f>
        <v>0</v>
      </c>
      <c r="K234" s="16"/>
    </row>
    <row r="235" customFormat="false" ht="15" hidden="false" customHeight="true" outlineLevel="0" collapsed="false">
      <c r="B235" s="34" t="n">
        <v>46130</v>
      </c>
      <c r="C235" s="14" t="str">
        <f aca="false">IFERROR(TEXT(B235,"ddd"),"")</f>
        <v>Sat</v>
      </c>
      <c r="D235" s="22" t="n">
        <v>69.6</v>
      </c>
      <c r="E235" s="22"/>
      <c r="F235" s="31" t="n">
        <f aca="false">IFERROR(SUMIFS('Cash Transactions'!F6:F500,'Cash Transactions'!B6:B500,B235),0)</f>
        <v>0</v>
      </c>
      <c r="G235" s="22"/>
      <c r="H235" s="31" t="n">
        <f aca="false">D235+E235+IF(G235&gt;0,G235,F235)</f>
        <v>69.6</v>
      </c>
      <c r="I235" s="35"/>
      <c r="J235" s="31" t="n">
        <f aca="false">IFERROR(H235/I235,0)</f>
        <v>0</v>
      </c>
      <c r="K235" s="16"/>
    </row>
    <row r="236" customFormat="false" ht="15" hidden="false" customHeight="true" outlineLevel="0" collapsed="false">
      <c r="B236" s="34" t="n">
        <v>46131</v>
      </c>
      <c r="C236" s="14" t="str">
        <f aca="false">IFERROR(TEXT(B236,"ddd"),"")</f>
        <v>Sun</v>
      </c>
      <c r="D236" s="22" t="n">
        <v>90.4</v>
      </c>
      <c r="E236" s="22"/>
      <c r="F236" s="31" t="n">
        <f aca="false">IFERROR(SUMIFS('Cash Transactions'!F6:F500,'Cash Transactions'!B6:B500,B236),0)</f>
        <v>0</v>
      </c>
      <c r="G236" s="22"/>
      <c r="H236" s="31" t="n">
        <f aca="false">D236+E236+IF(G236&gt;0,G236,F236)</f>
        <v>90.4</v>
      </c>
      <c r="I236" s="35"/>
      <c r="J236" s="31" t="n">
        <f aca="false">IFERROR(H236/I236,0)</f>
        <v>0</v>
      </c>
      <c r="K236" s="16"/>
    </row>
    <row r="237" customFormat="false" ht="15" hidden="false" customHeight="true" outlineLevel="0" collapsed="false">
      <c r="B237" s="34" t="n">
        <v>46132</v>
      </c>
      <c r="C237" s="14" t="str">
        <f aca="false">IFERROR(TEXT(B237,"ddd"),"")</f>
        <v>Mon</v>
      </c>
      <c r="D237" s="22" t="n">
        <v>78.5</v>
      </c>
      <c r="E237" s="22"/>
      <c r="F237" s="31" t="n">
        <f aca="false">IFERROR(SUMIFS('Cash Transactions'!F6:F500,'Cash Transactions'!B6:B500,B237),0)</f>
        <v>0</v>
      </c>
      <c r="G237" s="22"/>
      <c r="H237" s="31" t="n">
        <f aca="false">D237+E237+IF(G237&gt;0,G237,F237)</f>
        <v>78.5</v>
      </c>
      <c r="I237" s="35"/>
      <c r="J237" s="31" t="n">
        <f aca="false">IFERROR(H237/I237,0)</f>
        <v>0</v>
      </c>
      <c r="K237" s="16"/>
    </row>
    <row r="238" customFormat="false" ht="15" hidden="false" customHeight="true" outlineLevel="0" collapsed="false">
      <c r="B238" s="34" t="n">
        <v>46133</v>
      </c>
      <c r="C238" s="14" t="str">
        <f aca="false">IFERROR(TEXT(B238,"ddd"),"")</f>
        <v>Tue</v>
      </c>
      <c r="D238" s="22" t="n">
        <v>87.7</v>
      </c>
      <c r="E238" s="22"/>
      <c r="F238" s="31" t="n">
        <f aca="false">IFERROR(SUMIFS('Cash Transactions'!F6:F500,'Cash Transactions'!B6:B500,B238),0)</f>
        <v>0</v>
      </c>
      <c r="G238" s="22"/>
      <c r="H238" s="31" t="n">
        <f aca="false">D238+E238+IF(G238&gt;0,G238,F238)</f>
        <v>87.7</v>
      </c>
      <c r="I238" s="35"/>
      <c r="J238" s="31" t="n">
        <f aca="false">IFERROR(H238/I238,0)</f>
        <v>0</v>
      </c>
      <c r="K238" s="16"/>
    </row>
    <row r="239" customFormat="false" ht="15" hidden="false" customHeight="true" outlineLevel="0" collapsed="false">
      <c r="B239" s="34" t="n">
        <v>46134</v>
      </c>
      <c r="C239" s="14" t="str">
        <f aca="false">IFERROR(TEXT(B239,"ddd"),"")</f>
        <v>Wed</v>
      </c>
      <c r="D239" s="22" t="n">
        <v>26.05</v>
      </c>
      <c r="E239" s="22"/>
      <c r="F239" s="31" t="n">
        <f aca="false">IFERROR(SUMIFS('Cash Transactions'!F6:F500,'Cash Transactions'!B6:B500,B239),0)</f>
        <v>0</v>
      </c>
      <c r="G239" s="22"/>
      <c r="H239" s="31" t="n">
        <f aca="false">D239+E239+IF(G239&gt;0,G239,F239)</f>
        <v>26.05</v>
      </c>
      <c r="I239" s="35"/>
      <c r="J239" s="31" t="n">
        <f aca="false">IFERROR(H239/I239,0)</f>
        <v>0</v>
      </c>
      <c r="K239" s="16"/>
    </row>
    <row r="240" customFormat="false" ht="15" hidden="false" customHeight="true" outlineLevel="0" collapsed="false">
      <c r="B240" s="34" t="n">
        <v>46135</v>
      </c>
      <c r="C240" s="14" t="str">
        <f aca="false">IFERROR(TEXT(B240,"ddd"),"")</f>
        <v>Thu</v>
      </c>
      <c r="D240" s="22" t="n">
        <v>56.95</v>
      </c>
      <c r="E240" s="22"/>
      <c r="F240" s="31" t="n">
        <f aca="false">IFERROR(SUMIFS('Cash Transactions'!F6:F500,'Cash Transactions'!B6:B500,B240),0)</f>
        <v>0</v>
      </c>
      <c r="G240" s="22"/>
      <c r="H240" s="31" t="n">
        <f aca="false">D240+E240+IF(G240&gt;0,G240,F240)</f>
        <v>56.95</v>
      </c>
      <c r="I240" s="35"/>
      <c r="J240" s="31" t="n">
        <f aca="false">IFERROR(H240/I240,0)</f>
        <v>0</v>
      </c>
      <c r="K240" s="16"/>
    </row>
    <row r="241" customFormat="false" ht="15" hidden="false" customHeight="true" outlineLevel="0" collapsed="false">
      <c r="B241" s="34" t="n">
        <v>46136</v>
      </c>
      <c r="C241" s="14" t="str">
        <f aca="false">IFERROR(TEXT(B241,"ddd"),"")</f>
        <v>Fri</v>
      </c>
      <c r="D241" s="22" t="n">
        <v>63</v>
      </c>
      <c r="E241" s="22"/>
      <c r="F241" s="31" t="n">
        <f aca="false">IFERROR(SUMIFS('Cash Transactions'!F6:F500,'Cash Transactions'!B6:B500,B241),0)</f>
        <v>0</v>
      </c>
      <c r="G241" s="22"/>
      <c r="H241" s="31" t="n">
        <f aca="false">D241+E241+IF(G241&gt;0,G241,F241)</f>
        <v>63</v>
      </c>
      <c r="I241" s="35"/>
      <c r="J241" s="31" t="n">
        <f aca="false">IFERROR(H241/I241,0)</f>
        <v>0</v>
      </c>
      <c r="K241" s="16"/>
    </row>
    <row r="242" customFormat="false" ht="15" hidden="false" customHeight="true" outlineLevel="0" collapsed="false">
      <c r="B242" s="34" t="n">
        <v>46137</v>
      </c>
      <c r="C242" s="14" t="str">
        <f aca="false">IFERROR(TEXT(B242,"ddd"),"")</f>
        <v>Sat</v>
      </c>
      <c r="D242" s="22" t="n">
        <v>83.6</v>
      </c>
      <c r="E242" s="22"/>
      <c r="F242" s="31" t="n">
        <f aca="false">IFERROR(SUMIFS('Cash Transactions'!F6:F500,'Cash Transactions'!B6:B500,B242),0)</f>
        <v>0</v>
      </c>
      <c r="G242" s="22"/>
      <c r="H242" s="31" t="n">
        <f aca="false">D242+E242+IF(G242&gt;0,G242,F242)</f>
        <v>83.6</v>
      </c>
      <c r="I242" s="35"/>
      <c r="J242" s="31" t="n">
        <f aca="false">IFERROR(H242/I242,0)</f>
        <v>0</v>
      </c>
      <c r="K242" s="16"/>
    </row>
    <row r="243" customFormat="false" ht="15" hidden="false" customHeight="true" outlineLevel="0" collapsed="false">
      <c r="B243" s="34" t="n">
        <v>46138</v>
      </c>
      <c r="C243" s="14" t="str">
        <f aca="false">IFERROR(TEXT(B243,"ddd"),"")</f>
        <v>Sun</v>
      </c>
      <c r="D243" s="22" t="n">
        <v>61.9</v>
      </c>
      <c r="E243" s="22"/>
      <c r="F243" s="31" t="n">
        <f aca="false">IFERROR(SUMIFS('Cash Transactions'!F6:F500,'Cash Transactions'!B6:B500,B243),0)</f>
        <v>0</v>
      </c>
      <c r="G243" s="22"/>
      <c r="H243" s="31" t="n">
        <f aca="false">D243+E243+IF(G243&gt;0,G243,F243)</f>
        <v>61.9</v>
      </c>
      <c r="I243" s="35"/>
      <c r="J243" s="31" t="n">
        <f aca="false">IFERROR(H243/I243,0)</f>
        <v>0</v>
      </c>
      <c r="K243" s="16"/>
    </row>
    <row r="244" customFormat="false" ht="15" hidden="false" customHeight="true" outlineLevel="0" collapsed="false">
      <c r="B244" s="34" t="n">
        <v>46139</v>
      </c>
      <c r="C244" s="14" t="str">
        <f aca="false">IFERROR(TEXT(B244,"ddd"),"")</f>
        <v>Mon</v>
      </c>
      <c r="D244" s="22" t="n">
        <v>51.85</v>
      </c>
      <c r="E244" s="22"/>
      <c r="F244" s="31" t="n">
        <f aca="false">IFERROR(SUMIFS('Cash Transactions'!F6:F500,'Cash Transactions'!B6:B500,B244),0)</f>
        <v>0</v>
      </c>
      <c r="G244" s="22"/>
      <c r="H244" s="31" t="n">
        <f aca="false">D244+E244+IF(G244&gt;0,G244,F244)</f>
        <v>51.85</v>
      </c>
      <c r="I244" s="35"/>
      <c r="J244" s="31" t="n">
        <f aca="false">IFERROR(H244/I244,0)</f>
        <v>0</v>
      </c>
      <c r="K244" s="16"/>
    </row>
    <row r="245" customFormat="false" ht="15" hidden="false" customHeight="true" outlineLevel="0" collapsed="false">
      <c r="B245" s="34" t="n">
        <v>46140</v>
      </c>
      <c r="C245" s="14" t="str">
        <f aca="false">IFERROR(TEXT(B245,"ddd"),"")</f>
        <v>Tue</v>
      </c>
      <c r="D245" s="22" t="n">
        <v>37.4</v>
      </c>
      <c r="E245" s="22"/>
      <c r="F245" s="31" t="n">
        <f aca="false">IFERROR(SUMIFS('Cash Transactions'!F6:F500,'Cash Transactions'!B6:B500,B245),0)</f>
        <v>0</v>
      </c>
      <c r="G245" s="22"/>
      <c r="H245" s="31" t="n">
        <f aca="false">D245+E245+IF(G245&gt;0,G245,F245)</f>
        <v>37.4</v>
      </c>
      <c r="I245" s="35"/>
      <c r="J245" s="31" t="n">
        <f aca="false">IFERROR(H245/I245,0)</f>
        <v>0</v>
      </c>
      <c r="K245" s="16"/>
    </row>
    <row r="246" customFormat="false" ht="15" hidden="false" customHeight="true" outlineLevel="0" collapsed="false">
      <c r="B246" s="34" t="n">
        <v>46141</v>
      </c>
      <c r="C246" s="14" t="str">
        <f aca="false">IFERROR(TEXT(B246,"ddd"),"")</f>
        <v>Wed</v>
      </c>
      <c r="D246" s="22"/>
      <c r="E246" s="22"/>
      <c r="F246" s="31" t="n">
        <f aca="false">IFERROR(SUMIFS('Cash Transactions'!F6:F500,'Cash Transactions'!B6:B500,B246),0)</f>
        <v>0</v>
      </c>
      <c r="G246" s="22"/>
      <c r="H246" s="31" t="n">
        <f aca="false">D246+E246+IF(G246&gt;0,G246,F246)</f>
        <v>0</v>
      </c>
      <c r="I246" s="35"/>
      <c r="J246" s="31" t="n">
        <f aca="false">IFERROR(H246/I246,0)</f>
        <v>0</v>
      </c>
      <c r="K246" s="16"/>
    </row>
    <row r="247" customFormat="false" ht="15" hidden="false" customHeight="true" outlineLevel="0" collapsed="false">
      <c r="B247" s="34" t="n">
        <v>46142</v>
      </c>
      <c r="C247" s="14" t="str">
        <f aca="false">IFERROR(TEXT(B247,"ddd"),"")</f>
        <v>Thu</v>
      </c>
      <c r="D247" s="22"/>
      <c r="E247" s="22"/>
      <c r="F247" s="31" t="n">
        <f aca="false">IFERROR(SUMIFS('Cash Transactions'!F6:F500,'Cash Transactions'!B6:B500,B247),0)</f>
        <v>0</v>
      </c>
      <c r="G247" s="22"/>
      <c r="H247" s="31" t="n">
        <f aca="false">D247+E247+IF(G247&gt;0,G247,F247)</f>
        <v>0</v>
      </c>
      <c r="I247" s="35"/>
      <c r="J247" s="31" t="n">
        <f aca="false">IFERROR(H247/I247,0)</f>
        <v>0</v>
      </c>
      <c r="K247" s="16"/>
    </row>
    <row r="248" customFormat="false" ht="15" hidden="false" customHeight="true" outlineLevel="0" collapsed="false">
      <c r="B248" s="34" t="n">
        <v>46143</v>
      </c>
      <c r="C248" s="14" t="str">
        <f aca="false">IFERROR(TEXT(B248,"ddd"),"")</f>
        <v>Fri</v>
      </c>
      <c r="D248" s="22"/>
      <c r="E248" s="22"/>
      <c r="F248" s="31" t="n">
        <f aca="false">IFERROR(SUMIFS('Cash Transactions'!F6:F500,'Cash Transactions'!B6:B500,B248),0)</f>
        <v>0</v>
      </c>
      <c r="G248" s="22"/>
      <c r="H248" s="31" t="n">
        <f aca="false">D248+E248+IF(G248&gt;0,G248,F248)</f>
        <v>0</v>
      </c>
      <c r="I248" s="35"/>
      <c r="J248" s="31" t="n">
        <f aca="false">IFERROR(H248/I248,0)</f>
        <v>0</v>
      </c>
      <c r="K248" s="16"/>
    </row>
    <row r="249" customFormat="false" ht="15" hidden="false" customHeight="true" outlineLevel="0" collapsed="false">
      <c r="B249" s="34" t="n">
        <v>46144</v>
      </c>
      <c r="C249" s="14" t="str">
        <f aca="false">IFERROR(TEXT(B249,"ddd"),"")</f>
        <v>Sat</v>
      </c>
      <c r="D249" s="22"/>
      <c r="E249" s="22"/>
      <c r="F249" s="31" t="n">
        <f aca="false">IFERROR(SUMIFS('Cash Transactions'!F6:F500,'Cash Transactions'!B6:B500,B249),0)</f>
        <v>0</v>
      </c>
      <c r="G249" s="22"/>
      <c r="H249" s="31" t="n">
        <f aca="false">D249+E249+IF(G249&gt;0,G249,F249)</f>
        <v>0</v>
      </c>
      <c r="I249" s="35"/>
      <c r="J249" s="31" t="n">
        <f aca="false">IFERROR(H249/I249,0)</f>
        <v>0</v>
      </c>
      <c r="K249" s="16"/>
    </row>
    <row r="250" customFormat="false" ht="15" hidden="false" customHeight="true" outlineLevel="0" collapsed="false">
      <c r="B250" s="34" t="n">
        <v>46145</v>
      </c>
      <c r="C250" s="14" t="str">
        <f aca="false">IFERROR(TEXT(B250,"ddd"),"")</f>
        <v>Sun</v>
      </c>
      <c r="D250" s="22"/>
      <c r="E250" s="22"/>
      <c r="F250" s="31" t="n">
        <f aca="false">IFERROR(SUMIFS('Cash Transactions'!F6:F500,'Cash Transactions'!B6:B500,B250),0)</f>
        <v>0</v>
      </c>
      <c r="G250" s="22"/>
      <c r="H250" s="31" t="n">
        <f aca="false">D250+E250+IF(G250&gt;0,G250,F250)</f>
        <v>0</v>
      </c>
      <c r="I250" s="35"/>
      <c r="J250" s="31" t="n">
        <f aca="false">IFERROR(H250/I250,0)</f>
        <v>0</v>
      </c>
      <c r="K250" s="16"/>
    </row>
    <row r="251" customFormat="false" ht="15" hidden="false" customHeight="true" outlineLevel="0" collapsed="false">
      <c r="B251" s="34" t="n">
        <v>46146</v>
      </c>
      <c r="C251" s="14" t="str">
        <f aca="false">IFERROR(TEXT(B251,"ddd"),"")</f>
        <v>Mon</v>
      </c>
      <c r="D251" s="22"/>
      <c r="E251" s="22"/>
      <c r="F251" s="31" t="n">
        <f aca="false">IFERROR(SUMIFS('Cash Transactions'!F6:F500,'Cash Transactions'!B6:B500,B251),0)</f>
        <v>0</v>
      </c>
      <c r="G251" s="22"/>
      <c r="H251" s="31" t="n">
        <f aca="false">D251+E251+IF(G251&gt;0,G251,F251)</f>
        <v>0</v>
      </c>
      <c r="I251" s="35"/>
      <c r="J251" s="31" t="n">
        <f aca="false">IFERROR(H251/I251,0)</f>
        <v>0</v>
      </c>
      <c r="K251" s="16"/>
    </row>
    <row r="252" customFormat="false" ht="15" hidden="false" customHeight="true" outlineLevel="0" collapsed="false">
      <c r="B252" s="34" t="n">
        <v>46147</v>
      </c>
      <c r="C252" s="14" t="str">
        <f aca="false">IFERROR(TEXT(B252,"ddd"),"")</f>
        <v>Tue</v>
      </c>
      <c r="D252" s="22"/>
      <c r="E252" s="22"/>
      <c r="F252" s="31" t="n">
        <f aca="false">IFERROR(SUMIFS('Cash Transactions'!F6:F500,'Cash Transactions'!B6:B500,B252),0)</f>
        <v>0</v>
      </c>
      <c r="G252" s="22"/>
      <c r="H252" s="31" t="n">
        <f aca="false">D252+E252+IF(G252&gt;0,G252,F252)</f>
        <v>0</v>
      </c>
      <c r="I252" s="35"/>
      <c r="J252" s="31" t="n">
        <f aca="false">IFERROR(H252/I252,0)</f>
        <v>0</v>
      </c>
      <c r="K252" s="16"/>
    </row>
    <row r="253" customFormat="false" ht="15" hidden="false" customHeight="true" outlineLevel="0" collapsed="false">
      <c r="B253" s="34" t="n">
        <v>46148</v>
      </c>
      <c r="C253" s="14" t="str">
        <f aca="false">IFERROR(TEXT(B253,"ddd"),"")</f>
        <v>Wed</v>
      </c>
      <c r="D253" s="22"/>
      <c r="E253" s="22"/>
      <c r="F253" s="31" t="n">
        <f aca="false">IFERROR(SUMIFS('Cash Transactions'!F6:F500,'Cash Transactions'!B6:B500,B253),0)</f>
        <v>0</v>
      </c>
      <c r="G253" s="22"/>
      <c r="H253" s="31" t="n">
        <f aca="false">D253+E253+IF(G253&gt;0,G253,F253)</f>
        <v>0</v>
      </c>
      <c r="I253" s="35"/>
      <c r="J253" s="31" t="n">
        <f aca="false">IFERROR(H253/I253,0)</f>
        <v>0</v>
      </c>
      <c r="K253" s="16"/>
    </row>
    <row r="254" customFormat="false" ht="15" hidden="false" customHeight="true" outlineLevel="0" collapsed="false">
      <c r="B254" s="34" t="n">
        <v>46149</v>
      </c>
      <c r="C254" s="14" t="str">
        <f aca="false">IFERROR(TEXT(B254,"ddd"),"")</f>
        <v>Thu</v>
      </c>
      <c r="D254" s="22"/>
      <c r="E254" s="22"/>
      <c r="F254" s="31" t="n">
        <f aca="false">IFERROR(SUMIFS('Cash Transactions'!F6:F500,'Cash Transactions'!B6:B500,B254),0)</f>
        <v>0</v>
      </c>
      <c r="G254" s="22"/>
      <c r="H254" s="31" t="n">
        <f aca="false">D254+E254+IF(G254&gt;0,G254,F254)</f>
        <v>0</v>
      </c>
      <c r="I254" s="35"/>
      <c r="J254" s="31" t="n">
        <f aca="false">IFERROR(H254/I254,0)</f>
        <v>0</v>
      </c>
      <c r="K254" s="16"/>
    </row>
    <row r="255" customFormat="false" ht="15" hidden="false" customHeight="true" outlineLevel="0" collapsed="false">
      <c r="B255" s="34" t="n">
        <v>46150</v>
      </c>
      <c r="C255" s="14" t="str">
        <f aca="false">IFERROR(TEXT(B255,"ddd"),"")</f>
        <v>Fri</v>
      </c>
      <c r="D255" s="22"/>
      <c r="E255" s="22"/>
      <c r="F255" s="31" t="n">
        <f aca="false">IFERROR(SUMIFS('Cash Transactions'!F6:F500,'Cash Transactions'!B6:B500,B255),0)</f>
        <v>0</v>
      </c>
      <c r="G255" s="22"/>
      <c r="H255" s="31" t="n">
        <f aca="false">D255+E255+IF(G255&gt;0,G255,F255)</f>
        <v>0</v>
      </c>
      <c r="I255" s="35"/>
      <c r="J255" s="31" t="n">
        <f aca="false">IFERROR(H255/I255,0)</f>
        <v>0</v>
      </c>
      <c r="K255" s="16"/>
    </row>
    <row r="256" customFormat="false" ht="15" hidden="false" customHeight="true" outlineLevel="0" collapsed="false">
      <c r="B256" s="34" t="n">
        <v>46151</v>
      </c>
      <c r="C256" s="14" t="str">
        <f aca="false">IFERROR(TEXT(B256,"ddd"),"")</f>
        <v>Sat</v>
      </c>
      <c r="D256" s="22"/>
      <c r="E256" s="22"/>
      <c r="F256" s="31" t="n">
        <f aca="false">IFERROR(SUMIFS('Cash Transactions'!F6:F500,'Cash Transactions'!B6:B500,B256),0)</f>
        <v>0</v>
      </c>
      <c r="G256" s="22"/>
      <c r="H256" s="31" t="n">
        <f aca="false">D256+E256+IF(G256&gt;0,G256,F256)</f>
        <v>0</v>
      </c>
      <c r="I256" s="35"/>
      <c r="J256" s="31" t="n">
        <f aca="false">IFERROR(H256/I256,0)</f>
        <v>0</v>
      </c>
      <c r="K256" s="16"/>
    </row>
    <row r="257" customFormat="false" ht="15" hidden="false" customHeight="true" outlineLevel="0" collapsed="false">
      <c r="B257" s="34" t="n">
        <v>46152</v>
      </c>
      <c r="C257" s="14" t="str">
        <f aca="false">IFERROR(TEXT(B257,"ddd"),"")</f>
        <v>Sun</v>
      </c>
      <c r="D257" s="22"/>
      <c r="E257" s="22"/>
      <c r="F257" s="31" t="n">
        <f aca="false">IFERROR(SUMIFS('Cash Transactions'!F6:F500,'Cash Transactions'!B6:B500,B257),0)</f>
        <v>0</v>
      </c>
      <c r="G257" s="22"/>
      <c r="H257" s="31" t="n">
        <f aca="false">D257+E257+IF(G257&gt;0,G257,F257)</f>
        <v>0</v>
      </c>
      <c r="I257" s="35"/>
      <c r="J257" s="31" t="n">
        <f aca="false">IFERROR(H257/I257,0)</f>
        <v>0</v>
      </c>
      <c r="K257" s="16"/>
    </row>
    <row r="258" customFormat="false" ht="15" hidden="false" customHeight="true" outlineLevel="0" collapsed="false">
      <c r="B258" s="34" t="n">
        <v>46153</v>
      </c>
      <c r="C258" s="14" t="str">
        <f aca="false">IFERROR(TEXT(B258,"ddd"),"")</f>
        <v>Mon</v>
      </c>
      <c r="D258" s="22"/>
      <c r="E258" s="22"/>
      <c r="F258" s="31" t="n">
        <f aca="false">IFERROR(SUMIFS('Cash Transactions'!F6:F500,'Cash Transactions'!B6:B500,B258),0)</f>
        <v>0</v>
      </c>
      <c r="G258" s="22"/>
      <c r="H258" s="31" t="n">
        <f aca="false">D258+E258+IF(G258&gt;0,G258,F258)</f>
        <v>0</v>
      </c>
      <c r="I258" s="35"/>
      <c r="J258" s="31" t="n">
        <f aca="false">IFERROR(H258/I258,0)</f>
        <v>0</v>
      </c>
      <c r="K258" s="16"/>
    </row>
    <row r="259" customFormat="false" ht="15" hidden="false" customHeight="true" outlineLevel="0" collapsed="false">
      <c r="B259" s="34" t="n">
        <v>46154</v>
      </c>
      <c r="C259" s="14" t="str">
        <f aca="false">IFERROR(TEXT(B259,"ddd"),"")</f>
        <v>Tue</v>
      </c>
      <c r="D259" s="22"/>
      <c r="E259" s="22"/>
      <c r="F259" s="31" t="n">
        <f aca="false">IFERROR(SUMIFS('Cash Transactions'!F6:F500,'Cash Transactions'!B6:B500,B259),0)</f>
        <v>0</v>
      </c>
      <c r="G259" s="22"/>
      <c r="H259" s="31" t="n">
        <f aca="false">D259+E259+IF(G259&gt;0,G259,F259)</f>
        <v>0</v>
      </c>
      <c r="I259" s="35"/>
      <c r="J259" s="31" t="n">
        <f aca="false">IFERROR(H259/I259,0)</f>
        <v>0</v>
      </c>
      <c r="K259" s="16"/>
    </row>
    <row r="260" customFormat="false" ht="15" hidden="false" customHeight="true" outlineLevel="0" collapsed="false">
      <c r="B260" s="34" t="n">
        <v>46155</v>
      </c>
      <c r="C260" s="14" t="str">
        <f aca="false">IFERROR(TEXT(B260,"ddd"),"")</f>
        <v>Wed</v>
      </c>
      <c r="D260" s="22"/>
      <c r="E260" s="22"/>
      <c r="F260" s="31" t="n">
        <f aca="false">IFERROR(SUMIFS('Cash Transactions'!F6:F500,'Cash Transactions'!B6:B500,B260),0)</f>
        <v>0</v>
      </c>
      <c r="G260" s="22"/>
      <c r="H260" s="31" t="n">
        <f aca="false">D260+E260+IF(G260&gt;0,G260,F260)</f>
        <v>0</v>
      </c>
      <c r="I260" s="35"/>
      <c r="J260" s="31" t="n">
        <f aca="false">IFERROR(H260/I260,0)</f>
        <v>0</v>
      </c>
      <c r="K260" s="16"/>
    </row>
    <row r="261" customFormat="false" ht="15" hidden="false" customHeight="true" outlineLevel="0" collapsed="false">
      <c r="B261" s="34" t="n">
        <v>46156</v>
      </c>
      <c r="C261" s="14" t="str">
        <f aca="false">IFERROR(TEXT(B261,"ddd"),"")</f>
        <v>Thu</v>
      </c>
      <c r="D261" s="22"/>
      <c r="E261" s="22"/>
      <c r="F261" s="31" t="n">
        <f aca="false">IFERROR(SUMIFS('Cash Transactions'!F6:F500,'Cash Transactions'!B6:B500,B261),0)</f>
        <v>0</v>
      </c>
      <c r="G261" s="22"/>
      <c r="H261" s="31" t="n">
        <f aca="false">D261+E261+IF(G261&gt;0,G261,F261)</f>
        <v>0</v>
      </c>
      <c r="I261" s="35"/>
      <c r="J261" s="31" t="n">
        <f aca="false">IFERROR(H261/I261,0)</f>
        <v>0</v>
      </c>
      <c r="K261" s="16"/>
    </row>
    <row r="262" customFormat="false" ht="15" hidden="false" customHeight="true" outlineLevel="0" collapsed="false">
      <c r="B262" s="34" t="n">
        <v>46157</v>
      </c>
      <c r="C262" s="14" t="str">
        <f aca="false">IFERROR(TEXT(B262,"ddd"),"")</f>
        <v>Fri</v>
      </c>
      <c r="D262" s="22"/>
      <c r="E262" s="22"/>
      <c r="F262" s="31" t="n">
        <f aca="false">IFERROR(SUMIFS('Cash Transactions'!F6:F500,'Cash Transactions'!B6:B500,B262),0)</f>
        <v>0</v>
      </c>
      <c r="G262" s="22"/>
      <c r="H262" s="31" t="n">
        <f aca="false">D262+E262+IF(G262&gt;0,G262,F262)</f>
        <v>0</v>
      </c>
      <c r="I262" s="35"/>
      <c r="J262" s="31" t="n">
        <f aca="false">IFERROR(H262/I262,0)</f>
        <v>0</v>
      </c>
      <c r="K262" s="16"/>
    </row>
    <row r="263" customFormat="false" ht="15" hidden="false" customHeight="true" outlineLevel="0" collapsed="false">
      <c r="B263" s="34" t="n">
        <v>46158</v>
      </c>
      <c r="C263" s="14" t="str">
        <f aca="false">IFERROR(TEXT(B263,"ddd"),"")</f>
        <v>Sat</v>
      </c>
      <c r="D263" s="22"/>
      <c r="E263" s="22"/>
      <c r="F263" s="31" t="n">
        <f aca="false">IFERROR(SUMIFS('Cash Transactions'!F6:F500,'Cash Transactions'!B6:B500,B263),0)</f>
        <v>0</v>
      </c>
      <c r="G263" s="22"/>
      <c r="H263" s="31" t="n">
        <f aca="false">D263+E263+IF(G263&gt;0,G263,F263)</f>
        <v>0</v>
      </c>
      <c r="I263" s="35"/>
      <c r="J263" s="31" t="n">
        <f aca="false">IFERROR(H263/I263,0)</f>
        <v>0</v>
      </c>
      <c r="K263" s="16"/>
    </row>
    <row r="264" customFormat="false" ht="15" hidden="false" customHeight="true" outlineLevel="0" collapsed="false">
      <c r="B264" s="34" t="n">
        <v>46159</v>
      </c>
      <c r="C264" s="14" t="str">
        <f aca="false">IFERROR(TEXT(B264,"ddd"),"")</f>
        <v>Sun</v>
      </c>
      <c r="D264" s="22"/>
      <c r="E264" s="22"/>
      <c r="F264" s="31" t="n">
        <f aca="false">IFERROR(SUMIFS('Cash Transactions'!F6:F500,'Cash Transactions'!B6:B500,B264),0)</f>
        <v>0</v>
      </c>
      <c r="G264" s="22"/>
      <c r="H264" s="31" t="n">
        <f aca="false">D264+E264+IF(G264&gt;0,G264,F264)</f>
        <v>0</v>
      </c>
      <c r="I264" s="35"/>
      <c r="J264" s="31" t="n">
        <f aca="false">IFERROR(H264/I264,0)</f>
        <v>0</v>
      </c>
      <c r="K264" s="16"/>
    </row>
    <row r="265" customFormat="false" ht="15" hidden="false" customHeight="true" outlineLevel="0" collapsed="false">
      <c r="B265" s="34" t="n">
        <v>46160</v>
      </c>
      <c r="C265" s="14" t="str">
        <f aca="false">IFERROR(TEXT(B265,"ddd"),"")</f>
        <v>Mon</v>
      </c>
      <c r="D265" s="22"/>
      <c r="E265" s="22"/>
      <c r="F265" s="31" t="n">
        <f aca="false">IFERROR(SUMIFS('Cash Transactions'!F6:F500,'Cash Transactions'!B6:B500,B265),0)</f>
        <v>0</v>
      </c>
      <c r="G265" s="22"/>
      <c r="H265" s="31" t="n">
        <f aca="false">D265+E265+IF(G265&gt;0,G265,F265)</f>
        <v>0</v>
      </c>
      <c r="I265" s="35"/>
      <c r="J265" s="31" t="n">
        <f aca="false">IFERROR(H265/I265,0)</f>
        <v>0</v>
      </c>
      <c r="K265" s="16"/>
    </row>
    <row r="266" customFormat="false" ht="15" hidden="false" customHeight="true" outlineLevel="0" collapsed="false">
      <c r="B266" s="34" t="n">
        <v>46161</v>
      </c>
      <c r="C266" s="14" t="str">
        <f aca="false">IFERROR(TEXT(B266,"ddd"),"")</f>
        <v>Tue</v>
      </c>
      <c r="D266" s="22"/>
      <c r="E266" s="22"/>
      <c r="F266" s="31" t="n">
        <f aca="false">IFERROR(SUMIFS('Cash Transactions'!F6:F500,'Cash Transactions'!B6:B500,B266),0)</f>
        <v>0</v>
      </c>
      <c r="G266" s="22"/>
      <c r="H266" s="31" t="n">
        <f aca="false">D266+E266+IF(G266&gt;0,G266,F266)</f>
        <v>0</v>
      </c>
      <c r="I266" s="35"/>
      <c r="J266" s="31" t="n">
        <f aca="false">IFERROR(H266/I266,0)</f>
        <v>0</v>
      </c>
      <c r="K266" s="16"/>
    </row>
    <row r="267" customFormat="false" ht="15" hidden="false" customHeight="true" outlineLevel="0" collapsed="false">
      <c r="B267" s="34" t="n">
        <v>46162</v>
      </c>
      <c r="C267" s="14" t="str">
        <f aca="false">IFERROR(TEXT(B267,"ddd"),"")</f>
        <v>Wed</v>
      </c>
      <c r="D267" s="22"/>
      <c r="E267" s="22"/>
      <c r="F267" s="31" t="n">
        <f aca="false">IFERROR(SUMIFS('Cash Transactions'!F6:F500,'Cash Transactions'!B6:B500,B267),0)</f>
        <v>0</v>
      </c>
      <c r="G267" s="22"/>
      <c r="H267" s="31" t="n">
        <f aca="false">D267+E267+IF(G267&gt;0,G267,F267)</f>
        <v>0</v>
      </c>
      <c r="I267" s="35"/>
      <c r="J267" s="31" t="n">
        <f aca="false">IFERROR(H267/I267,0)</f>
        <v>0</v>
      </c>
      <c r="K267" s="16"/>
    </row>
    <row r="268" customFormat="false" ht="15" hidden="false" customHeight="true" outlineLevel="0" collapsed="false">
      <c r="B268" s="34" t="n">
        <v>46163</v>
      </c>
      <c r="C268" s="14" t="str">
        <f aca="false">IFERROR(TEXT(B268,"ddd"),"")</f>
        <v>Thu</v>
      </c>
      <c r="D268" s="22"/>
      <c r="E268" s="22"/>
      <c r="F268" s="31" t="n">
        <f aca="false">IFERROR(SUMIFS('Cash Transactions'!F6:F500,'Cash Transactions'!B6:B500,B268),0)</f>
        <v>0</v>
      </c>
      <c r="G268" s="22"/>
      <c r="H268" s="31" t="n">
        <f aca="false">D268+E268+IF(G268&gt;0,G268,F268)</f>
        <v>0</v>
      </c>
      <c r="I268" s="35"/>
      <c r="J268" s="31" t="n">
        <f aca="false">IFERROR(H268/I268,0)</f>
        <v>0</v>
      </c>
      <c r="K268" s="16"/>
    </row>
    <row r="269" customFormat="false" ht="15" hidden="false" customHeight="true" outlineLevel="0" collapsed="false">
      <c r="B269" s="34" t="n">
        <v>46164</v>
      </c>
      <c r="C269" s="14" t="str">
        <f aca="false">IFERROR(TEXT(B269,"ddd"),"")</f>
        <v>Fri</v>
      </c>
      <c r="D269" s="22"/>
      <c r="E269" s="22"/>
      <c r="F269" s="31" t="n">
        <f aca="false">IFERROR(SUMIFS('Cash Transactions'!F6:F500,'Cash Transactions'!B6:B500,B269),0)</f>
        <v>0</v>
      </c>
      <c r="G269" s="22"/>
      <c r="H269" s="31" t="n">
        <f aca="false">D269+E269+IF(G269&gt;0,G269,F269)</f>
        <v>0</v>
      </c>
      <c r="I269" s="35"/>
      <c r="J269" s="31" t="n">
        <f aca="false">IFERROR(H269/I269,0)</f>
        <v>0</v>
      </c>
      <c r="K269" s="16"/>
    </row>
    <row r="270" customFormat="false" ht="15" hidden="false" customHeight="true" outlineLevel="0" collapsed="false">
      <c r="B270" s="34" t="n">
        <v>46165</v>
      </c>
      <c r="C270" s="14" t="str">
        <f aca="false">IFERROR(TEXT(B270,"ddd"),"")</f>
        <v>Sat</v>
      </c>
      <c r="D270" s="22"/>
      <c r="E270" s="22"/>
      <c r="F270" s="31" t="n">
        <f aca="false">IFERROR(SUMIFS('Cash Transactions'!F6:F500,'Cash Transactions'!B6:B500,B270),0)</f>
        <v>0</v>
      </c>
      <c r="G270" s="22"/>
      <c r="H270" s="31" t="n">
        <f aca="false">D270+E270+IF(G270&gt;0,G270,F270)</f>
        <v>0</v>
      </c>
      <c r="I270" s="35"/>
      <c r="J270" s="31" t="n">
        <f aca="false">IFERROR(H270/I270,0)</f>
        <v>0</v>
      </c>
      <c r="K270" s="16"/>
    </row>
    <row r="271" customFormat="false" ht="15" hidden="false" customHeight="true" outlineLevel="0" collapsed="false">
      <c r="B271" s="34" t="n">
        <v>46166</v>
      </c>
      <c r="C271" s="14" t="str">
        <f aca="false">IFERROR(TEXT(B271,"ddd"),"")</f>
        <v>Sun</v>
      </c>
      <c r="D271" s="22"/>
      <c r="E271" s="22"/>
      <c r="F271" s="31" t="n">
        <f aca="false">IFERROR(SUMIFS('Cash Transactions'!F6:F500,'Cash Transactions'!B6:B500,B271),0)</f>
        <v>0</v>
      </c>
      <c r="G271" s="22"/>
      <c r="H271" s="31" t="n">
        <f aca="false">D271+E271+IF(G271&gt;0,G271,F271)</f>
        <v>0</v>
      </c>
      <c r="I271" s="35"/>
      <c r="J271" s="31" t="n">
        <f aca="false">IFERROR(H271/I271,0)</f>
        <v>0</v>
      </c>
      <c r="K271" s="16"/>
    </row>
    <row r="272" customFormat="false" ht="15" hidden="false" customHeight="true" outlineLevel="0" collapsed="false">
      <c r="B272" s="34" t="n">
        <v>46167</v>
      </c>
      <c r="C272" s="14" t="str">
        <f aca="false">IFERROR(TEXT(B272,"ddd"),"")</f>
        <v>Mon</v>
      </c>
      <c r="D272" s="22"/>
      <c r="E272" s="22"/>
      <c r="F272" s="31" t="n">
        <f aca="false">IFERROR(SUMIFS('Cash Transactions'!F6:F500,'Cash Transactions'!B6:B500,B272),0)</f>
        <v>0</v>
      </c>
      <c r="G272" s="22"/>
      <c r="H272" s="31" t="n">
        <f aca="false">D272+E272+IF(G272&gt;0,G272,F272)</f>
        <v>0</v>
      </c>
      <c r="I272" s="35"/>
      <c r="J272" s="31" t="n">
        <f aca="false">IFERROR(H272/I272,0)</f>
        <v>0</v>
      </c>
      <c r="K272" s="16"/>
    </row>
    <row r="273" customFormat="false" ht="15" hidden="false" customHeight="true" outlineLevel="0" collapsed="false">
      <c r="B273" s="34" t="n">
        <v>46168</v>
      </c>
      <c r="C273" s="14" t="str">
        <f aca="false">IFERROR(TEXT(B273,"ddd"),"")</f>
        <v>Tue</v>
      </c>
      <c r="D273" s="22"/>
      <c r="E273" s="22"/>
      <c r="F273" s="31" t="n">
        <f aca="false">IFERROR(SUMIFS('Cash Transactions'!F6:F500,'Cash Transactions'!B6:B500,B273),0)</f>
        <v>0</v>
      </c>
      <c r="G273" s="22"/>
      <c r="H273" s="31" t="n">
        <f aca="false">D273+E273+IF(G273&gt;0,G273,F273)</f>
        <v>0</v>
      </c>
      <c r="I273" s="35"/>
      <c r="J273" s="31" t="n">
        <f aca="false">IFERROR(H273/I273,0)</f>
        <v>0</v>
      </c>
      <c r="K273" s="16"/>
    </row>
    <row r="274" customFormat="false" ht="15" hidden="false" customHeight="true" outlineLevel="0" collapsed="false">
      <c r="B274" s="34" t="n">
        <v>46169</v>
      </c>
      <c r="C274" s="14" t="str">
        <f aca="false">IFERROR(TEXT(B274,"ddd"),"")</f>
        <v>Wed</v>
      </c>
      <c r="D274" s="22"/>
      <c r="E274" s="22"/>
      <c r="F274" s="31" t="n">
        <f aca="false">IFERROR(SUMIFS('Cash Transactions'!F6:F500,'Cash Transactions'!B6:B500,B274),0)</f>
        <v>0</v>
      </c>
      <c r="G274" s="22"/>
      <c r="H274" s="31" t="n">
        <f aca="false">D274+E274+IF(G274&gt;0,G274,F274)</f>
        <v>0</v>
      </c>
      <c r="I274" s="35"/>
      <c r="J274" s="31" t="n">
        <f aca="false">IFERROR(H274/I274,0)</f>
        <v>0</v>
      </c>
      <c r="K274" s="16"/>
    </row>
    <row r="275" customFormat="false" ht="15" hidden="false" customHeight="true" outlineLevel="0" collapsed="false">
      <c r="B275" s="34" t="n">
        <v>46170</v>
      </c>
      <c r="C275" s="14" t="str">
        <f aca="false">IFERROR(TEXT(B275,"ddd"),"")</f>
        <v>Thu</v>
      </c>
      <c r="D275" s="22"/>
      <c r="E275" s="22"/>
      <c r="F275" s="31" t="n">
        <f aca="false">IFERROR(SUMIFS('Cash Transactions'!F6:F500,'Cash Transactions'!B6:B500,B275),0)</f>
        <v>0</v>
      </c>
      <c r="G275" s="22"/>
      <c r="H275" s="31" t="n">
        <f aca="false">D275+E275+IF(G275&gt;0,G275,F275)</f>
        <v>0</v>
      </c>
      <c r="I275" s="35"/>
      <c r="J275" s="31" t="n">
        <f aca="false">IFERROR(H275/I275,0)</f>
        <v>0</v>
      </c>
      <c r="K275" s="16"/>
    </row>
    <row r="276" customFormat="false" ht="15" hidden="false" customHeight="true" outlineLevel="0" collapsed="false">
      <c r="B276" s="34" t="n">
        <v>46171</v>
      </c>
      <c r="C276" s="14" t="str">
        <f aca="false">IFERROR(TEXT(B276,"ddd"),"")</f>
        <v>Fri</v>
      </c>
      <c r="D276" s="22"/>
      <c r="E276" s="22"/>
      <c r="F276" s="31" t="n">
        <f aca="false">IFERROR(SUMIFS('Cash Transactions'!F6:F500,'Cash Transactions'!B6:B500,B276),0)</f>
        <v>0</v>
      </c>
      <c r="G276" s="22"/>
      <c r="H276" s="31" t="n">
        <f aca="false">D276+E276+IF(G276&gt;0,G276,F276)</f>
        <v>0</v>
      </c>
      <c r="I276" s="35"/>
      <c r="J276" s="31" t="n">
        <f aca="false">IFERROR(H276/I276,0)</f>
        <v>0</v>
      </c>
      <c r="K276" s="16"/>
    </row>
    <row r="277" customFormat="false" ht="15" hidden="false" customHeight="true" outlineLevel="0" collapsed="false">
      <c r="B277" s="34" t="n">
        <v>46172</v>
      </c>
      <c r="C277" s="14" t="str">
        <f aca="false">IFERROR(TEXT(B277,"ddd"),"")</f>
        <v>Sat</v>
      </c>
      <c r="D277" s="22"/>
      <c r="E277" s="22"/>
      <c r="F277" s="31" t="n">
        <f aca="false">IFERROR(SUMIFS('Cash Transactions'!F6:F500,'Cash Transactions'!B6:B500,B277),0)</f>
        <v>0</v>
      </c>
      <c r="G277" s="22"/>
      <c r="H277" s="31" t="n">
        <f aca="false">D277+E277+IF(G277&gt;0,G277,F277)</f>
        <v>0</v>
      </c>
      <c r="I277" s="35"/>
      <c r="J277" s="31" t="n">
        <f aca="false">IFERROR(H277/I277,0)</f>
        <v>0</v>
      </c>
      <c r="K277" s="16"/>
    </row>
    <row r="278" customFormat="false" ht="15" hidden="false" customHeight="true" outlineLevel="0" collapsed="false">
      <c r="B278" s="34" t="n">
        <v>46173</v>
      </c>
      <c r="C278" s="14" t="str">
        <f aca="false">IFERROR(TEXT(B278,"ddd"),"")</f>
        <v>Sun</v>
      </c>
      <c r="D278" s="22"/>
      <c r="E278" s="22"/>
      <c r="F278" s="31" t="n">
        <f aca="false">IFERROR(SUMIFS('Cash Transactions'!F6:F500,'Cash Transactions'!B6:B500,B278),0)</f>
        <v>0</v>
      </c>
      <c r="G278" s="22"/>
      <c r="H278" s="31" t="n">
        <f aca="false">D278+E278+IF(G278&gt;0,G278,F278)</f>
        <v>0</v>
      </c>
      <c r="I278" s="35"/>
      <c r="J278" s="31" t="n">
        <f aca="false">IFERROR(H278/I278,0)</f>
        <v>0</v>
      </c>
      <c r="K278" s="16"/>
    </row>
    <row r="279" customFormat="false" ht="15" hidden="false" customHeight="true" outlineLevel="0" collapsed="false">
      <c r="B279" s="34" t="n">
        <v>46174</v>
      </c>
      <c r="C279" s="14" t="str">
        <f aca="false">IFERROR(TEXT(B279,"ddd"),"")</f>
        <v>Mon</v>
      </c>
      <c r="D279" s="22"/>
      <c r="E279" s="22"/>
      <c r="F279" s="31" t="n">
        <f aca="false">IFERROR(SUMIFS('Cash Transactions'!F6:F500,'Cash Transactions'!B6:B500,B279),0)</f>
        <v>0</v>
      </c>
      <c r="G279" s="22"/>
      <c r="H279" s="31" t="n">
        <f aca="false">D279+E279+IF(G279&gt;0,G279,F279)</f>
        <v>0</v>
      </c>
      <c r="I279" s="35"/>
      <c r="J279" s="31" t="n">
        <f aca="false">IFERROR(H279/I279,0)</f>
        <v>0</v>
      </c>
      <c r="K279" s="16"/>
    </row>
    <row r="280" customFormat="false" ht="15" hidden="false" customHeight="true" outlineLevel="0" collapsed="false">
      <c r="B280" s="34" t="n">
        <v>46175</v>
      </c>
      <c r="C280" s="14" t="str">
        <f aca="false">IFERROR(TEXT(B280,"ddd"),"")</f>
        <v>Tue</v>
      </c>
      <c r="D280" s="22"/>
      <c r="E280" s="22"/>
      <c r="F280" s="31" t="n">
        <f aca="false">IFERROR(SUMIFS('Cash Transactions'!F6:F500,'Cash Transactions'!B6:B500,B280),0)</f>
        <v>0</v>
      </c>
      <c r="G280" s="22"/>
      <c r="H280" s="31" t="n">
        <f aca="false">D280+E280+IF(G280&gt;0,G280,F280)</f>
        <v>0</v>
      </c>
      <c r="I280" s="35"/>
      <c r="J280" s="31" t="n">
        <f aca="false">IFERROR(H280/I280,0)</f>
        <v>0</v>
      </c>
      <c r="K280" s="16"/>
    </row>
    <row r="281" customFormat="false" ht="15" hidden="false" customHeight="true" outlineLevel="0" collapsed="false">
      <c r="B281" s="34" t="n">
        <v>46176</v>
      </c>
      <c r="C281" s="14" t="str">
        <f aca="false">IFERROR(TEXT(B281,"ddd"),"")</f>
        <v>Wed</v>
      </c>
      <c r="D281" s="22"/>
      <c r="E281" s="22"/>
      <c r="F281" s="31" t="n">
        <f aca="false">IFERROR(SUMIFS('Cash Transactions'!F6:F500,'Cash Transactions'!B6:B500,B281),0)</f>
        <v>0</v>
      </c>
      <c r="G281" s="22"/>
      <c r="H281" s="31" t="n">
        <f aca="false">D281+E281+IF(G281&gt;0,G281,F281)</f>
        <v>0</v>
      </c>
      <c r="I281" s="35"/>
      <c r="J281" s="31" t="n">
        <f aca="false">IFERROR(H281/I281,0)</f>
        <v>0</v>
      </c>
      <c r="K281" s="16"/>
    </row>
    <row r="282" customFormat="false" ht="15" hidden="false" customHeight="true" outlineLevel="0" collapsed="false">
      <c r="B282" s="34" t="n">
        <v>46177</v>
      </c>
      <c r="C282" s="14" t="str">
        <f aca="false">IFERROR(TEXT(B282,"ddd"),"")</f>
        <v>Thu</v>
      </c>
      <c r="D282" s="22"/>
      <c r="E282" s="22"/>
      <c r="F282" s="31" t="n">
        <f aca="false">IFERROR(SUMIFS('Cash Transactions'!F6:F500,'Cash Transactions'!B6:B500,B282),0)</f>
        <v>0</v>
      </c>
      <c r="G282" s="22"/>
      <c r="H282" s="31" t="n">
        <f aca="false">D282+E282+IF(G282&gt;0,G282,F282)</f>
        <v>0</v>
      </c>
      <c r="I282" s="35"/>
      <c r="J282" s="31" t="n">
        <f aca="false">IFERROR(H282/I282,0)</f>
        <v>0</v>
      </c>
      <c r="K282" s="16"/>
    </row>
    <row r="283" customFormat="false" ht="15" hidden="false" customHeight="true" outlineLevel="0" collapsed="false">
      <c r="B283" s="34" t="n">
        <v>46178</v>
      </c>
      <c r="C283" s="14" t="str">
        <f aca="false">IFERROR(TEXT(B283,"ddd"),"")</f>
        <v>Fri</v>
      </c>
      <c r="D283" s="22"/>
      <c r="E283" s="22"/>
      <c r="F283" s="31" t="n">
        <f aca="false">IFERROR(SUMIFS('Cash Transactions'!F6:F500,'Cash Transactions'!B6:B500,B283),0)</f>
        <v>0</v>
      </c>
      <c r="G283" s="22"/>
      <c r="H283" s="31" t="n">
        <f aca="false">D283+E283+IF(G283&gt;0,G283,F283)</f>
        <v>0</v>
      </c>
      <c r="I283" s="35"/>
      <c r="J283" s="31" t="n">
        <f aca="false">IFERROR(H283/I283,0)</f>
        <v>0</v>
      </c>
      <c r="K283" s="16"/>
    </row>
    <row r="284" customFormat="false" ht="15" hidden="false" customHeight="true" outlineLevel="0" collapsed="false">
      <c r="B284" s="34" t="n">
        <v>46179</v>
      </c>
      <c r="C284" s="14" t="str">
        <f aca="false">IFERROR(TEXT(B284,"ddd"),"")</f>
        <v>Sat</v>
      </c>
      <c r="D284" s="22"/>
      <c r="E284" s="22"/>
      <c r="F284" s="31" t="n">
        <f aca="false">IFERROR(SUMIFS('Cash Transactions'!F6:F500,'Cash Transactions'!B6:B500,B284),0)</f>
        <v>0</v>
      </c>
      <c r="G284" s="22"/>
      <c r="H284" s="31" t="n">
        <f aca="false">D284+E284+IF(G284&gt;0,G284,F284)</f>
        <v>0</v>
      </c>
      <c r="I284" s="35"/>
      <c r="J284" s="31" t="n">
        <f aca="false">IFERROR(H284/I284,0)</f>
        <v>0</v>
      </c>
      <c r="K284" s="16"/>
    </row>
    <row r="285" customFormat="false" ht="15" hidden="false" customHeight="true" outlineLevel="0" collapsed="false">
      <c r="B285" s="34" t="n">
        <v>46180</v>
      </c>
      <c r="C285" s="14" t="str">
        <f aca="false">IFERROR(TEXT(B285,"ddd"),"")</f>
        <v>Sun</v>
      </c>
      <c r="D285" s="22"/>
      <c r="E285" s="22"/>
      <c r="F285" s="31" t="n">
        <f aca="false">IFERROR(SUMIFS('Cash Transactions'!F6:F500,'Cash Transactions'!B6:B500,B285),0)</f>
        <v>0</v>
      </c>
      <c r="G285" s="22"/>
      <c r="H285" s="31" t="n">
        <f aca="false">D285+E285+IF(G285&gt;0,G285,F285)</f>
        <v>0</v>
      </c>
      <c r="I285" s="35"/>
      <c r="J285" s="31" t="n">
        <f aca="false">IFERROR(H285/I285,0)</f>
        <v>0</v>
      </c>
      <c r="K285" s="16"/>
    </row>
    <row r="286" customFormat="false" ht="15" hidden="false" customHeight="true" outlineLevel="0" collapsed="false">
      <c r="B286" s="34" t="n">
        <v>46181</v>
      </c>
      <c r="C286" s="14" t="str">
        <f aca="false">IFERROR(TEXT(B286,"ddd"),"")</f>
        <v>Mon</v>
      </c>
      <c r="D286" s="22"/>
      <c r="E286" s="22"/>
      <c r="F286" s="31" t="n">
        <f aca="false">IFERROR(SUMIFS('Cash Transactions'!F6:F500,'Cash Transactions'!B6:B500,B286),0)</f>
        <v>0</v>
      </c>
      <c r="G286" s="22"/>
      <c r="H286" s="31" t="n">
        <f aca="false">D286+E286+IF(G286&gt;0,G286,F286)</f>
        <v>0</v>
      </c>
      <c r="I286" s="35"/>
      <c r="J286" s="31" t="n">
        <f aca="false">IFERROR(H286/I286,0)</f>
        <v>0</v>
      </c>
      <c r="K286" s="16"/>
    </row>
    <row r="287" customFormat="false" ht="15" hidden="false" customHeight="true" outlineLevel="0" collapsed="false">
      <c r="B287" s="34" t="n">
        <v>46182</v>
      </c>
      <c r="C287" s="14" t="str">
        <f aca="false">IFERROR(TEXT(B287,"ddd"),"")</f>
        <v>Tue</v>
      </c>
      <c r="D287" s="22"/>
      <c r="E287" s="22"/>
      <c r="F287" s="31" t="n">
        <f aca="false">IFERROR(SUMIFS('Cash Transactions'!F6:F500,'Cash Transactions'!B6:B500,B287),0)</f>
        <v>0</v>
      </c>
      <c r="G287" s="22"/>
      <c r="H287" s="31" t="n">
        <f aca="false">D287+E287+IF(G287&gt;0,G287,F287)</f>
        <v>0</v>
      </c>
      <c r="I287" s="35"/>
      <c r="J287" s="31" t="n">
        <f aca="false">IFERROR(H287/I287,0)</f>
        <v>0</v>
      </c>
      <c r="K287" s="16"/>
    </row>
    <row r="288" customFormat="false" ht="15" hidden="false" customHeight="true" outlineLevel="0" collapsed="false">
      <c r="B288" s="34" t="n">
        <v>46183</v>
      </c>
      <c r="C288" s="14" t="str">
        <f aca="false">IFERROR(TEXT(B288,"ddd"),"")</f>
        <v>Wed</v>
      </c>
      <c r="D288" s="22"/>
      <c r="E288" s="22"/>
      <c r="F288" s="31" t="n">
        <f aca="false">IFERROR(SUMIFS('Cash Transactions'!F6:F500,'Cash Transactions'!B6:B500,B288),0)</f>
        <v>0</v>
      </c>
      <c r="G288" s="22"/>
      <c r="H288" s="31" t="n">
        <f aca="false">D288+E288+IF(G288&gt;0,G288,F288)</f>
        <v>0</v>
      </c>
      <c r="I288" s="35"/>
      <c r="J288" s="31" t="n">
        <f aca="false">IFERROR(H288/I288,0)</f>
        <v>0</v>
      </c>
      <c r="K288" s="16"/>
    </row>
    <row r="289" customFormat="false" ht="15" hidden="false" customHeight="true" outlineLevel="0" collapsed="false">
      <c r="B289" s="34" t="n">
        <v>46184</v>
      </c>
      <c r="C289" s="14" t="str">
        <f aca="false">IFERROR(TEXT(B289,"ddd"),"")</f>
        <v>Thu</v>
      </c>
      <c r="D289" s="22"/>
      <c r="E289" s="22"/>
      <c r="F289" s="31" t="n">
        <f aca="false">IFERROR(SUMIFS('Cash Transactions'!F6:F500,'Cash Transactions'!B6:B500,B289),0)</f>
        <v>0</v>
      </c>
      <c r="G289" s="22"/>
      <c r="H289" s="31" t="n">
        <f aca="false">D289+E289+IF(G289&gt;0,G289,F289)</f>
        <v>0</v>
      </c>
      <c r="I289" s="35"/>
      <c r="J289" s="31" t="n">
        <f aca="false">IFERROR(H289/I289,0)</f>
        <v>0</v>
      </c>
      <c r="K289" s="16"/>
    </row>
    <row r="290" customFormat="false" ht="15" hidden="false" customHeight="true" outlineLevel="0" collapsed="false">
      <c r="B290" s="34" t="n">
        <v>46185</v>
      </c>
      <c r="C290" s="14" t="str">
        <f aca="false">IFERROR(TEXT(B290,"ddd"),"")</f>
        <v>Fri</v>
      </c>
      <c r="D290" s="22"/>
      <c r="E290" s="22"/>
      <c r="F290" s="31" t="n">
        <f aca="false">IFERROR(SUMIFS('Cash Transactions'!F6:F500,'Cash Transactions'!B6:B500,B290),0)</f>
        <v>0</v>
      </c>
      <c r="G290" s="22"/>
      <c r="H290" s="31" t="n">
        <f aca="false">D290+E290+IF(G290&gt;0,G290,F290)</f>
        <v>0</v>
      </c>
      <c r="I290" s="35"/>
      <c r="J290" s="31" t="n">
        <f aca="false">IFERROR(H290/I290,0)</f>
        <v>0</v>
      </c>
      <c r="K290" s="16"/>
    </row>
    <row r="291" customFormat="false" ht="15" hidden="false" customHeight="true" outlineLevel="0" collapsed="false">
      <c r="B291" s="34" t="n">
        <v>46186</v>
      </c>
      <c r="C291" s="14" t="str">
        <f aca="false">IFERROR(TEXT(B291,"ddd"),"")</f>
        <v>Sat</v>
      </c>
      <c r="D291" s="22"/>
      <c r="E291" s="22"/>
      <c r="F291" s="31" t="n">
        <f aca="false">IFERROR(SUMIFS('Cash Transactions'!F6:F500,'Cash Transactions'!B6:B500,B291),0)</f>
        <v>0</v>
      </c>
      <c r="G291" s="22"/>
      <c r="H291" s="31" t="n">
        <f aca="false">D291+E291+IF(G291&gt;0,G291,F291)</f>
        <v>0</v>
      </c>
      <c r="I291" s="35"/>
      <c r="J291" s="31" t="n">
        <f aca="false">IFERROR(H291/I291,0)</f>
        <v>0</v>
      </c>
      <c r="K291" s="16"/>
    </row>
    <row r="292" customFormat="false" ht="15" hidden="false" customHeight="true" outlineLevel="0" collapsed="false">
      <c r="B292" s="34" t="n">
        <v>46187</v>
      </c>
      <c r="C292" s="14" t="str">
        <f aca="false">IFERROR(TEXT(B292,"ddd"),"")</f>
        <v>Sun</v>
      </c>
      <c r="D292" s="22"/>
      <c r="E292" s="22"/>
      <c r="F292" s="31" t="n">
        <f aca="false">IFERROR(SUMIFS('Cash Transactions'!F6:F500,'Cash Transactions'!B6:B500,B292),0)</f>
        <v>0</v>
      </c>
      <c r="G292" s="22"/>
      <c r="H292" s="31" t="n">
        <f aca="false">D292+E292+IF(G292&gt;0,G292,F292)</f>
        <v>0</v>
      </c>
      <c r="I292" s="35"/>
      <c r="J292" s="31" t="n">
        <f aca="false">IFERROR(H292/I292,0)</f>
        <v>0</v>
      </c>
      <c r="K292" s="16"/>
    </row>
    <row r="293" customFormat="false" ht="15" hidden="false" customHeight="true" outlineLevel="0" collapsed="false">
      <c r="B293" s="34" t="n">
        <v>46188</v>
      </c>
      <c r="C293" s="14" t="str">
        <f aca="false">IFERROR(TEXT(B293,"ddd"),"")</f>
        <v>Mon</v>
      </c>
      <c r="D293" s="22"/>
      <c r="E293" s="22"/>
      <c r="F293" s="31" t="n">
        <f aca="false">IFERROR(SUMIFS('Cash Transactions'!F6:F500,'Cash Transactions'!B6:B500,B293),0)</f>
        <v>0</v>
      </c>
      <c r="G293" s="22"/>
      <c r="H293" s="31" t="n">
        <f aca="false">D293+E293+IF(G293&gt;0,G293,F293)</f>
        <v>0</v>
      </c>
      <c r="I293" s="35"/>
      <c r="J293" s="31" t="n">
        <f aca="false">IFERROR(H293/I293,0)</f>
        <v>0</v>
      </c>
      <c r="K293" s="16"/>
    </row>
    <row r="294" customFormat="false" ht="15" hidden="false" customHeight="true" outlineLevel="0" collapsed="false">
      <c r="B294" s="34" t="n">
        <v>46189</v>
      </c>
      <c r="C294" s="14" t="str">
        <f aca="false">IFERROR(TEXT(B294,"ddd"),"")</f>
        <v>Tue</v>
      </c>
      <c r="D294" s="22"/>
      <c r="E294" s="22"/>
      <c r="F294" s="31" t="n">
        <f aca="false">IFERROR(SUMIFS('Cash Transactions'!F6:F500,'Cash Transactions'!B6:B500,B294),0)</f>
        <v>0</v>
      </c>
      <c r="G294" s="22"/>
      <c r="H294" s="31" t="n">
        <f aca="false">D294+E294+IF(G294&gt;0,G294,F294)</f>
        <v>0</v>
      </c>
      <c r="I294" s="35"/>
      <c r="J294" s="31" t="n">
        <f aca="false">IFERROR(H294/I294,0)</f>
        <v>0</v>
      </c>
      <c r="K294" s="16"/>
    </row>
    <row r="295" customFormat="false" ht="15" hidden="false" customHeight="true" outlineLevel="0" collapsed="false">
      <c r="B295" s="34" t="n">
        <v>46190</v>
      </c>
      <c r="C295" s="14" t="str">
        <f aca="false">IFERROR(TEXT(B295,"ddd"),"")</f>
        <v>Wed</v>
      </c>
      <c r="D295" s="22"/>
      <c r="E295" s="22"/>
      <c r="F295" s="31" t="n">
        <f aca="false">IFERROR(SUMIFS('Cash Transactions'!F6:F500,'Cash Transactions'!B6:B500,B295),0)</f>
        <v>0</v>
      </c>
      <c r="G295" s="22"/>
      <c r="H295" s="31" t="n">
        <f aca="false">D295+E295+IF(G295&gt;0,G295,F295)</f>
        <v>0</v>
      </c>
      <c r="I295" s="35"/>
      <c r="J295" s="31" t="n">
        <f aca="false">IFERROR(H295/I295,0)</f>
        <v>0</v>
      </c>
      <c r="K295" s="16"/>
    </row>
    <row r="296" customFormat="false" ht="15" hidden="false" customHeight="true" outlineLevel="0" collapsed="false">
      <c r="B296" s="34" t="n">
        <v>46191</v>
      </c>
      <c r="C296" s="14" t="str">
        <f aca="false">IFERROR(TEXT(B296,"ddd"),"")</f>
        <v>Thu</v>
      </c>
      <c r="D296" s="22"/>
      <c r="E296" s="22"/>
      <c r="F296" s="31" t="n">
        <f aca="false">IFERROR(SUMIFS('Cash Transactions'!F6:F500,'Cash Transactions'!B6:B500,B296),0)</f>
        <v>0</v>
      </c>
      <c r="G296" s="22"/>
      <c r="H296" s="31" t="n">
        <f aca="false">D296+E296+IF(G296&gt;0,G296,F296)</f>
        <v>0</v>
      </c>
      <c r="I296" s="35"/>
      <c r="J296" s="31" t="n">
        <f aca="false">IFERROR(H296/I296,0)</f>
        <v>0</v>
      </c>
      <c r="K296" s="16"/>
    </row>
    <row r="297" customFormat="false" ht="15" hidden="false" customHeight="true" outlineLevel="0" collapsed="false">
      <c r="B297" s="34" t="n">
        <v>46192</v>
      </c>
      <c r="C297" s="14" t="str">
        <f aca="false">IFERROR(TEXT(B297,"ddd"),"")</f>
        <v>Fri</v>
      </c>
      <c r="D297" s="22"/>
      <c r="E297" s="22"/>
      <c r="F297" s="31" t="n">
        <f aca="false">IFERROR(SUMIFS('Cash Transactions'!F6:F500,'Cash Transactions'!B6:B500,B297),0)</f>
        <v>0</v>
      </c>
      <c r="G297" s="22"/>
      <c r="H297" s="31" t="n">
        <f aca="false">D297+E297+IF(G297&gt;0,G297,F297)</f>
        <v>0</v>
      </c>
      <c r="I297" s="35"/>
      <c r="J297" s="31" t="n">
        <f aca="false">IFERROR(H297/I297,0)</f>
        <v>0</v>
      </c>
      <c r="K297" s="16"/>
    </row>
    <row r="298" customFormat="false" ht="15" hidden="false" customHeight="true" outlineLevel="0" collapsed="false">
      <c r="B298" s="34" t="n">
        <v>46193</v>
      </c>
      <c r="C298" s="14" t="str">
        <f aca="false">IFERROR(TEXT(B298,"ddd"),"")</f>
        <v>Sat</v>
      </c>
      <c r="D298" s="22"/>
      <c r="E298" s="22"/>
      <c r="F298" s="31" t="n">
        <f aca="false">IFERROR(SUMIFS('Cash Transactions'!F6:F500,'Cash Transactions'!B6:B500,B298),0)</f>
        <v>0</v>
      </c>
      <c r="G298" s="22"/>
      <c r="H298" s="31" t="n">
        <f aca="false">D298+E298+IF(G298&gt;0,G298,F298)</f>
        <v>0</v>
      </c>
      <c r="I298" s="35"/>
      <c r="J298" s="31" t="n">
        <f aca="false">IFERROR(H298/I298,0)</f>
        <v>0</v>
      </c>
      <c r="K298" s="16"/>
    </row>
    <row r="299" customFormat="false" ht="15" hidden="false" customHeight="true" outlineLevel="0" collapsed="false">
      <c r="B299" s="34" t="n">
        <v>46194</v>
      </c>
      <c r="C299" s="14" t="str">
        <f aca="false">IFERROR(TEXT(B299,"ddd"),"")</f>
        <v>Sun</v>
      </c>
      <c r="D299" s="22"/>
      <c r="E299" s="22"/>
      <c r="F299" s="31" t="n">
        <f aca="false">IFERROR(SUMIFS('Cash Transactions'!F6:F500,'Cash Transactions'!B6:B500,B299),0)</f>
        <v>0</v>
      </c>
      <c r="G299" s="22"/>
      <c r="H299" s="31" t="n">
        <f aca="false">D299+E299+IF(G299&gt;0,G299,F299)</f>
        <v>0</v>
      </c>
      <c r="I299" s="35"/>
      <c r="J299" s="31" t="n">
        <f aca="false">IFERROR(H299/I299,0)</f>
        <v>0</v>
      </c>
      <c r="K299" s="16"/>
    </row>
    <row r="300" customFormat="false" ht="15" hidden="false" customHeight="true" outlineLevel="0" collapsed="false">
      <c r="B300" s="34" t="n">
        <v>46195</v>
      </c>
      <c r="C300" s="14" t="str">
        <f aca="false">IFERROR(TEXT(B300,"ddd"),"")</f>
        <v>Mon</v>
      </c>
      <c r="D300" s="22"/>
      <c r="E300" s="22"/>
      <c r="F300" s="31" t="n">
        <f aca="false">IFERROR(SUMIFS('Cash Transactions'!F6:F500,'Cash Transactions'!B6:B500,B300),0)</f>
        <v>0</v>
      </c>
      <c r="G300" s="22"/>
      <c r="H300" s="31" t="n">
        <f aca="false">D300+E300+IF(G300&gt;0,G300,F300)</f>
        <v>0</v>
      </c>
      <c r="I300" s="35"/>
      <c r="J300" s="31" t="n">
        <f aca="false">IFERROR(H300/I300,0)</f>
        <v>0</v>
      </c>
      <c r="K300" s="16"/>
    </row>
    <row r="301" customFormat="false" ht="15" hidden="false" customHeight="true" outlineLevel="0" collapsed="false">
      <c r="B301" s="34" t="n">
        <v>46196</v>
      </c>
      <c r="C301" s="14" t="str">
        <f aca="false">IFERROR(TEXT(B301,"ddd"),"")</f>
        <v>Tue</v>
      </c>
      <c r="D301" s="22"/>
      <c r="E301" s="22"/>
      <c r="F301" s="31" t="n">
        <f aca="false">IFERROR(SUMIFS('Cash Transactions'!F6:F500,'Cash Transactions'!B6:B500,B301),0)</f>
        <v>0</v>
      </c>
      <c r="G301" s="22"/>
      <c r="H301" s="31" t="n">
        <f aca="false">D301+E301+IF(G301&gt;0,G301,F301)</f>
        <v>0</v>
      </c>
      <c r="I301" s="35"/>
      <c r="J301" s="31" t="n">
        <f aca="false">IFERROR(H301/I301,0)</f>
        <v>0</v>
      </c>
      <c r="K301" s="16"/>
    </row>
    <row r="302" customFormat="false" ht="15" hidden="false" customHeight="true" outlineLevel="0" collapsed="false">
      <c r="B302" s="34" t="n">
        <v>46197</v>
      </c>
      <c r="C302" s="14" t="str">
        <f aca="false">IFERROR(TEXT(B302,"ddd"),"")</f>
        <v>Wed</v>
      </c>
      <c r="D302" s="22"/>
      <c r="E302" s="22"/>
      <c r="F302" s="31" t="n">
        <f aca="false">IFERROR(SUMIFS('Cash Transactions'!F6:F500,'Cash Transactions'!B6:B500,B302),0)</f>
        <v>0</v>
      </c>
      <c r="G302" s="22"/>
      <c r="H302" s="31" t="n">
        <f aca="false">D302+E302+IF(G302&gt;0,G302,F302)</f>
        <v>0</v>
      </c>
      <c r="I302" s="35"/>
      <c r="J302" s="31" t="n">
        <f aca="false">IFERROR(H302/I302,0)</f>
        <v>0</v>
      </c>
      <c r="K302" s="16"/>
    </row>
    <row r="303" customFormat="false" ht="15" hidden="false" customHeight="true" outlineLevel="0" collapsed="false">
      <c r="B303" s="34" t="n">
        <v>46198</v>
      </c>
      <c r="C303" s="14" t="str">
        <f aca="false">IFERROR(TEXT(B303,"ddd"),"")</f>
        <v>Thu</v>
      </c>
      <c r="D303" s="22"/>
      <c r="E303" s="22"/>
      <c r="F303" s="31" t="n">
        <f aca="false">IFERROR(SUMIFS('Cash Transactions'!F6:F500,'Cash Transactions'!B6:B500,B303),0)</f>
        <v>0</v>
      </c>
      <c r="G303" s="22"/>
      <c r="H303" s="31" t="n">
        <f aca="false">D303+E303+IF(G303&gt;0,G303,F303)</f>
        <v>0</v>
      </c>
      <c r="I303" s="35"/>
      <c r="J303" s="31" t="n">
        <f aca="false">IFERROR(H303/I303,0)</f>
        <v>0</v>
      </c>
      <c r="K303" s="16"/>
    </row>
    <row r="304" customFormat="false" ht="15" hidden="false" customHeight="true" outlineLevel="0" collapsed="false">
      <c r="B304" s="34" t="n">
        <v>46199</v>
      </c>
      <c r="C304" s="14" t="str">
        <f aca="false">IFERROR(TEXT(B304,"ddd"),"")</f>
        <v>Fri</v>
      </c>
      <c r="D304" s="22"/>
      <c r="E304" s="22"/>
      <c r="F304" s="31" t="n">
        <f aca="false">IFERROR(SUMIFS('Cash Transactions'!F6:F500,'Cash Transactions'!B6:B500,B304),0)</f>
        <v>0</v>
      </c>
      <c r="G304" s="22"/>
      <c r="H304" s="31" t="n">
        <f aca="false">D304+E304+IF(G304&gt;0,G304,F304)</f>
        <v>0</v>
      </c>
      <c r="I304" s="35"/>
      <c r="J304" s="31" t="n">
        <f aca="false">IFERROR(H304/I304,0)</f>
        <v>0</v>
      </c>
      <c r="K304" s="16"/>
    </row>
    <row r="305" customFormat="false" ht="15" hidden="false" customHeight="true" outlineLevel="0" collapsed="false">
      <c r="B305" s="34" t="n">
        <v>46200</v>
      </c>
      <c r="C305" s="14" t="str">
        <f aca="false">IFERROR(TEXT(B305,"ddd"),"")</f>
        <v>Sat</v>
      </c>
      <c r="D305" s="22"/>
      <c r="E305" s="22"/>
      <c r="F305" s="31" t="n">
        <f aca="false">IFERROR(SUMIFS('Cash Transactions'!F6:F500,'Cash Transactions'!B6:B500,B305),0)</f>
        <v>0</v>
      </c>
      <c r="G305" s="22"/>
      <c r="H305" s="31" t="n">
        <f aca="false">D305+E305+IF(G305&gt;0,G305,F305)</f>
        <v>0</v>
      </c>
      <c r="I305" s="35"/>
      <c r="J305" s="31" t="n">
        <f aca="false">IFERROR(H305/I305,0)</f>
        <v>0</v>
      </c>
      <c r="K305" s="16"/>
    </row>
    <row r="306" customFormat="false" ht="15" hidden="false" customHeight="true" outlineLevel="0" collapsed="false">
      <c r="B306" s="34" t="n">
        <v>46201</v>
      </c>
      <c r="C306" s="14" t="str">
        <f aca="false">IFERROR(TEXT(B306,"ddd"),"")</f>
        <v>Sun</v>
      </c>
      <c r="D306" s="22"/>
      <c r="E306" s="22"/>
      <c r="F306" s="31" t="n">
        <f aca="false">IFERROR(SUMIFS('Cash Transactions'!F6:F500,'Cash Transactions'!B6:B500,B306),0)</f>
        <v>0</v>
      </c>
      <c r="G306" s="22"/>
      <c r="H306" s="31" t="n">
        <f aca="false">D306+E306+IF(G306&gt;0,G306,F306)</f>
        <v>0</v>
      </c>
      <c r="I306" s="35"/>
      <c r="J306" s="31" t="n">
        <f aca="false">IFERROR(H306/I306,0)</f>
        <v>0</v>
      </c>
      <c r="K306" s="16"/>
    </row>
    <row r="307" customFormat="false" ht="15" hidden="false" customHeight="true" outlineLevel="0" collapsed="false">
      <c r="B307" s="34" t="n">
        <v>46202</v>
      </c>
      <c r="C307" s="14" t="str">
        <f aca="false">IFERROR(TEXT(B307,"ddd"),"")</f>
        <v>Mon</v>
      </c>
      <c r="D307" s="22"/>
      <c r="E307" s="22"/>
      <c r="F307" s="31" t="n">
        <f aca="false">IFERROR(SUMIFS('Cash Transactions'!F6:F500,'Cash Transactions'!B6:B500,B307),0)</f>
        <v>0</v>
      </c>
      <c r="G307" s="22"/>
      <c r="H307" s="31" t="n">
        <f aca="false">D307+E307+IF(G307&gt;0,G307,F307)</f>
        <v>0</v>
      </c>
      <c r="I307" s="35"/>
      <c r="J307" s="31" t="n">
        <f aca="false">IFERROR(H307/I307,0)</f>
        <v>0</v>
      </c>
      <c r="K307" s="16"/>
    </row>
    <row r="308" customFormat="false" ht="15" hidden="false" customHeight="true" outlineLevel="0" collapsed="false">
      <c r="B308" s="34" t="n">
        <v>46203</v>
      </c>
      <c r="C308" s="14" t="str">
        <f aca="false">IFERROR(TEXT(B308,"ddd"),"")</f>
        <v>Tue</v>
      </c>
      <c r="D308" s="22"/>
      <c r="E308" s="22"/>
      <c r="F308" s="31" t="n">
        <f aca="false">IFERROR(SUMIFS('Cash Transactions'!F6:F500,'Cash Transactions'!B6:B500,B308),0)</f>
        <v>0</v>
      </c>
      <c r="G308" s="22"/>
      <c r="H308" s="31" t="n">
        <f aca="false">D308+E308+IF(G308&gt;0,G308,F308)</f>
        <v>0</v>
      </c>
      <c r="I308" s="35"/>
      <c r="J308" s="31" t="n">
        <f aca="false">IFERROR(H308/I308,0)</f>
        <v>0</v>
      </c>
      <c r="K308" s="16"/>
    </row>
    <row r="309" customFormat="false" ht="15" hidden="false" customHeight="true" outlineLevel="0" collapsed="false">
      <c r="B309" s="34" t="n">
        <v>46204</v>
      </c>
      <c r="C309" s="14" t="str">
        <f aca="false">IFERROR(TEXT(B309,"ddd"),"")</f>
        <v>Wed</v>
      </c>
      <c r="D309" s="22"/>
      <c r="E309" s="22"/>
      <c r="F309" s="31" t="n">
        <f aca="false">IFERROR(SUMIFS('Cash Transactions'!F6:F500,'Cash Transactions'!B6:B500,B309),0)</f>
        <v>0</v>
      </c>
      <c r="G309" s="22"/>
      <c r="H309" s="31" t="n">
        <f aca="false">D309+E309+IF(G309&gt;0,G309,F309)</f>
        <v>0</v>
      </c>
      <c r="I309" s="35"/>
      <c r="J309" s="31" t="n">
        <f aca="false">IFERROR(H309/I309,0)</f>
        <v>0</v>
      </c>
      <c r="K309" s="16"/>
    </row>
    <row r="310" customFormat="false" ht="15" hidden="false" customHeight="true" outlineLevel="0" collapsed="false">
      <c r="B310" s="34" t="n">
        <v>46205</v>
      </c>
      <c r="C310" s="14" t="str">
        <f aca="false">IFERROR(TEXT(B310,"ddd"),"")</f>
        <v>Thu</v>
      </c>
      <c r="D310" s="22"/>
      <c r="E310" s="22"/>
      <c r="F310" s="31" t="n">
        <f aca="false">IFERROR(SUMIFS('Cash Transactions'!F6:F500,'Cash Transactions'!B6:B500,B310),0)</f>
        <v>0</v>
      </c>
      <c r="G310" s="22"/>
      <c r="H310" s="31" t="n">
        <f aca="false">D310+E310+IF(G310&gt;0,G310,F310)</f>
        <v>0</v>
      </c>
      <c r="I310" s="35"/>
      <c r="J310" s="31" t="n">
        <f aca="false">IFERROR(H310/I310,0)</f>
        <v>0</v>
      </c>
      <c r="K310" s="16"/>
    </row>
    <row r="311" customFormat="false" ht="15" hidden="false" customHeight="true" outlineLevel="0" collapsed="false">
      <c r="B311" s="34" t="n">
        <v>46206</v>
      </c>
      <c r="C311" s="14" t="str">
        <f aca="false">IFERROR(TEXT(B311,"ddd"),"")</f>
        <v>Fri</v>
      </c>
      <c r="D311" s="22"/>
      <c r="E311" s="22"/>
      <c r="F311" s="31" t="n">
        <f aca="false">IFERROR(SUMIFS('Cash Transactions'!F6:F500,'Cash Transactions'!B6:B500,B311),0)</f>
        <v>0</v>
      </c>
      <c r="G311" s="22"/>
      <c r="H311" s="31" t="n">
        <f aca="false">D311+E311+IF(G311&gt;0,G311,F311)</f>
        <v>0</v>
      </c>
      <c r="I311" s="35"/>
      <c r="J311" s="31" t="n">
        <f aca="false">IFERROR(H311/I311,0)</f>
        <v>0</v>
      </c>
      <c r="K311" s="16"/>
    </row>
    <row r="312" customFormat="false" ht="15" hidden="false" customHeight="true" outlineLevel="0" collapsed="false">
      <c r="B312" s="34" t="n">
        <v>46207</v>
      </c>
      <c r="C312" s="14" t="str">
        <f aca="false">IFERROR(TEXT(B312,"ddd"),"")</f>
        <v>Sat</v>
      </c>
      <c r="D312" s="22"/>
      <c r="E312" s="22"/>
      <c r="F312" s="31" t="n">
        <f aca="false">IFERROR(SUMIFS('Cash Transactions'!F6:F500,'Cash Transactions'!B6:B500,B312),0)</f>
        <v>0</v>
      </c>
      <c r="G312" s="22"/>
      <c r="H312" s="31" t="n">
        <f aca="false">D312+E312+IF(G312&gt;0,G312,F312)</f>
        <v>0</v>
      </c>
      <c r="I312" s="35"/>
      <c r="J312" s="31" t="n">
        <f aca="false">IFERROR(H312/I312,0)</f>
        <v>0</v>
      </c>
      <c r="K312" s="16"/>
    </row>
    <row r="313" customFormat="false" ht="15" hidden="false" customHeight="true" outlineLevel="0" collapsed="false">
      <c r="B313" s="34" t="n">
        <v>46208</v>
      </c>
      <c r="C313" s="14" t="str">
        <f aca="false">IFERROR(TEXT(B313,"ddd"),"")</f>
        <v>Sun</v>
      </c>
      <c r="D313" s="22"/>
      <c r="E313" s="22"/>
      <c r="F313" s="31" t="n">
        <f aca="false">IFERROR(SUMIFS('Cash Transactions'!F6:F500,'Cash Transactions'!B6:B500,B313),0)</f>
        <v>0</v>
      </c>
      <c r="G313" s="22"/>
      <c r="H313" s="31" t="n">
        <f aca="false">D313+E313+IF(G313&gt;0,G313,F313)</f>
        <v>0</v>
      </c>
      <c r="I313" s="35"/>
      <c r="J313" s="31" t="n">
        <f aca="false">IFERROR(H313/I313,0)</f>
        <v>0</v>
      </c>
      <c r="K313" s="16"/>
    </row>
    <row r="314" customFormat="false" ht="15" hidden="false" customHeight="true" outlineLevel="0" collapsed="false">
      <c r="B314" s="34" t="n">
        <v>46209</v>
      </c>
      <c r="C314" s="14" t="str">
        <f aca="false">IFERROR(TEXT(B314,"ddd"),"")</f>
        <v>Mon</v>
      </c>
      <c r="D314" s="22"/>
      <c r="E314" s="22"/>
      <c r="F314" s="31" t="n">
        <f aca="false">IFERROR(SUMIFS('Cash Transactions'!F6:F500,'Cash Transactions'!B6:B500,B314),0)</f>
        <v>0</v>
      </c>
      <c r="G314" s="22"/>
      <c r="H314" s="31" t="n">
        <f aca="false">D314+E314+IF(G314&gt;0,G314,F314)</f>
        <v>0</v>
      </c>
      <c r="I314" s="35"/>
      <c r="J314" s="31" t="n">
        <f aca="false">IFERROR(H314/I314,0)</f>
        <v>0</v>
      </c>
      <c r="K314" s="16"/>
    </row>
    <row r="315" customFormat="false" ht="15" hidden="false" customHeight="true" outlineLevel="0" collapsed="false">
      <c r="B315" s="34" t="n">
        <v>46210</v>
      </c>
      <c r="C315" s="14" t="str">
        <f aca="false">IFERROR(TEXT(B315,"ddd"),"")</f>
        <v>Tue</v>
      </c>
      <c r="D315" s="22"/>
      <c r="E315" s="22"/>
      <c r="F315" s="31" t="n">
        <f aca="false">IFERROR(SUMIFS('Cash Transactions'!F6:F500,'Cash Transactions'!B6:B500,B315),0)</f>
        <v>0</v>
      </c>
      <c r="G315" s="22"/>
      <c r="H315" s="31" t="n">
        <f aca="false">D315+E315+IF(G315&gt;0,G315,F315)</f>
        <v>0</v>
      </c>
      <c r="I315" s="35"/>
      <c r="J315" s="31" t="n">
        <f aca="false">IFERROR(H315/I315,0)</f>
        <v>0</v>
      </c>
      <c r="K315" s="16"/>
    </row>
    <row r="316" customFormat="false" ht="15" hidden="false" customHeight="true" outlineLevel="0" collapsed="false">
      <c r="B316" s="34" t="n">
        <v>46211</v>
      </c>
      <c r="C316" s="14" t="str">
        <f aca="false">IFERROR(TEXT(B316,"ddd"),"")</f>
        <v>Wed</v>
      </c>
      <c r="D316" s="22"/>
      <c r="E316" s="22"/>
      <c r="F316" s="31" t="n">
        <f aca="false">IFERROR(SUMIFS('Cash Transactions'!F6:F500,'Cash Transactions'!B6:B500,B316),0)</f>
        <v>0</v>
      </c>
      <c r="G316" s="22"/>
      <c r="H316" s="31" t="n">
        <f aca="false">D316+E316+IF(G316&gt;0,G316,F316)</f>
        <v>0</v>
      </c>
      <c r="I316" s="35"/>
      <c r="J316" s="31" t="n">
        <f aca="false">IFERROR(H316/I316,0)</f>
        <v>0</v>
      </c>
      <c r="K316" s="16"/>
    </row>
    <row r="317" customFormat="false" ht="15" hidden="false" customHeight="true" outlineLevel="0" collapsed="false">
      <c r="B317" s="34" t="n">
        <v>46212</v>
      </c>
      <c r="C317" s="14" t="str">
        <f aca="false">IFERROR(TEXT(B317,"ddd"),"")</f>
        <v>Thu</v>
      </c>
      <c r="D317" s="22"/>
      <c r="E317" s="22"/>
      <c r="F317" s="31" t="n">
        <f aca="false">IFERROR(SUMIFS('Cash Transactions'!F6:F500,'Cash Transactions'!B6:B500,B317),0)</f>
        <v>0</v>
      </c>
      <c r="G317" s="22"/>
      <c r="H317" s="31" t="n">
        <f aca="false">D317+E317+IF(G317&gt;0,G317,F317)</f>
        <v>0</v>
      </c>
      <c r="I317" s="35"/>
      <c r="J317" s="31" t="n">
        <f aca="false">IFERROR(H317/I317,0)</f>
        <v>0</v>
      </c>
      <c r="K317" s="16"/>
    </row>
    <row r="318" customFormat="false" ht="15" hidden="false" customHeight="true" outlineLevel="0" collapsed="false">
      <c r="B318" s="34" t="n">
        <v>46213</v>
      </c>
      <c r="C318" s="14" t="str">
        <f aca="false">IFERROR(TEXT(B318,"ddd"),"")</f>
        <v>Fri</v>
      </c>
      <c r="D318" s="22"/>
      <c r="E318" s="22"/>
      <c r="F318" s="31" t="n">
        <f aca="false">IFERROR(SUMIFS('Cash Transactions'!F6:F500,'Cash Transactions'!B6:B500,B318),0)</f>
        <v>0</v>
      </c>
      <c r="G318" s="22"/>
      <c r="H318" s="31" t="n">
        <f aca="false">D318+E318+IF(G318&gt;0,G318,F318)</f>
        <v>0</v>
      </c>
      <c r="I318" s="35"/>
      <c r="J318" s="31" t="n">
        <f aca="false">IFERROR(H318/I318,0)</f>
        <v>0</v>
      </c>
      <c r="K318" s="16"/>
    </row>
    <row r="319" customFormat="false" ht="15" hidden="false" customHeight="true" outlineLevel="0" collapsed="false">
      <c r="B319" s="34" t="n">
        <v>46214</v>
      </c>
      <c r="C319" s="14" t="str">
        <f aca="false">IFERROR(TEXT(B319,"ddd"),"")</f>
        <v>Sat</v>
      </c>
      <c r="D319" s="22"/>
      <c r="E319" s="22"/>
      <c r="F319" s="31" t="n">
        <f aca="false">IFERROR(SUMIFS('Cash Transactions'!F6:F500,'Cash Transactions'!B6:B500,B319),0)</f>
        <v>0</v>
      </c>
      <c r="G319" s="22"/>
      <c r="H319" s="31" t="n">
        <f aca="false">D319+E319+IF(G319&gt;0,G319,F319)</f>
        <v>0</v>
      </c>
      <c r="I319" s="35"/>
      <c r="J319" s="31" t="n">
        <f aca="false">IFERROR(H319/I319,0)</f>
        <v>0</v>
      </c>
      <c r="K319" s="16"/>
    </row>
    <row r="320" customFormat="false" ht="15" hidden="false" customHeight="true" outlineLevel="0" collapsed="false">
      <c r="B320" s="34" t="n">
        <v>46215</v>
      </c>
      <c r="C320" s="14" t="str">
        <f aca="false">IFERROR(TEXT(B320,"ddd"),"")</f>
        <v>Sun</v>
      </c>
      <c r="D320" s="22"/>
      <c r="E320" s="22"/>
      <c r="F320" s="31" t="n">
        <f aca="false">IFERROR(SUMIFS('Cash Transactions'!F6:F500,'Cash Transactions'!B6:B500,B320),0)</f>
        <v>0</v>
      </c>
      <c r="G320" s="22"/>
      <c r="H320" s="31" t="n">
        <f aca="false">D320+E320+IF(G320&gt;0,G320,F320)</f>
        <v>0</v>
      </c>
      <c r="I320" s="35"/>
      <c r="J320" s="31" t="n">
        <f aca="false">IFERROR(H320/I320,0)</f>
        <v>0</v>
      </c>
      <c r="K320" s="16"/>
    </row>
    <row r="321" customFormat="false" ht="15" hidden="false" customHeight="true" outlineLevel="0" collapsed="false">
      <c r="B321" s="34" t="n">
        <v>46216</v>
      </c>
      <c r="C321" s="14" t="str">
        <f aca="false">IFERROR(TEXT(B321,"ddd"),"")</f>
        <v>Mon</v>
      </c>
      <c r="D321" s="22"/>
      <c r="E321" s="22"/>
      <c r="F321" s="31" t="n">
        <f aca="false">IFERROR(SUMIFS('Cash Transactions'!F6:F500,'Cash Transactions'!B6:B500,B321),0)</f>
        <v>0</v>
      </c>
      <c r="G321" s="22"/>
      <c r="H321" s="31" t="n">
        <f aca="false">D321+E321+IF(G321&gt;0,G321,F321)</f>
        <v>0</v>
      </c>
      <c r="I321" s="35"/>
      <c r="J321" s="31" t="n">
        <f aca="false">IFERROR(H321/I321,0)</f>
        <v>0</v>
      </c>
      <c r="K321" s="16"/>
    </row>
    <row r="322" customFormat="false" ht="15" hidden="false" customHeight="true" outlineLevel="0" collapsed="false">
      <c r="B322" s="34" t="n">
        <v>46217</v>
      </c>
      <c r="C322" s="14" t="str">
        <f aca="false">IFERROR(TEXT(B322,"ddd"),"")</f>
        <v>Tue</v>
      </c>
      <c r="D322" s="22"/>
      <c r="E322" s="22"/>
      <c r="F322" s="31" t="n">
        <f aca="false">IFERROR(SUMIFS('Cash Transactions'!F6:F500,'Cash Transactions'!B6:B500,B322),0)</f>
        <v>0</v>
      </c>
      <c r="G322" s="22"/>
      <c r="H322" s="31" t="n">
        <f aca="false">D322+E322+IF(G322&gt;0,G322,F322)</f>
        <v>0</v>
      </c>
      <c r="I322" s="35"/>
      <c r="J322" s="31" t="n">
        <f aca="false">IFERROR(H322/I322,0)</f>
        <v>0</v>
      </c>
      <c r="K322" s="16"/>
    </row>
    <row r="323" customFormat="false" ht="15" hidden="false" customHeight="true" outlineLevel="0" collapsed="false">
      <c r="B323" s="34" t="n">
        <v>46218</v>
      </c>
      <c r="C323" s="14" t="str">
        <f aca="false">IFERROR(TEXT(B323,"ddd"),"")</f>
        <v>Wed</v>
      </c>
      <c r="D323" s="22"/>
      <c r="E323" s="22"/>
      <c r="F323" s="31" t="n">
        <f aca="false">IFERROR(SUMIFS('Cash Transactions'!F6:F500,'Cash Transactions'!B6:B500,B323),0)</f>
        <v>0</v>
      </c>
      <c r="G323" s="22"/>
      <c r="H323" s="31" t="n">
        <f aca="false">D323+E323+IF(G323&gt;0,G323,F323)</f>
        <v>0</v>
      </c>
      <c r="I323" s="35"/>
      <c r="J323" s="31" t="n">
        <f aca="false">IFERROR(H323/I323,0)</f>
        <v>0</v>
      </c>
      <c r="K323" s="16"/>
    </row>
    <row r="324" customFormat="false" ht="15" hidden="false" customHeight="true" outlineLevel="0" collapsed="false">
      <c r="B324" s="34" t="n">
        <v>46219</v>
      </c>
      <c r="C324" s="14" t="str">
        <f aca="false">IFERROR(TEXT(B324,"ddd"),"")</f>
        <v>Thu</v>
      </c>
      <c r="D324" s="22"/>
      <c r="E324" s="22"/>
      <c r="F324" s="31" t="n">
        <f aca="false">IFERROR(SUMIFS('Cash Transactions'!F6:F500,'Cash Transactions'!B6:B500,B324),0)</f>
        <v>0</v>
      </c>
      <c r="G324" s="22"/>
      <c r="H324" s="31" t="n">
        <f aca="false">D324+E324+IF(G324&gt;0,G324,F324)</f>
        <v>0</v>
      </c>
      <c r="I324" s="35"/>
      <c r="J324" s="31" t="n">
        <f aca="false">IFERROR(H324/I324,0)</f>
        <v>0</v>
      </c>
      <c r="K324" s="16"/>
    </row>
    <row r="325" customFormat="false" ht="15" hidden="false" customHeight="true" outlineLevel="0" collapsed="false">
      <c r="B325" s="34" t="n">
        <v>46220</v>
      </c>
      <c r="C325" s="14" t="str">
        <f aca="false">IFERROR(TEXT(B325,"ddd"),"")</f>
        <v>Fri</v>
      </c>
      <c r="D325" s="22"/>
      <c r="E325" s="22"/>
      <c r="F325" s="31" t="n">
        <f aca="false">IFERROR(SUMIFS('Cash Transactions'!F6:F500,'Cash Transactions'!B6:B500,B325),0)</f>
        <v>0</v>
      </c>
      <c r="G325" s="22"/>
      <c r="H325" s="31" t="n">
        <f aca="false">D325+E325+IF(G325&gt;0,G325,F325)</f>
        <v>0</v>
      </c>
      <c r="I325" s="35"/>
      <c r="J325" s="31" t="n">
        <f aca="false">IFERROR(H325/I325,0)</f>
        <v>0</v>
      </c>
      <c r="K325" s="16"/>
    </row>
    <row r="326" customFormat="false" ht="15" hidden="false" customHeight="true" outlineLevel="0" collapsed="false">
      <c r="B326" s="34" t="n">
        <v>46221</v>
      </c>
      <c r="C326" s="14" t="str">
        <f aca="false">IFERROR(TEXT(B326,"ddd"),"")</f>
        <v>Sat</v>
      </c>
      <c r="D326" s="22"/>
      <c r="E326" s="22"/>
      <c r="F326" s="31" t="n">
        <f aca="false">IFERROR(SUMIFS('Cash Transactions'!F6:F500,'Cash Transactions'!B6:B500,B326),0)</f>
        <v>0</v>
      </c>
      <c r="G326" s="22"/>
      <c r="H326" s="31" t="n">
        <f aca="false">D326+E326+IF(G326&gt;0,G326,F326)</f>
        <v>0</v>
      </c>
      <c r="I326" s="35"/>
      <c r="J326" s="31" t="n">
        <f aca="false">IFERROR(H326/I326,0)</f>
        <v>0</v>
      </c>
      <c r="K326" s="16"/>
    </row>
    <row r="327" customFormat="false" ht="15" hidden="false" customHeight="true" outlineLevel="0" collapsed="false">
      <c r="B327" s="34" t="n">
        <v>46222</v>
      </c>
      <c r="C327" s="14" t="str">
        <f aca="false">IFERROR(TEXT(B327,"ddd"),"")</f>
        <v>Sun</v>
      </c>
      <c r="D327" s="22"/>
      <c r="E327" s="22"/>
      <c r="F327" s="31" t="n">
        <f aca="false">IFERROR(SUMIFS('Cash Transactions'!F6:F500,'Cash Transactions'!B6:B500,B327),0)</f>
        <v>0</v>
      </c>
      <c r="G327" s="22"/>
      <c r="H327" s="31" t="n">
        <f aca="false">D327+E327+IF(G327&gt;0,G327,F327)</f>
        <v>0</v>
      </c>
      <c r="I327" s="35"/>
      <c r="J327" s="31" t="n">
        <f aca="false">IFERROR(H327/I327,0)</f>
        <v>0</v>
      </c>
      <c r="K327" s="16"/>
    </row>
    <row r="328" customFormat="false" ht="15" hidden="false" customHeight="true" outlineLevel="0" collapsed="false">
      <c r="B328" s="34" t="n">
        <v>46223</v>
      </c>
      <c r="C328" s="14" t="str">
        <f aca="false">IFERROR(TEXT(B328,"ddd"),"")</f>
        <v>Mon</v>
      </c>
      <c r="D328" s="22"/>
      <c r="E328" s="22"/>
      <c r="F328" s="31" t="n">
        <f aca="false">IFERROR(SUMIFS('Cash Transactions'!F6:F500,'Cash Transactions'!B6:B500,B328),0)</f>
        <v>0</v>
      </c>
      <c r="G328" s="22"/>
      <c r="H328" s="31" t="n">
        <f aca="false">D328+E328+IF(G328&gt;0,G328,F328)</f>
        <v>0</v>
      </c>
      <c r="I328" s="35"/>
      <c r="J328" s="31" t="n">
        <f aca="false">IFERROR(H328/I328,0)</f>
        <v>0</v>
      </c>
      <c r="K328" s="16"/>
    </row>
    <row r="329" customFormat="false" ht="15" hidden="false" customHeight="true" outlineLevel="0" collapsed="false">
      <c r="B329" s="34" t="n">
        <v>46224</v>
      </c>
      <c r="C329" s="14" t="str">
        <f aca="false">IFERROR(TEXT(B329,"ddd"),"")</f>
        <v>Tue</v>
      </c>
      <c r="D329" s="22"/>
      <c r="E329" s="22"/>
      <c r="F329" s="31" t="n">
        <f aca="false">IFERROR(SUMIFS('Cash Transactions'!F6:F500,'Cash Transactions'!B6:B500,B329),0)</f>
        <v>0</v>
      </c>
      <c r="G329" s="22"/>
      <c r="H329" s="31" t="n">
        <f aca="false">D329+E329+IF(G329&gt;0,G329,F329)</f>
        <v>0</v>
      </c>
      <c r="I329" s="35"/>
      <c r="J329" s="31" t="n">
        <f aca="false">IFERROR(H329/I329,0)</f>
        <v>0</v>
      </c>
      <c r="K329" s="16"/>
    </row>
    <row r="330" customFormat="false" ht="15" hidden="false" customHeight="true" outlineLevel="0" collapsed="false">
      <c r="B330" s="34" t="n">
        <v>46225</v>
      </c>
      <c r="C330" s="14" t="str">
        <f aca="false">IFERROR(TEXT(B330,"ddd"),"")</f>
        <v>Wed</v>
      </c>
      <c r="D330" s="22"/>
      <c r="E330" s="22"/>
      <c r="F330" s="31" t="n">
        <f aca="false">IFERROR(SUMIFS('Cash Transactions'!F6:F500,'Cash Transactions'!B6:B500,B330),0)</f>
        <v>0</v>
      </c>
      <c r="G330" s="22"/>
      <c r="H330" s="31" t="n">
        <f aca="false">D330+E330+IF(G330&gt;0,G330,F330)</f>
        <v>0</v>
      </c>
      <c r="I330" s="35"/>
      <c r="J330" s="31" t="n">
        <f aca="false">IFERROR(H330/I330,0)</f>
        <v>0</v>
      </c>
      <c r="K330" s="16"/>
    </row>
    <row r="331" customFormat="false" ht="15" hidden="false" customHeight="true" outlineLevel="0" collapsed="false">
      <c r="B331" s="34" t="n">
        <v>46226</v>
      </c>
      <c r="C331" s="14" t="str">
        <f aca="false">IFERROR(TEXT(B331,"ddd"),"")</f>
        <v>Thu</v>
      </c>
      <c r="D331" s="22"/>
      <c r="E331" s="22"/>
      <c r="F331" s="31" t="n">
        <f aca="false">IFERROR(SUMIFS('Cash Transactions'!F6:F500,'Cash Transactions'!B6:B500,B331),0)</f>
        <v>0</v>
      </c>
      <c r="G331" s="22"/>
      <c r="H331" s="31" t="n">
        <f aca="false">D331+E331+IF(G331&gt;0,G331,F331)</f>
        <v>0</v>
      </c>
      <c r="I331" s="35"/>
      <c r="J331" s="31" t="n">
        <f aca="false">IFERROR(H331/I331,0)</f>
        <v>0</v>
      </c>
      <c r="K331" s="16"/>
    </row>
    <row r="332" customFormat="false" ht="15" hidden="false" customHeight="true" outlineLevel="0" collapsed="false">
      <c r="B332" s="34" t="n">
        <v>46227</v>
      </c>
      <c r="C332" s="14" t="str">
        <f aca="false">IFERROR(TEXT(B332,"ddd"),"")</f>
        <v>Fri</v>
      </c>
      <c r="D332" s="22"/>
      <c r="E332" s="22"/>
      <c r="F332" s="31" t="n">
        <f aca="false">IFERROR(SUMIFS('Cash Transactions'!F6:F500,'Cash Transactions'!B6:B500,B332),0)</f>
        <v>0</v>
      </c>
      <c r="G332" s="22"/>
      <c r="H332" s="31" t="n">
        <f aca="false">D332+E332+IF(G332&gt;0,G332,F332)</f>
        <v>0</v>
      </c>
      <c r="I332" s="35"/>
      <c r="J332" s="31" t="n">
        <f aca="false">IFERROR(H332/I332,0)</f>
        <v>0</v>
      </c>
      <c r="K332" s="16"/>
    </row>
    <row r="333" customFormat="false" ht="15" hidden="false" customHeight="true" outlineLevel="0" collapsed="false">
      <c r="B333" s="34" t="n">
        <v>46228</v>
      </c>
      <c r="C333" s="14" t="str">
        <f aca="false">IFERROR(TEXT(B333,"ddd"),"")</f>
        <v>Sat</v>
      </c>
      <c r="D333" s="22"/>
      <c r="E333" s="22"/>
      <c r="F333" s="31" t="n">
        <f aca="false">IFERROR(SUMIFS('Cash Transactions'!F6:F500,'Cash Transactions'!B6:B500,B333),0)</f>
        <v>0</v>
      </c>
      <c r="G333" s="22"/>
      <c r="H333" s="31" t="n">
        <f aca="false">D333+E333+IF(G333&gt;0,G333,F333)</f>
        <v>0</v>
      </c>
      <c r="I333" s="35"/>
      <c r="J333" s="31" t="n">
        <f aca="false">IFERROR(H333/I333,0)</f>
        <v>0</v>
      </c>
      <c r="K333" s="16"/>
    </row>
    <row r="334" customFormat="false" ht="15" hidden="false" customHeight="true" outlineLevel="0" collapsed="false">
      <c r="B334" s="34" t="n">
        <v>46229</v>
      </c>
      <c r="C334" s="14" t="str">
        <f aca="false">IFERROR(TEXT(B334,"ddd"),"")</f>
        <v>Sun</v>
      </c>
      <c r="D334" s="22"/>
      <c r="E334" s="22"/>
      <c r="F334" s="31" t="n">
        <f aca="false">IFERROR(SUMIFS('Cash Transactions'!F6:F500,'Cash Transactions'!B6:B500,B334),0)</f>
        <v>0</v>
      </c>
      <c r="G334" s="22"/>
      <c r="H334" s="31" t="n">
        <f aca="false">D334+E334+IF(G334&gt;0,G334,F334)</f>
        <v>0</v>
      </c>
      <c r="I334" s="35"/>
      <c r="J334" s="31" t="n">
        <f aca="false">IFERROR(H334/I334,0)</f>
        <v>0</v>
      </c>
      <c r="K334" s="16"/>
    </row>
    <row r="335" customFormat="false" ht="15" hidden="false" customHeight="true" outlineLevel="0" collapsed="false">
      <c r="B335" s="34" t="n">
        <v>46230</v>
      </c>
      <c r="C335" s="14" t="str">
        <f aca="false">IFERROR(TEXT(B335,"ddd"),"")</f>
        <v>Mon</v>
      </c>
      <c r="D335" s="22"/>
      <c r="E335" s="22"/>
      <c r="F335" s="31" t="n">
        <f aca="false">IFERROR(SUMIFS('Cash Transactions'!F6:F500,'Cash Transactions'!B6:B500,B335),0)</f>
        <v>0</v>
      </c>
      <c r="G335" s="22"/>
      <c r="H335" s="31" t="n">
        <f aca="false">D335+E335+IF(G335&gt;0,G335,F335)</f>
        <v>0</v>
      </c>
      <c r="I335" s="35"/>
      <c r="J335" s="31" t="n">
        <f aca="false">IFERROR(H335/I335,0)</f>
        <v>0</v>
      </c>
      <c r="K335" s="16"/>
    </row>
    <row r="336" customFormat="false" ht="15" hidden="false" customHeight="true" outlineLevel="0" collapsed="false">
      <c r="B336" s="34" t="n">
        <v>46231</v>
      </c>
      <c r="C336" s="14" t="str">
        <f aca="false">IFERROR(TEXT(B336,"ddd"),"")</f>
        <v>Tue</v>
      </c>
      <c r="D336" s="22"/>
      <c r="E336" s="22"/>
      <c r="F336" s="31" t="n">
        <f aca="false">IFERROR(SUMIFS('Cash Transactions'!F6:F500,'Cash Transactions'!B6:B500,B336),0)</f>
        <v>0</v>
      </c>
      <c r="G336" s="22"/>
      <c r="H336" s="31" t="n">
        <f aca="false">D336+E336+IF(G336&gt;0,G336,F336)</f>
        <v>0</v>
      </c>
      <c r="I336" s="35"/>
      <c r="J336" s="31" t="n">
        <f aca="false">IFERROR(H336/I336,0)</f>
        <v>0</v>
      </c>
      <c r="K336" s="16"/>
    </row>
    <row r="337" customFormat="false" ht="15" hidden="false" customHeight="true" outlineLevel="0" collapsed="false">
      <c r="B337" s="34" t="n">
        <v>46232</v>
      </c>
      <c r="C337" s="14" t="str">
        <f aca="false">IFERROR(TEXT(B337,"ddd"),"")</f>
        <v>Wed</v>
      </c>
      <c r="D337" s="22"/>
      <c r="E337" s="22"/>
      <c r="F337" s="31" t="n">
        <f aca="false">IFERROR(SUMIFS('Cash Transactions'!F6:F500,'Cash Transactions'!B6:B500,B337),0)</f>
        <v>0</v>
      </c>
      <c r="G337" s="22"/>
      <c r="H337" s="31" t="n">
        <f aca="false">D337+E337+IF(G337&gt;0,G337,F337)</f>
        <v>0</v>
      </c>
      <c r="I337" s="35"/>
      <c r="J337" s="31" t="n">
        <f aca="false">IFERROR(H337/I337,0)</f>
        <v>0</v>
      </c>
      <c r="K337" s="16"/>
    </row>
    <row r="338" customFormat="false" ht="15" hidden="false" customHeight="true" outlineLevel="0" collapsed="false">
      <c r="B338" s="34" t="n">
        <v>46233</v>
      </c>
      <c r="C338" s="14" t="str">
        <f aca="false">IFERROR(TEXT(B338,"ddd"),"")</f>
        <v>Thu</v>
      </c>
      <c r="D338" s="22"/>
      <c r="E338" s="22"/>
      <c r="F338" s="31" t="n">
        <f aca="false">IFERROR(SUMIFS('Cash Transactions'!F6:F500,'Cash Transactions'!B6:B500,B338),0)</f>
        <v>0</v>
      </c>
      <c r="G338" s="22"/>
      <c r="H338" s="31" t="n">
        <f aca="false">D338+E338+IF(G338&gt;0,G338,F338)</f>
        <v>0</v>
      </c>
      <c r="I338" s="35"/>
      <c r="J338" s="31" t="n">
        <f aca="false">IFERROR(H338/I338,0)</f>
        <v>0</v>
      </c>
      <c r="K338" s="16"/>
    </row>
    <row r="339" customFormat="false" ht="15" hidden="false" customHeight="true" outlineLevel="0" collapsed="false">
      <c r="B339" s="34" t="n">
        <v>46234</v>
      </c>
      <c r="C339" s="14" t="str">
        <f aca="false">IFERROR(TEXT(B339,"ddd"),"")</f>
        <v>Fri</v>
      </c>
      <c r="D339" s="22"/>
      <c r="E339" s="22"/>
      <c r="F339" s="31" t="n">
        <f aca="false">IFERROR(SUMIFS('Cash Transactions'!F6:F500,'Cash Transactions'!B6:B500,B339),0)</f>
        <v>0</v>
      </c>
      <c r="G339" s="22"/>
      <c r="H339" s="31" t="n">
        <f aca="false">D339+E339+IF(G339&gt;0,G339,F339)</f>
        <v>0</v>
      </c>
      <c r="I339" s="35"/>
      <c r="J339" s="31" t="n">
        <f aca="false">IFERROR(H339/I339,0)</f>
        <v>0</v>
      </c>
      <c r="K339" s="16"/>
    </row>
    <row r="340" customFormat="false" ht="15" hidden="false" customHeight="true" outlineLevel="0" collapsed="false">
      <c r="B340" s="34" t="n">
        <v>46235</v>
      </c>
      <c r="C340" s="14" t="str">
        <f aca="false">IFERROR(TEXT(B340,"ddd"),"")</f>
        <v>Sat</v>
      </c>
      <c r="D340" s="22"/>
      <c r="E340" s="22"/>
      <c r="F340" s="31" t="n">
        <f aca="false">IFERROR(SUMIFS('Cash Transactions'!F6:F500,'Cash Transactions'!B6:B500,B340),0)</f>
        <v>0</v>
      </c>
      <c r="G340" s="22"/>
      <c r="H340" s="31" t="n">
        <f aca="false">D340+E340+IF(G340&gt;0,G340,F340)</f>
        <v>0</v>
      </c>
      <c r="I340" s="35"/>
      <c r="J340" s="31" t="n">
        <f aca="false">IFERROR(H340/I340,0)</f>
        <v>0</v>
      </c>
      <c r="K340" s="16"/>
    </row>
    <row r="341" customFormat="false" ht="15" hidden="false" customHeight="true" outlineLevel="0" collapsed="false">
      <c r="B341" s="34" t="n">
        <v>46236</v>
      </c>
      <c r="C341" s="14" t="str">
        <f aca="false">IFERROR(TEXT(B341,"ddd"),"")</f>
        <v>Sun</v>
      </c>
      <c r="D341" s="22"/>
      <c r="E341" s="22"/>
      <c r="F341" s="31" t="n">
        <f aca="false">IFERROR(SUMIFS('Cash Transactions'!F6:F500,'Cash Transactions'!B6:B500,B341),0)</f>
        <v>0</v>
      </c>
      <c r="G341" s="22"/>
      <c r="H341" s="31" t="n">
        <f aca="false">D341+E341+IF(G341&gt;0,G341,F341)</f>
        <v>0</v>
      </c>
      <c r="I341" s="35"/>
      <c r="J341" s="31" t="n">
        <f aca="false">IFERROR(H341/I341,0)</f>
        <v>0</v>
      </c>
      <c r="K341" s="16"/>
    </row>
    <row r="342" customFormat="false" ht="15" hidden="false" customHeight="true" outlineLevel="0" collapsed="false">
      <c r="B342" s="34" t="n">
        <v>46237</v>
      </c>
      <c r="C342" s="14" t="str">
        <f aca="false">IFERROR(TEXT(B342,"ddd"),"")</f>
        <v>Mon</v>
      </c>
      <c r="D342" s="22"/>
      <c r="E342" s="22"/>
      <c r="F342" s="31" t="n">
        <f aca="false">IFERROR(SUMIFS('Cash Transactions'!F6:F500,'Cash Transactions'!B6:B500,B342),0)</f>
        <v>0</v>
      </c>
      <c r="G342" s="22"/>
      <c r="H342" s="31" t="n">
        <f aca="false">D342+E342+IF(G342&gt;0,G342,F342)</f>
        <v>0</v>
      </c>
      <c r="I342" s="35"/>
      <c r="J342" s="31" t="n">
        <f aca="false">IFERROR(H342/I342,0)</f>
        <v>0</v>
      </c>
      <c r="K342" s="16"/>
    </row>
    <row r="343" customFormat="false" ht="15" hidden="false" customHeight="true" outlineLevel="0" collapsed="false">
      <c r="B343" s="34" t="n">
        <v>46238</v>
      </c>
      <c r="C343" s="14" t="str">
        <f aca="false">IFERROR(TEXT(B343,"ddd"),"")</f>
        <v>Tue</v>
      </c>
      <c r="D343" s="22"/>
      <c r="E343" s="22"/>
      <c r="F343" s="31" t="n">
        <f aca="false">IFERROR(SUMIFS('Cash Transactions'!F6:F500,'Cash Transactions'!B6:B500,B343),0)</f>
        <v>0</v>
      </c>
      <c r="G343" s="22"/>
      <c r="H343" s="31" t="n">
        <f aca="false">D343+E343+IF(G343&gt;0,G343,F343)</f>
        <v>0</v>
      </c>
      <c r="I343" s="35"/>
      <c r="J343" s="31" t="n">
        <f aca="false">IFERROR(H343/I343,0)</f>
        <v>0</v>
      </c>
      <c r="K343" s="16"/>
    </row>
    <row r="344" customFormat="false" ht="15" hidden="false" customHeight="true" outlineLevel="0" collapsed="false">
      <c r="B344" s="34" t="n">
        <v>46239</v>
      </c>
      <c r="C344" s="14" t="str">
        <f aca="false">IFERROR(TEXT(B344,"ddd"),"")</f>
        <v>Wed</v>
      </c>
      <c r="D344" s="22"/>
      <c r="E344" s="22"/>
      <c r="F344" s="31" t="n">
        <f aca="false">IFERROR(SUMIFS('Cash Transactions'!F6:F500,'Cash Transactions'!B6:B500,B344),0)</f>
        <v>0</v>
      </c>
      <c r="G344" s="22"/>
      <c r="H344" s="31" t="n">
        <f aca="false">D344+E344+IF(G344&gt;0,G344,F344)</f>
        <v>0</v>
      </c>
      <c r="I344" s="35"/>
      <c r="J344" s="31" t="n">
        <f aca="false">IFERROR(H344/I344,0)</f>
        <v>0</v>
      </c>
      <c r="K344" s="16"/>
    </row>
    <row r="345" customFormat="false" ht="15" hidden="false" customHeight="true" outlineLevel="0" collapsed="false">
      <c r="B345" s="34" t="n">
        <v>46240</v>
      </c>
      <c r="C345" s="14" t="str">
        <f aca="false">IFERROR(TEXT(B345,"ddd"),"")</f>
        <v>Thu</v>
      </c>
      <c r="D345" s="22"/>
      <c r="E345" s="22"/>
      <c r="F345" s="31" t="n">
        <f aca="false">IFERROR(SUMIFS('Cash Transactions'!F6:F500,'Cash Transactions'!B6:B500,B345),0)</f>
        <v>0</v>
      </c>
      <c r="G345" s="22"/>
      <c r="H345" s="31" t="n">
        <f aca="false">D345+E345+IF(G345&gt;0,G345,F345)</f>
        <v>0</v>
      </c>
      <c r="I345" s="35"/>
      <c r="J345" s="31" t="n">
        <f aca="false">IFERROR(H345/I345,0)</f>
        <v>0</v>
      </c>
      <c r="K345" s="16"/>
    </row>
    <row r="346" customFormat="false" ht="15" hidden="false" customHeight="true" outlineLevel="0" collapsed="false">
      <c r="B346" s="34" t="n">
        <v>46241</v>
      </c>
      <c r="C346" s="14" t="str">
        <f aca="false">IFERROR(TEXT(B346,"ddd"),"")</f>
        <v>Fri</v>
      </c>
      <c r="D346" s="22"/>
      <c r="E346" s="22"/>
      <c r="F346" s="31" t="n">
        <f aca="false">IFERROR(SUMIFS('Cash Transactions'!F6:F500,'Cash Transactions'!B6:B500,B346),0)</f>
        <v>0</v>
      </c>
      <c r="G346" s="22"/>
      <c r="H346" s="31" t="n">
        <f aca="false">D346+E346+IF(G346&gt;0,G346,F346)</f>
        <v>0</v>
      </c>
      <c r="I346" s="35"/>
      <c r="J346" s="31" t="n">
        <f aca="false">IFERROR(H346/I346,0)</f>
        <v>0</v>
      </c>
      <c r="K346" s="16"/>
    </row>
    <row r="347" customFormat="false" ht="15" hidden="false" customHeight="true" outlineLevel="0" collapsed="false">
      <c r="B347" s="34" t="n">
        <v>46242</v>
      </c>
      <c r="C347" s="14" t="str">
        <f aca="false">IFERROR(TEXT(B347,"ddd"),"")</f>
        <v>Sat</v>
      </c>
      <c r="D347" s="22"/>
      <c r="E347" s="22"/>
      <c r="F347" s="31" t="n">
        <f aca="false">IFERROR(SUMIFS('Cash Transactions'!F6:F500,'Cash Transactions'!B6:B500,B347),0)</f>
        <v>0</v>
      </c>
      <c r="G347" s="22"/>
      <c r="H347" s="31" t="n">
        <f aca="false">D347+E347+IF(G347&gt;0,G347,F347)</f>
        <v>0</v>
      </c>
      <c r="I347" s="35"/>
      <c r="J347" s="31" t="n">
        <f aca="false">IFERROR(H347/I347,0)</f>
        <v>0</v>
      </c>
      <c r="K347" s="16"/>
    </row>
    <row r="348" customFormat="false" ht="15" hidden="false" customHeight="true" outlineLevel="0" collapsed="false">
      <c r="B348" s="34" t="n">
        <v>46243</v>
      </c>
      <c r="C348" s="14" t="str">
        <f aca="false">IFERROR(TEXT(B348,"ddd"),"")</f>
        <v>Sun</v>
      </c>
      <c r="D348" s="22"/>
      <c r="E348" s="22"/>
      <c r="F348" s="31" t="n">
        <f aca="false">IFERROR(SUMIFS('Cash Transactions'!F6:F500,'Cash Transactions'!B6:B500,B348),0)</f>
        <v>0</v>
      </c>
      <c r="G348" s="22"/>
      <c r="H348" s="31" t="n">
        <f aca="false">D348+E348+IF(G348&gt;0,G348,F348)</f>
        <v>0</v>
      </c>
      <c r="I348" s="35"/>
      <c r="J348" s="31" t="n">
        <f aca="false">IFERROR(H348/I348,0)</f>
        <v>0</v>
      </c>
      <c r="K348" s="16"/>
    </row>
    <row r="349" customFormat="false" ht="15" hidden="false" customHeight="true" outlineLevel="0" collapsed="false">
      <c r="B349" s="34" t="n">
        <v>46244</v>
      </c>
      <c r="C349" s="14" t="str">
        <f aca="false">IFERROR(TEXT(B349,"ddd"),"")</f>
        <v>Mon</v>
      </c>
      <c r="D349" s="22"/>
      <c r="E349" s="22"/>
      <c r="F349" s="31" t="n">
        <f aca="false">IFERROR(SUMIFS('Cash Transactions'!F6:F500,'Cash Transactions'!B6:B500,B349),0)</f>
        <v>0</v>
      </c>
      <c r="G349" s="22"/>
      <c r="H349" s="31" t="n">
        <f aca="false">D349+E349+IF(G349&gt;0,G349,F349)</f>
        <v>0</v>
      </c>
      <c r="I349" s="35"/>
      <c r="J349" s="31" t="n">
        <f aca="false">IFERROR(H349/I349,0)</f>
        <v>0</v>
      </c>
      <c r="K349" s="16"/>
    </row>
    <row r="350" customFormat="false" ht="15" hidden="false" customHeight="true" outlineLevel="0" collapsed="false">
      <c r="B350" s="34" t="n">
        <v>46245</v>
      </c>
      <c r="C350" s="14" t="str">
        <f aca="false">IFERROR(TEXT(B350,"ddd"),"")</f>
        <v>Tue</v>
      </c>
      <c r="D350" s="22"/>
      <c r="E350" s="22"/>
      <c r="F350" s="31" t="n">
        <f aca="false">IFERROR(SUMIFS('Cash Transactions'!F6:F500,'Cash Transactions'!B6:B500,B350),0)</f>
        <v>0</v>
      </c>
      <c r="G350" s="22"/>
      <c r="H350" s="31" t="n">
        <f aca="false">D350+E350+IF(G350&gt;0,G350,F350)</f>
        <v>0</v>
      </c>
      <c r="I350" s="35"/>
      <c r="J350" s="31" t="n">
        <f aca="false">IFERROR(H350/I350,0)</f>
        <v>0</v>
      </c>
      <c r="K350" s="16"/>
    </row>
    <row r="351" customFormat="false" ht="15" hidden="false" customHeight="true" outlineLevel="0" collapsed="false">
      <c r="B351" s="34" t="n">
        <v>46246</v>
      </c>
      <c r="C351" s="14" t="str">
        <f aca="false">IFERROR(TEXT(B351,"ddd"),"")</f>
        <v>Wed</v>
      </c>
      <c r="D351" s="22"/>
      <c r="E351" s="22"/>
      <c r="F351" s="31" t="n">
        <f aca="false">IFERROR(SUMIFS('Cash Transactions'!F6:F500,'Cash Transactions'!B6:B500,B351),0)</f>
        <v>0</v>
      </c>
      <c r="G351" s="22"/>
      <c r="H351" s="31" t="n">
        <f aca="false">D351+E351+IF(G351&gt;0,G351,F351)</f>
        <v>0</v>
      </c>
      <c r="I351" s="35"/>
      <c r="J351" s="31" t="n">
        <f aca="false">IFERROR(H351/I351,0)</f>
        <v>0</v>
      </c>
      <c r="K351" s="16"/>
    </row>
    <row r="352" customFormat="false" ht="15" hidden="false" customHeight="true" outlineLevel="0" collapsed="false">
      <c r="B352" s="34" t="n">
        <v>46247</v>
      </c>
      <c r="C352" s="14" t="str">
        <f aca="false">IFERROR(TEXT(B352,"ddd"),"")</f>
        <v>Thu</v>
      </c>
      <c r="D352" s="22"/>
      <c r="E352" s="22"/>
      <c r="F352" s="31" t="n">
        <f aca="false">IFERROR(SUMIFS('Cash Transactions'!F6:F500,'Cash Transactions'!B6:B500,B352),0)</f>
        <v>0</v>
      </c>
      <c r="G352" s="22"/>
      <c r="H352" s="31" t="n">
        <f aca="false">D352+E352+IF(G352&gt;0,G352,F352)</f>
        <v>0</v>
      </c>
      <c r="I352" s="35"/>
      <c r="J352" s="31" t="n">
        <f aca="false">IFERROR(H352/I352,0)</f>
        <v>0</v>
      </c>
      <c r="K352" s="16"/>
    </row>
    <row r="353" customFormat="false" ht="15" hidden="false" customHeight="true" outlineLevel="0" collapsed="false">
      <c r="B353" s="34" t="n">
        <v>46248</v>
      </c>
      <c r="C353" s="14" t="str">
        <f aca="false">IFERROR(TEXT(B353,"ddd"),"")</f>
        <v>Fri</v>
      </c>
      <c r="D353" s="22"/>
      <c r="E353" s="22"/>
      <c r="F353" s="31" t="n">
        <f aca="false">IFERROR(SUMIFS('Cash Transactions'!F6:F500,'Cash Transactions'!B6:B500,B353),0)</f>
        <v>0</v>
      </c>
      <c r="G353" s="22"/>
      <c r="H353" s="31" t="n">
        <f aca="false">D353+E353+IF(G353&gt;0,G353,F353)</f>
        <v>0</v>
      </c>
      <c r="I353" s="35"/>
      <c r="J353" s="31" t="n">
        <f aca="false">IFERROR(H353/I353,0)</f>
        <v>0</v>
      </c>
      <c r="K353" s="16"/>
    </row>
    <row r="354" customFormat="false" ht="15" hidden="false" customHeight="true" outlineLevel="0" collapsed="false">
      <c r="B354" s="34" t="n">
        <v>46249</v>
      </c>
      <c r="C354" s="14" t="str">
        <f aca="false">IFERROR(TEXT(B354,"ddd"),"")</f>
        <v>Sat</v>
      </c>
      <c r="D354" s="22"/>
      <c r="E354" s="22"/>
      <c r="F354" s="31" t="n">
        <f aca="false">IFERROR(SUMIFS('Cash Transactions'!F6:F500,'Cash Transactions'!B6:B500,B354),0)</f>
        <v>0</v>
      </c>
      <c r="G354" s="22"/>
      <c r="H354" s="31" t="n">
        <f aca="false">D354+E354+IF(G354&gt;0,G354,F354)</f>
        <v>0</v>
      </c>
      <c r="I354" s="35"/>
      <c r="J354" s="31" t="n">
        <f aca="false">IFERROR(H354/I354,0)</f>
        <v>0</v>
      </c>
      <c r="K354" s="16"/>
    </row>
    <row r="355" customFormat="false" ht="15" hidden="false" customHeight="true" outlineLevel="0" collapsed="false">
      <c r="B355" s="34" t="n">
        <v>46250</v>
      </c>
      <c r="C355" s="14" t="str">
        <f aca="false">IFERROR(TEXT(B355,"ddd"),"")</f>
        <v>Sun</v>
      </c>
      <c r="D355" s="22"/>
      <c r="E355" s="22"/>
      <c r="F355" s="31" t="n">
        <f aca="false">IFERROR(SUMIFS('Cash Transactions'!F6:F500,'Cash Transactions'!B6:B500,B355),0)</f>
        <v>0</v>
      </c>
      <c r="G355" s="22"/>
      <c r="H355" s="31" t="n">
        <f aca="false">D355+E355+IF(G355&gt;0,G355,F355)</f>
        <v>0</v>
      </c>
      <c r="I355" s="35"/>
      <c r="J355" s="31" t="n">
        <f aca="false">IFERROR(H355/I355,0)</f>
        <v>0</v>
      </c>
      <c r="K355" s="16"/>
    </row>
    <row r="356" customFormat="false" ht="15" hidden="false" customHeight="true" outlineLevel="0" collapsed="false">
      <c r="B356" s="34" t="n">
        <v>46251</v>
      </c>
      <c r="C356" s="14" t="str">
        <f aca="false">IFERROR(TEXT(B356,"ddd"),"")</f>
        <v>Mon</v>
      </c>
      <c r="D356" s="22"/>
      <c r="E356" s="22"/>
      <c r="F356" s="31" t="n">
        <f aca="false">IFERROR(SUMIFS('Cash Transactions'!F6:F500,'Cash Transactions'!B6:B500,B356),0)</f>
        <v>0</v>
      </c>
      <c r="G356" s="22"/>
      <c r="H356" s="31" t="n">
        <f aca="false">D356+E356+IF(G356&gt;0,G356,F356)</f>
        <v>0</v>
      </c>
      <c r="I356" s="35"/>
      <c r="J356" s="31" t="n">
        <f aca="false">IFERROR(H356/I356,0)</f>
        <v>0</v>
      </c>
      <c r="K356" s="16"/>
    </row>
    <row r="357" customFormat="false" ht="15" hidden="false" customHeight="true" outlineLevel="0" collapsed="false">
      <c r="B357" s="34" t="n">
        <v>46252</v>
      </c>
      <c r="C357" s="14" t="str">
        <f aca="false">IFERROR(TEXT(B357,"ddd"),"")</f>
        <v>Tue</v>
      </c>
      <c r="D357" s="22"/>
      <c r="E357" s="22"/>
      <c r="F357" s="31" t="n">
        <f aca="false">IFERROR(SUMIFS('Cash Transactions'!F6:F500,'Cash Transactions'!B6:B500,B357),0)</f>
        <v>0</v>
      </c>
      <c r="G357" s="22"/>
      <c r="H357" s="31" t="n">
        <f aca="false">D357+E357+IF(G357&gt;0,G357,F357)</f>
        <v>0</v>
      </c>
      <c r="I357" s="35"/>
      <c r="J357" s="31" t="n">
        <f aca="false">IFERROR(H357/I357,0)</f>
        <v>0</v>
      </c>
      <c r="K357" s="16"/>
    </row>
    <row r="358" customFormat="false" ht="15" hidden="false" customHeight="true" outlineLevel="0" collapsed="false">
      <c r="B358" s="34" t="n">
        <v>46253</v>
      </c>
      <c r="C358" s="14" t="str">
        <f aca="false">IFERROR(TEXT(B358,"ddd"),"")</f>
        <v>Wed</v>
      </c>
      <c r="D358" s="22"/>
      <c r="E358" s="22"/>
      <c r="F358" s="31" t="n">
        <f aca="false">IFERROR(SUMIFS('Cash Transactions'!F6:F500,'Cash Transactions'!B6:B500,B358),0)</f>
        <v>0</v>
      </c>
      <c r="G358" s="22"/>
      <c r="H358" s="31" t="n">
        <f aca="false">D358+E358+IF(G358&gt;0,G358,F358)</f>
        <v>0</v>
      </c>
      <c r="I358" s="35"/>
      <c r="J358" s="31" t="n">
        <f aca="false">IFERROR(H358/I358,0)</f>
        <v>0</v>
      </c>
      <c r="K358" s="16"/>
    </row>
    <row r="359" customFormat="false" ht="15" hidden="false" customHeight="true" outlineLevel="0" collapsed="false">
      <c r="B359" s="34" t="n">
        <v>46254</v>
      </c>
      <c r="C359" s="14" t="str">
        <f aca="false">IFERROR(TEXT(B359,"ddd"),"")</f>
        <v>Thu</v>
      </c>
      <c r="D359" s="22"/>
      <c r="E359" s="22"/>
      <c r="F359" s="31" t="n">
        <f aca="false">IFERROR(SUMIFS('Cash Transactions'!F6:F500,'Cash Transactions'!B6:B500,B359),0)</f>
        <v>0</v>
      </c>
      <c r="G359" s="22"/>
      <c r="H359" s="31" t="n">
        <f aca="false">D359+E359+IF(G359&gt;0,G359,F359)</f>
        <v>0</v>
      </c>
      <c r="I359" s="35"/>
      <c r="J359" s="31" t="n">
        <f aca="false">IFERROR(H359/I359,0)</f>
        <v>0</v>
      </c>
      <c r="K359" s="16"/>
    </row>
    <row r="360" customFormat="false" ht="15" hidden="false" customHeight="true" outlineLevel="0" collapsed="false">
      <c r="B360" s="34" t="n">
        <v>46255</v>
      </c>
      <c r="C360" s="14" t="str">
        <f aca="false">IFERROR(TEXT(B360,"ddd"),"")</f>
        <v>Fri</v>
      </c>
      <c r="D360" s="22"/>
      <c r="E360" s="22"/>
      <c r="F360" s="31" t="n">
        <f aca="false">IFERROR(SUMIFS('Cash Transactions'!F6:F500,'Cash Transactions'!B6:B500,B360),0)</f>
        <v>0</v>
      </c>
      <c r="G360" s="22"/>
      <c r="H360" s="31" t="n">
        <f aca="false">D360+E360+IF(G360&gt;0,G360,F360)</f>
        <v>0</v>
      </c>
      <c r="I360" s="35"/>
      <c r="J360" s="31" t="n">
        <f aca="false">IFERROR(H360/I360,0)</f>
        <v>0</v>
      </c>
      <c r="K360" s="16"/>
    </row>
    <row r="361" customFormat="false" ht="15" hidden="false" customHeight="true" outlineLevel="0" collapsed="false">
      <c r="B361" s="34" t="n">
        <v>46256</v>
      </c>
      <c r="C361" s="14" t="str">
        <f aca="false">IFERROR(TEXT(B361,"ddd"),"")</f>
        <v>Sat</v>
      </c>
      <c r="D361" s="22"/>
      <c r="E361" s="22"/>
      <c r="F361" s="31" t="n">
        <f aca="false">IFERROR(SUMIFS('Cash Transactions'!F6:F500,'Cash Transactions'!B6:B500,B361),0)</f>
        <v>0</v>
      </c>
      <c r="G361" s="22"/>
      <c r="H361" s="31" t="n">
        <f aca="false">D361+E361+IF(G361&gt;0,G361,F361)</f>
        <v>0</v>
      </c>
      <c r="I361" s="35"/>
      <c r="J361" s="31" t="n">
        <f aca="false">IFERROR(H361/I361,0)</f>
        <v>0</v>
      </c>
      <c r="K361" s="16"/>
    </row>
    <row r="362" customFormat="false" ht="15" hidden="false" customHeight="true" outlineLevel="0" collapsed="false">
      <c r="B362" s="34" t="n">
        <v>46257</v>
      </c>
      <c r="C362" s="14" t="str">
        <f aca="false">IFERROR(TEXT(B362,"ddd"),"")</f>
        <v>Sun</v>
      </c>
      <c r="D362" s="22"/>
      <c r="E362" s="22"/>
      <c r="F362" s="31" t="n">
        <f aca="false">IFERROR(SUMIFS('Cash Transactions'!F6:F500,'Cash Transactions'!B6:B500,B362),0)</f>
        <v>0</v>
      </c>
      <c r="G362" s="22"/>
      <c r="H362" s="31" t="n">
        <f aca="false">D362+E362+IF(G362&gt;0,G362,F362)</f>
        <v>0</v>
      </c>
      <c r="I362" s="35"/>
      <c r="J362" s="31" t="n">
        <f aca="false">IFERROR(H362/I362,0)</f>
        <v>0</v>
      </c>
      <c r="K362" s="16"/>
    </row>
    <row r="363" customFormat="false" ht="15" hidden="false" customHeight="true" outlineLevel="0" collapsed="false">
      <c r="B363" s="34" t="n">
        <v>46258</v>
      </c>
      <c r="C363" s="14" t="str">
        <f aca="false">IFERROR(TEXT(B363,"ddd"),"")</f>
        <v>Mon</v>
      </c>
      <c r="D363" s="22"/>
      <c r="E363" s="22"/>
      <c r="F363" s="31" t="n">
        <f aca="false">IFERROR(SUMIFS('Cash Transactions'!F6:F500,'Cash Transactions'!B6:B500,B363),0)</f>
        <v>0</v>
      </c>
      <c r="G363" s="22"/>
      <c r="H363" s="31" t="n">
        <f aca="false">D363+E363+IF(G363&gt;0,G363,F363)</f>
        <v>0</v>
      </c>
      <c r="I363" s="35"/>
      <c r="J363" s="31" t="n">
        <f aca="false">IFERROR(H363/I363,0)</f>
        <v>0</v>
      </c>
      <c r="K363" s="16"/>
    </row>
    <row r="364" customFormat="false" ht="15" hidden="false" customHeight="true" outlineLevel="0" collapsed="false">
      <c r="B364" s="34" t="n">
        <v>46259</v>
      </c>
      <c r="C364" s="14" t="str">
        <f aca="false">IFERROR(TEXT(B364,"ddd"),"")</f>
        <v>Tue</v>
      </c>
      <c r="D364" s="22"/>
      <c r="E364" s="22"/>
      <c r="F364" s="31" t="n">
        <f aca="false">IFERROR(SUMIFS('Cash Transactions'!F6:F500,'Cash Transactions'!B6:B500,B364),0)</f>
        <v>0</v>
      </c>
      <c r="G364" s="22"/>
      <c r="H364" s="31" t="n">
        <f aca="false">D364+E364+IF(G364&gt;0,G364,F364)</f>
        <v>0</v>
      </c>
      <c r="I364" s="35"/>
      <c r="J364" s="31" t="n">
        <f aca="false">IFERROR(H364/I364,0)</f>
        <v>0</v>
      </c>
      <c r="K364" s="16"/>
    </row>
    <row r="365" customFormat="false" ht="15" hidden="false" customHeight="true" outlineLevel="0" collapsed="false">
      <c r="B365" s="34" t="n">
        <v>46260</v>
      </c>
      <c r="C365" s="14" t="str">
        <f aca="false">IFERROR(TEXT(B365,"ddd"),"")</f>
        <v>Wed</v>
      </c>
      <c r="D365" s="22"/>
      <c r="E365" s="22"/>
      <c r="F365" s="31" t="n">
        <f aca="false">IFERROR(SUMIFS('Cash Transactions'!F6:F500,'Cash Transactions'!B6:B500,B365),0)</f>
        <v>0</v>
      </c>
      <c r="G365" s="22"/>
      <c r="H365" s="31" t="n">
        <f aca="false">D365+E365+IF(G365&gt;0,G365,F365)</f>
        <v>0</v>
      </c>
      <c r="I365" s="35"/>
      <c r="J365" s="31" t="n">
        <f aca="false">IFERROR(H365/I365,0)</f>
        <v>0</v>
      </c>
      <c r="K365" s="16"/>
    </row>
    <row r="366" customFormat="false" ht="15" hidden="false" customHeight="true" outlineLevel="0" collapsed="false">
      <c r="B366" s="34" t="n">
        <v>46261</v>
      </c>
      <c r="C366" s="14" t="str">
        <f aca="false">IFERROR(TEXT(B366,"ddd"),"")</f>
        <v>Thu</v>
      </c>
      <c r="D366" s="22"/>
      <c r="E366" s="22"/>
      <c r="F366" s="31" t="n">
        <f aca="false">IFERROR(SUMIFS('Cash Transactions'!F6:F500,'Cash Transactions'!B6:B500,B366),0)</f>
        <v>0</v>
      </c>
      <c r="G366" s="22"/>
      <c r="H366" s="31" t="n">
        <f aca="false">D366+E366+IF(G366&gt;0,G366,F366)</f>
        <v>0</v>
      </c>
      <c r="I366" s="35"/>
      <c r="J366" s="31" t="n">
        <f aca="false">IFERROR(H366/I366,0)</f>
        <v>0</v>
      </c>
      <c r="K366" s="16"/>
    </row>
    <row r="367" customFormat="false" ht="15" hidden="false" customHeight="true" outlineLevel="0" collapsed="false">
      <c r="B367" s="34" t="n">
        <v>46262</v>
      </c>
      <c r="C367" s="14" t="str">
        <f aca="false">IFERROR(TEXT(B367,"ddd"),"")</f>
        <v>Fri</v>
      </c>
      <c r="D367" s="22"/>
      <c r="E367" s="22"/>
      <c r="F367" s="31" t="n">
        <f aca="false">IFERROR(SUMIFS('Cash Transactions'!F6:F500,'Cash Transactions'!B6:B500,B367),0)</f>
        <v>0</v>
      </c>
      <c r="G367" s="22"/>
      <c r="H367" s="31" t="n">
        <f aca="false">D367+E367+IF(G367&gt;0,G367,F367)</f>
        <v>0</v>
      </c>
      <c r="I367" s="35"/>
      <c r="J367" s="31" t="n">
        <f aca="false">IFERROR(H367/I367,0)</f>
        <v>0</v>
      </c>
      <c r="K367" s="16"/>
    </row>
    <row r="368" customFormat="false" ht="15" hidden="false" customHeight="true" outlineLevel="0" collapsed="false">
      <c r="B368" s="34" t="n">
        <v>46263</v>
      </c>
      <c r="C368" s="14" t="str">
        <f aca="false">IFERROR(TEXT(B368,"ddd"),"")</f>
        <v>Sat</v>
      </c>
      <c r="D368" s="22"/>
      <c r="E368" s="22"/>
      <c r="F368" s="31" t="n">
        <f aca="false">IFERROR(SUMIFS('Cash Transactions'!F6:F500,'Cash Transactions'!B6:B500,B368),0)</f>
        <v>0</v>
      </c>
      <c r="G368" s="22"/>
      <c r="H368" s="31" t="n">
        <f aca="false">D368+E368+IF(G368&gt;0,G368,F368)</f>
        <v>0</v>
      </c>
      <c r="I368" s="35"/>
      <c r="J368" s="31" t="n">
        <f aca="false">IFERROR(H368/I368,0)</f>
        <v>0</v>
      </c>
      <c r="K368" s="16"/>
    </row>
    <row r="369" customFormat="false" ht="15" hidden="false" customHeight="true" outlineLevel="0" collapsed="false">
      <c r="B369" s="34" t="n">
        <v>46264</v>
      </c>
      <c r="C369" s="14" t="str">
        <f aca="false">IFERROR(TEXT(B369,"ddd"),"")</f>
        <v>Sun</v>
      </c>
      <c r="D369" s="22"/>
      <c r="E369" s="22"/>
      <c r="F369" s="31" t="n">
        <f aca="false">IFERROR(SUMIFS('Cash Transactions'!F6:F500,'Cash Transactions'!B6:B500,B369),0)</f>
        <v>0</v>
      </c>
      <c r="G369" s="22"/>
      <c r="H369" s="31" t="n">
        <f aca="false">D369+E369+IF(G369&gt;0,G369,F369)</f>
        <v>0</v>
      </c>
      <c r="I369" s="35"/>
      <c r="J369" s="31" t="n">
        <f aca="false">IFERROR(H369/I369,0)</f>
        <v>0</v>
      </c>
      <c r="K369" s="16"/>
    </row>
    <row r="370" customFormat="false" ht="15" hidden="false" customHeight="true" outlineLevel="0" collapsed="false">
      <c r="B370" s="34" t="n">
        <v>46265</v>
      </c>
      <c r="C370" s="14" t="str">
        <f aca="false">IFERROR(TEXT(B370,"ddd"),"")</f>
        <v>Mon</v>
      </c>
      <c r="D370" s="22"/>
      <c r="E370" s="22"/>
      <c r="F370" s="31" t="n">
        <f aca="false">IFERROR(SUMIFS('Cash Transactions'!F6:F500,'Cash Transactions'!B6:B500,B370),0)</f>
        <v>0</v>
      </c>
      <c r="G370" s="22"/>
      <c r="H370" s="31" t="n">
        <f aca="false">D370+E370+IF(G370&gt;0,G370,F370)</f>
        <v>0</v>
      </c>
      <c r="I370" s="35"/>
      <c r="J370" s="31" t="n">
        <f aca="false">IFERROR(H370/I370,0)</f>
        <v>0</v>
      </c>
      <c r="K370" s="16"/>
    </row>
    <row r="371" customFormat="false" ht="15" hidden="false" customHeight="true" outlineLevel="0" collapsed="false">
      <c r="B371" s="34" t="n">
        <v>46266</v>
      </c>
      <c r="C371" s="14" t="str">
        <f aca="false">IFERROR(TEXT(B371,"ddd"),"")</f>
        <v>Tue</v>
      </c>
      <c r="D371" s="22"/>
      <c r="E371" s="22"/>
      <c r="F371" s="31" t="n">
        <f aca="false">IFERROR(SUMIFS('Cash Transactions'!F6:F500,'Cash Transactions'!B6:B500,B371),0)</f>
        <v>0</v>
      </c>
      <c r="G371" s="22"/>
      <c r="H371" s="31" t="n">
        <f aca="false">D371+E371+IF(G371&gt;0,G371,F371)</f>
        <v>0</v>
      </c>
      <c r="I371" s="35"/>
      <c r="J371" s="31" t="n">
        <f aca="false">IFERROR(H371/I371,0)</f>
        <v>0</v>
      </c>
      <c r="K371" s="16"/>
    </row>
    <row r="372" customFormat="false" ht="15" hidden="false" customHeight="true" outlineLevel="0" collapsed="false">
      <c r="B372" s="36" t="n">
        <v>46267</v>
      </c>
      <c r="C372" s="4" t="str">
        <f aca="false">IFERROR(TEXT(B372,"ddd"),"")</f>
        <v>Wed</v>
      </c>
      <c r="D372" s="37"/>
      <c r="E372" s="37"/>
      <c r="F372" s="38" t="n">
        <f aca="false">IFERROR(SUMIFS('Cash Transactions'!F6:F500,'Cash Transactions'!B6:B500,B372),0)</f>
        <v>0</v>
      </c>
      <c r="G372" s="37"/>
      <c r="H372" s="38" t="n">
        <f aca="false">D372+E372+IF(G372&gt;0,G372,F372)</f>
        <v>0</v>
      </c>
      <c r="I372" s="39"/>
      <c r="J372" s="38" t="n">
        <f aca="false">IFERROR(H372/I372,0)</f>
        <v>0</v>
      </c>
      <c r="K372" s="40"/>
    </row>
    <row r="373" customFormat="false" ht="15" hidden="false" customHeight="true" outlineLevel="0" collapsed="false">
      <c r="B373" s="36" t="n">
        <v>46268</v>
      </c>
      <c r="C373" s="4" t="str">
        <f aca="false">IFERROR(TEXT(B373,"ddd"),"")</f>
        <v>Thu</v>
      </c>
      <c r="D373" s="37"/>
      <c r="E373" s="37"/>
      <c r="F373" s="38" t="n">
        <f aca="false">IFERROR(SUMIFS('Cash Transactions'!F6:F500,'Cash Transactions'!B6:B500,B373),0)</f>
        <v>0</v>
      </c>
      <c r="G373" s="37"/>
      <c r="H373" s="38" t="n">
        <f aca="false">D373+E373+IF(G373&gt;0,G373,F373)</f>
        <v>0</v>
      </c>
      <c r="I373" s="39"/>
      <c r="J373" s="38" t="n">
        <f aca="false">IFERROR(H373/I373,0)</f>
        <v>0</v>
      </c>
      <c r="K373" s="40"/>
    </row>
    <row r="374" customFormat="false" ht="15" hidden="false" customHeight="true" outlineLevel="0" collapsed="false">
      <c r="B374" s="36" t="n">
        <v>46269</v>
      </c>
      <c r="C374" s="4" t="str">
        <f aca="false">IFERROR(TEXT(B374,"ddd"),"")</f>
        <v>Fri</v>
      </c>
      <c r="D374" s="37"/>
      <c r="E374" s="37"/>
      <c r="F374" s="38" t="n">
        <f aca="false">IFERROR(SUMIFS('Cash Transactions'!F6:F500,'Cash Transactions'!B6:B500,B374),0)</f>
        <v>0</v>
      </c>
      <c r="G374" s="37"/>
      <c r="H374" s="38" t="n">
        <f aca="false">D374+E374+IF(G374&gt;0,G374,F374)</f>
        <v>0</v>
      </c>
      <c r="I374" s="39"/>
      <c r="J374" s="38" t="n">
        <f aca="false">IFERROR(H374/I374,0)</f>
        <v>0</v>
      </c>
      <c r="K374" s="40"/>
    </row>
    <row r="375" customFormat="false" ht="15" hidden="false" customHeight="true" outlineLevel="0" collapsed="false">
      <c r="B375" s="36" t="n">
        <v>46270</v>
      </c>
      <c r="C375" s="4" t="str">
        <f aca="false">IFERROR(TEXT(B375,"ddd"),"")</f>
        <v>Sat</v>
      </c>
      <c r="D375" s="37"/>
      <c r="E375" s="37"/>
      <c r="F375" s="38" t="n">
        <f aca="false">IFERROR(SUMIFS('Cash Transactions'!F6:F500,'Cash Transactions'!B6:B500,B375),0)</f>
        <v>0</v>
      </c>
      <c r="G375" s="37"/>
      <c r="H375" s="38" t="n">
        <f aca="false">D375+E375+IF(G375&gt;0,G375,F375)</f>
        <v>0</v>
      </c>
      <c r="I375" s="39"/>
      <c r="J375" s="38" t="n">
        <f aca="false">IFERROR(H375/I375,0)</f>
        <v>0</v>
      </c>
      <c r="K375" s="40"/>
    </row>
    <row r="376" customFormat="false" ht="15" hidden="false" customHeight="true" outlineLevel="0" collapsed="false">
      <c r="B376" s="36" t="n">
        <v>46271</v>
      </c>
      <c r="C376" s="4" t="str">
        <f aca="false">IFERROR(TEXT(B376,"ddd"),"")</f>
        <v>Sun</v>
      </c>
      <c r="D376" s="37"/>
      <c r="E376" s="37"/>
      <c r="F376" s="38" t="n">
        <f aca="false">IFERROR(SUMIFS('Cash Transactions'!F6:F500,'Cash Transactions'!B6:B500,B376),0)</f>
        <v>0</v>
      </c>
      <c r="G376" s="37"/>
      <c r="H376" s="38" t="n">
        <f aca="false">D376+E376+IF(G376&gt;0,G376,F376)</f>
        <v>0</v>
      </c>
      <c r="I376" s="39"/>
      <c r="J376" s="38" t="n">
        <f aca="false">IFERROR(H376/I376,0)</f>
        <v>0</v>
      </c>
      <c r="K376" s="40"/>
    </row>
    <row r="377" customFormat="false" ht="15" hidden="false" customHeight="true" outlineLevel="0" collapsed="false">
      <c r="B377" s="36" t="n">
        <v>46272</v>
      </c>
      <c r="C377" s="4" t="str">
        <f aca="false">IFERROR(TEXT(B377,"ddd"),"")</f>
        <v>Mon</v>
      </c>
      <c r="D377" s="37"/>
      <c r="E377" s="37"/>
      <c r="F377" s="38" t="n">
        <f aca="false">IFERROR(SUMIFS('Cash Transactions'!F6:F500,'Cash Transactions'!B6:B500,B377),0)</f>
        <v>0</v>
      </c>
      <c r="G377" s="37"/>
      <c r="H377" s="38" t="n">
        <f aca="false">D377+E377+IF(G377&gt;0,G377,F377)</f>
        <v>0</v>
      </c>
      <c r="I377" s="39"/>
      <c r="J377" s="38" t="n">
        <f aca="false">IFERROR(H377/I377,0)</f>
        <v>0</v>
      </c>
      <c r="K377" s="40"/>
    </row>
    <row r="378" customFormat="false" ht="15" hidden="false" customHeight="true" outlineLevel="0" collapsed="false">
      <c r="B378" s="36" t="n">
        <v>46273</v>
      </c>
      <c r="C378" s="4" t="str">
        <f aca="false">IFERROR(TEXT(B378,"ddd"),"")</f>
        <v>Tue</v>
      </c>
      <c r="D378" s="37"/>
      <c r="E378" s="37"/>
      <c r="F378" s="38" t="n">
        <f aca="false">IFERROR(SUMIFS('Cash Transactions'!F6:F500,'Cash Transactions'!B6:B500,B378),0)</f>
        <v>0</v>
      </c>
      <c r="G378" s="37"/>
      <c r="H378" s="38" t="n">
        <f aca="false">D378+E378+IF(G378&gt;0,G378,F378)</f>
        <v>0</v>
      </c>
      <c r="I378" s="39"/>
      <c r="J378" s="38" t="n">
        <f aca="false">IFERROR(H378/I378,0)</f>
        <v>0</v>
      </c>
      <c r="K378" s="40"/>
    </row>
    <row r="379" customFormat="false" ht="15" hidden="false" customHeight="true" outlineLevel="0" collapsed="false">
      <c r="B379" s="36" t="n">
        <v>46274</v>
      </c>
      <c r="C379" s="4" t="str">
        <f aca="false">IFERROR(TEXT(B379,"ddd"),"")</f>
        <v>Wed</v>
      </c>
      <c r="D379" s="37"/>
      <c r="E379" s="37"/>
      <c r="F379" s="38" t="n">
        <f aca="false">IFERROR(SUMIFS('Cash Transactions'!F6:F500,'Cash Transactions'!B6:B500,B379),0)</f>
        <v>0</v>
      </c>
      <c r="G379" s="37"/>
      <c r="H379" s="38" t="n">
        <f aca="false">D379+E379+IF(G379&gt;0,G379,F379)</f>
        <v>0</v>
      </c>
      <c r="I379" s="39"/>
      <c r="J379" s="38" t="n">
        <f aca="false">IFERROR(H379/I379,0)</f>
        <v>0</v>
      </c>
      <c r="K379" s="40"/>
    </row>
    <row r="380" customFormat="false" ht="15" hidden="false" customHeight="true" outlineLevel="0" collapsed="false">
      <c r="B380" s="36" t="n">
        <v>46275</v>
      </c>
      <c r="C380" s="4" t="str">
        <f aca="false">IFERROR(TEXT(B380,"ddd"),"")</f>
        <v>Thu</v>
      </c>
      <c r="D380" s="37"/>
      <c r="E380" s="37"/>
      <c r="F380" s="38" t="n">
        <f aca="false">IFERROR(SUMIFS('Cash Transactions'!F6:F500,'Cash Transactions'!B6:B500,B380),0)</f>
        <v>0</v>
      </c>
      <c r="G380" s="37"/>
      <c r="H380" s="38" t="n">
        <f aca="false">D380+E380+IF(G380&gt;0,G380,F380)</f>
        <v>0</v>
      </c>
      <c r="I380" s="39"/>
      <c r="J380" s="38" t="n">
        <f aca="false">IFERROR(H380/I380,0)</f>
        <v>0</v>
      </c>
      <c r="K380" s="40"/>
    </row>
    <row r="381" customFormat="false" ht="15" hidden="false" customHeight="true" outlineLevel="0" collapsed="false">
      <c r="B381" s="36" t="n">
        <v>46276</v>
      </c>
      <c r="C381" s="4" t="str">
        <f aca="false">IFERROR(TEXT(B381,"ddd"),"")</f>
        <v>Fri</v>
      </c>
      <c r="D381" s="37"/>
      <c r="E381" s="37"/>
      <c r="F381" s="38" t="n">
        <f aca="false">IFERROR(SUMIFS('Cash Transactions'!F6:F500,'Cash Transactions'!B6:B500,B381),0)</f>
        <v>0</v>
      </c>
      <c r="G381" s="37"/>
      <c r="H381" s="38" t="n">
        <f aca="false">D381+E381+IF(G381&gt;0,G381,F381)</f>
        <v>0</v>
      </c>
      <c r="I381" s="39"/>
      <c r="J381" s="38" t="n">
        <f aca="false">IFERROR(H381/I381,0)</f>
        <v>0</v>
      </c>
      <c r="K381" s="40"/>
    </row>
    <row r="382" customFormat="false" ht="15" hidden="false" customHeight="true" outlineLevel="0" collapsed="false">
      <c r="B382" s="36" t="n">
        <v>46277</v>
      </c>
      <c r="C382" s="4" t="str">
        <f aca="false">IFERROR(TEXT(B382,"ddd"),"")</f>
        <v>Sat</v>
      </c>
      <c r="D382" s="37"/>
      <c r="E382" s="37"/>
      <c r="F382" s="38" t="n">
        <f aca="false">IFERROR(SUMIFS('Cash Transactions'!F6:F500,'Cash Transactions'!B6:B500,B382),0)</f>
        <v>0</v>
      </c>
      <c r="G382" s="37"/>
      <c r="H382" s="38" t="n">
        <f aca="false">D382+E382+IF(G382&gt;0,G382,F382)</f>
        <v>0</v>
      </c>
      <c r="I382" s="39"/>
      <c r="J382" s="38" t="n">
        <f aca="false">IFERROR(H382/I382,0)</f>
        <v>0</v>
      </c>
      <c r="K382" s="40"/>
    </row>
    <row r="383" customFormat="false" ht="15" hidden="false" customHeight="true" outlineLevel="0" collapsed="false">
      <c r="B383" s="36" t="n">
        <v>46278</v>
      </c>
      <c r="C383" s="4" t="str">
        <f aca="false">IFERROR(TEXT(B383,"ddd"),"")</f>
        <v>Sun</v>
      </c>
      <c r="D383" s="37"/>
      <c r="E383" s="37"/>
      <c r="F383" s="38" t="n">
        <f aca="false">IFERROR(SUMIFS('Cash Transactions'!F6:F500,'Cash Transactions'!B6:B500,B383),0)</f>
        <v>0</v>
      </c>
      <c r="G383" s="37"/>
      <c r="H383" s="38" t="n">
        <f aca="false">D383+E383+IF(G383&gt;0,G383,F383)</f>
        <v>0</v>
      </c>
      <c r="I383" s="39"/>
      <c r="J383" s="38" t="n">
        <f aca="false">IFERROR(H383/I383,0)</f>
        <v>0</v>
      </c>
      <c r="K383" s="40"/>
    </row>
    <row r="384" customFormat="false" ht="15" hidden="false" customHeight="true" outlineLevel="0" collapsed="false">
      <c r="B384" s="36" t="n">
        <v>46279</v>
      </c>
      <c r="C384" s="4" t="str">
        <f aca="false">IFERROR(TEXT(B384,"ddd"),"")</f>
        <v>Mon</v>
      </c>
      <c r="D384" s="37"/>
      <c r="E384" s="37"/>
      <c r="F384" s="38" t="n">
        <f aca="false">IFERROR(SUMIFS('Cash Transactions'!F6:F500,'Cash Transactions'!B6:B500,B384),0)</f>
        <v>0</v>
      </c>
      <c r="G384" s="37"/>
      <c r="H384" s="38" t="n">
        <f aca="false">D384+E384+IF(G384&gt;0,G384,F384)</f>
        <v>0</v>
      </c>
      <c r="I384" s="39"/>
      <c r="J384" s="38" t="n">
        <f aca="false">IFERROR(H384/I384,0)</f>
        <v>0</v>
      </c>
      <c r="K384" s="40"/>
    </row>
    <row r="385" customFormat="false" ht="15" hidden="false" customHeight="true" outlineLevel="0" collapsed="false">
      <c r="B385" s="36" t="n">
        <v>46280</v>
      </c>
      <c r="C385" s="4" t="str">
        <f aca="false">IFERROR(TEXT(B385,"ddd"),"")</f>
        <v>Tue</v>
      </c>
      <c r="D385" s="37"/>
      <c r="E385" s="37"/>
      <c r="F385" s="38" t="n">
        <f aca="false">IFERROR(SUMIFS('Cash Transactions'!F6:F500,'Cash Transactions'!B6:B500,B385),0)</f>
        <v>0</v>
      </c>
      <c r="G385" s="37"/>
      <c r="H385" s="38" t="n">
        <f aca="false">D385+E385+IF(G385&gt;0,G385,F385)</f>
        <v>0</v>
      </c>
      <c r="I385" s="39"/>
      <c r="J385" s="38" t="n">
        <f aca="false">IFERROR(H385/I385,0)</f>
        <v>0</v>
      </c>
      <c r="K385" s="40"/>
    </row>
    <row r="386" customFormat="false" ht="15" hidden="false" customHeight="true" outlineLevel="0" collapsed="false">
      <c r="B386" s="36" t="n">
        <v>46281</v>
      </c>
      <c r="C386" s="4" t="str">
        <f aca="false">IFERROR(TEXT(B386,"ddd"),"")</f>
        <v>Wed</v>
      </c>
      <c r="D386" s="37"/>
      <c r="E386" s="37"/>
      <c r="F386" s="38" t="n">
        <f aca="false">IFERROR(SUMIFS('Cash Transactions'!F6:F500,'Cash Transactions'!B6:B500,B386),0)</f>
        <v>0</v>
      </c>
      <c r="G386" s="37"/>
      <c r="H386" s="38" t="n">
        <f aca="false">D386+E386+IF(G386&gt;0,G386,F386)</f>
        <v>0</v>
      </c>
      <c r="I386" s="39"/>
      <c r="J386" s="38" t="n">
        <f aca="false">IFERROR(H386/I386,0)</f>
        <v>0</v>
      </c>
      <c r="K386" s="40"/>
    </row>
    <row r="387" customFormat="false" ht="15" hidden="false" customHeight="true" outlineLevel="0" collapsed="false">
      <c r="B387" s="36" t="n">
        <v>46282</v>
      </c>
      <c r="C387" s="4" t="str">
        <f aca="false">IFERROR(TEXT(B387,"ddd"),"")</f>
        <v>Thu</v>
      </c>
      <c r="D387" s="37"/>
      <c r="E387" s="37"/>
      <c r="F387" s="38" t="n">
        <f aca="false">IFERROR(SUMIFS('Cash Transactions'!F6:F500,'Cash Transactions'!B6:B500,B387),0)</f>
        <v>0</v>
      </c>
      <c r="G387" s="37"/>
      <c r="H387" s="38" t="n">
        <f aca="false">D387+E387+IF(G387&gt;0,G387,F387)</f>
        <v>0</v>
      </c>
      <c r="I387" s="39"/>
      <c r="J387" s="38" t="n">
        <f aca="false">IFERROR(H387/I387,0)</f>
        <v>0</v>
      </c>
      <c r="K387" s="40"/>
    </row>
    <row r="388" customFormat="false" ht="15" hidden="false" customHeight="true" outlineLevel="0" collapsed="false">
      <c r="B388" s="36" t="n">
        <v>46283</v>
      </c>
      <c r="C388" s="4" t="str">
        <f aca="false">IFERROR(TEXT(B388,"ddd"),"")</f>
        <v>Fri</v>
      </c>
      <c r="D388" s="37"/>
      <c r="E388" s="37"/>
      <c r="F388" s="38" t="n">
        <f aca="false">IFERROR(SUMIFS('Cash Transactions'!F6:F500,'Cash Transactions'!B6:B500,B388),0)</f>
        <v>0</v>
      </c>
      <c r="G388" s="37"/>
      <c r="H388" s="38" t="n">
        <f aca="false">D388+E388+IF(G388&gt;0,G388,F388)</f>
        <v>0</v>
      </c>
      <c r="I388" s="39"/>
      <c r="J388" s="38" t="n">
        <f aca="false">IFERROR(H388/I388,0)</f>
        <v>0</v>
      </c>
      <c r="K388" s="40"/>
    </row>
    <row r="389" customFormat="false" ht="15" hidden="false" customHeight="true" outlineLevel="0" collapsed="false">
      <c r="B389" s="36" t="n">
        <v>46284</v>
      </c>
      <c r="C389" s="4" t="str">
        <f aca="false">IFERROR(TEXT(B389,"ddd"),"")</f>
        <v>Sat</v>
      </c>
      <c r="D389" s="37"/>
      <c r="E389" s="37"/>
      <c r="F389" s="38" t="n">
        <f aca="false">IFERROR(SUMIFS('Cash Transactions'!F6:F500,'Cash Transactions'!B6:B500,B389),0)</f>
        <v>0</v>
      </c>
      <c r="G389" s="37"/>
      <c r="H389" s="38" t="n">
        <f aca="false">D389+E389+IF(G389&gt;0,G389,F389)</f>
        <v>0</v>
      </c>
      <c r="I389" s="39"/>
      <c r="J389" s="38" t="n">
        <f aca="false">IFERROR(H389/I389,0)</f>
        <v>0</v>
      </c>
      <c r="K389" s="40"/>
    </row>
    <row r="390" customFormat="false" ht="15" hidden="false" customHeight="true" outlineLevel="0" collapsed="false">
      <c r="B390" s="36" t="n">
        <v>46285</v>
      </c>
      <c r="C390" s="4" t="str">
        <f aca="false">IFERROR(TEXT(B390,"ddd"),"")</f>
        <v>Sun</v>
      </c>
      <c r="D390" s="37"/>
      <c r="E390" s="37"/>
      <c r="F390" s="38" t="n">
        <f aca="false">IFERROR(SUMIFS('Cash Transactions'!F6:F500,'Cash Transactions'!B6:B500,B390),0)</f>
        <v>0</v>
      </c>
      <c r="G390" s="37"/>
      <c r="H390" s="38" t="n">
        <f aca="false">D390+E390+IF(G390&gt;0,G390,F390)</f>
        <v>0</v>
      </c>
      <c r="I390" s="39"/>
      <c r="J390" s="38" t="n">
        <f aca="false">IFERROR(H390/I390,0)</f>
        <v>0</v>
      </c>
      <c r="K390" s="40"/>
    </row>
    <row r="391" customFormat="false" ht="15" hidden="false" customHeight="true" outlineLevel="0" collapsed="false">
      <c r="B391" s="36" t="n">
        <v>46286</v>
      </c>
      <c r="C391" s="4" t="str">
        <f aca="false">IFERROR(TEXT(B391,"ddd"),"")</f>
        <v>Mon</v>
      </c>
      <c r="D391" s="37"/>
      <c r="E391" s="37"/>
      <c r="F391" s="38" t="n">
        <f aca="false">IFERROR(SUMIFS('Cash Transactions'!F6:F500,'Cash Transactions'!B6:B500,B391),0)</f>
        <v>0</v>
      </c>
      <c r="G391" s="37"/>
      <c r="H391" s="38" t="n">
        <f aca="false">D391+E391+IF(G391&gt;0,G391,F391)</f>
        <v>0</v>
      </c>
      <c r="I391" s="39"/>
      <c r="J391" s="38" t="n">
        <f aca="false">IFERROR(H391/I391,0)</f>
        <v>0</v>
      </c>
      <c r="K391" s="40"/>
    </row>
    <row r="392" customFormat="false" ht="15" hidden="false" customHeight="true" outlineLevel="0" collapsed="false">
      <c r="B392" s="36" t="n">
        <v>46287</v>
      </c>
      <c r="C392" s="4" t="str">
        <f aca="false">IFERROR(TEXT(B392,"ddd"),"")</f>
        <v>Tue</v>
      </c>
      <c r="D392" s="37"/>
      <c r="E392" s="37"/>
      <c r="F392" s="38" t="n">
        <f aca="false">IFERROR(SUMIFS('Cash Transactions'!F6:F500,'Cash Transactions'!B6:B500,B392),0)</f>
        <v>0</v>
      </c>
      <c r="G392" s="37"/>
      <c r="H392" s="38" t="n">
        <f aca="false">D392+E392+IF(G392&gt;0,G392,F392)</f>
        <v>0</v>
      </c>
      <c r="I392" s="39"/>
      <c r="J392" s="38" t="n">
        <f aca="false">IFERROR(H392/I392,0)</f>
        <v>0</v>
      </c>
      <c r="K392" s="40"/>
    </row>
    <row r="393" customFormat="false" ht="15" hidden="false" customHeight="true" outlineLevel="0" collapsed="false">
      <c r="B393" s="36" t="n">
        <v>46288</v>
      </c>
      <c r="C393" s="4" t="str">
        <f aca="false">IFERROR(TEXT(B393,"ddd"),"")</f>
        <v>Wed</v>
      </c>
      <c r="D393" s="37"/>
      <c r="E393" s="37"/>
      <c r="F393" s="38" t="n">
        <f aca="false">IFERROR(SUMIFS('Cash Transactions'!F6:F500,'Cash Transactions'!B6:B500,B393),0)</f>
        <v>0</v>
      </c>
      <c r="G393" s="37"/>
      <c r="H393" s="38" t="n">
        <f aca="false">D393+E393+IF(G393&gt;0,G393,F393)</f>
        <v>0</v>
      </c>
      <c r="I393" s="39"/>
      <c r="J393" s="38" t="n">
        <f aca="false">IFERROR(H393/I393,0)</f>
        <v>0</v>
      </c>
      <c r="K393" s="40"/>
    </row>
    <row r="394" customFormat="false" ht="15" hidden="false" customHeight="true" outlineLevel="0" collapsed="false">
      <c r="B394" s="36" t="n">
        <v>46289</v>
      </c>
      <c r="C394" s="4" t="str">
        <f aca="false">IFERROR(TEXT(B394,"ddd"),"")</f>
        <v>Thu</v>
      </c>
      <c r="D394" s="37"/>
      <c r="E394" s="37"/>
      <c r="F394" s="38" t="n">
        <f aca="false">IFERROR(SUMIFS('Cash Transactions'!F6:F500,'Cash Transactions'!B6:B500,B394),0)</f>
        <v>0</v>
      </c>
      <c r="G394" s="37"/>
      <c r="H394" s="38" t="n">
        <f aca="false">D394+E394+IF(G394&gt;0,G394,F394)</f>
        <v>0</v>
      </c>
      <c r="I394" s="39"/>
      <c r="J394" s="38" t="n">
        <f aca="false">IFERROR(H394/I394,0)</f>
        <v>0</v>
      </c>
      <c r="K394" s="40"/>
    </row>
    <row r="395" customFormat="false" ht="15" hidden="false" customHeight="true" outlineLevel="0" collapsed="false">
      <c r="B395" s="36" t="n">
        <v>46290</v>
      </c>
      <c r="C395" s="4" t="str">
        <f aca="false">IFERROR(TEXT(B395,"ddd"),"")</f>
        <v>Fri</v>
      </c>
      <c r="D395" s="37"/>
      <c r="E395" s="37"/>
      <c r="F395" s="38" t="n">
        <f aca="false">IFERROR(SUMIFS('Cash Transactions'!F6:F500,'Cash Transactions'!B6:B500,B395),0)</f>
        <v>0</v>
      </c>
      <c r="G395" s="37"/>
      <c r="H395" s="38" t="n">
        <f aca="false">D395+E395+IF(G395&gt;0,G395,F395)</f>
        <v>0</v>
      </c>
      <c r="I395" s="39"/>
      <c r="J395" s="38" t="n">
        <f aca="false">IFERROR(H395/I395,0)</f>
        <v>0</v>
      </c>
      <c r="K395" s="40"/>
    </row>
    <row r="396" customFormat="false" ht="15" hidden="false" customHeight="true" outlineLevel="0" collapsed="false">
      <c r="B396" s="36" t="n">
        <v>46291</v>
      </c>
      <c r="C396" s="4" t="str">
        <f aca="false">IFERROR(TEXT(B396,"ddd"),"")</f>
        <v>Sat</v>
      </c>
      <c r="D396" s="37"/>
      <c r="E396" s="37"/>
      <c r="F396" s="38" t="n">
        <f aca="false">IFERROR(SUMIFS('Cash Transactions'!F6:F500,'Cash Transactions'!B6:B500,B396),0)</f>
        <v>0</v>
      </c>
      <c r="G396" s="37"/>
      <c r="H396" s="38" t="n">
        <f aca="false">D396+E396+IF(G396&gt;0,G396,F396)</f>
        <v>0</v>
      </c>
      <c r="I396" s="39"/>
      <c r="J396" s="38" t="n">
        <f aca="false">IFERROR(H396/I396,0)</f>
        <v>0</v>
      </c>
      <c r="K396" s="40"/>
    </row>
    <row r="397" customFormat="false" ht="15" hidden="false" customHeight="true" outlineLevel="0" collapsed="false">
      <c r="B397" s="36" t="n">
        <v>46292</v>
      </c>
      <c r="C397" s="4" t="str">
        <f aca="false">IFERROR(TEXT(B397,"ddd"),"")</f>
        <v>Sun</v>
      </c>
      <c r="D397" s="37"/>
      <c r="E397" s="37"/>
      <c r="F397" s="38" t="n">
        <f aca="false">IFERROR(SUMIFS('Cash Transactions'!F6:F500,'Cash Transactions'!B6:B500,B397),0)</f>
        <v>0</v>
      </c>
      <c r="G397" s="37"/>
      <c r="H397" s="38" t="n">
        <f aca="false">D397+E397+IF(G397&gt;0,G397,F397)</f>
        <v>0</v>
      </c>
      <c r="I397" s="39"/>
      <c r="J397" s="38" t="n">
        <f aca="false">IFERROR(H397/I397,0)</f>
        <v>0</v>
      </c>
      <c r="K397" s="40"/>
    </row>
    <row r="398" customFormat="false" ht="15" hidden="false" customHeight="true" outlineLevel="0" collapsed="false">
      <c r="B398" s="36" t="n">
        <v>46293</v>
      </c>
      <c r="C398" s="4" t="str">
        <f aca="false">IFERROR(TEXT(B398,"ddd"),"")</f>
        <v>Mon</v>
      </c>
      <c r="D398" s="37"/>
      <c r="E398" s="37"/>
      <c r="F398" s="38" t="n">
        <f aca="false">IFERROR(SUMIFS('Cash Transactions'!F6:F500,'Cash Transactions'!B6:B500,B398),0)</f>
        <v>0</v>
      </c>
      <c r="G398" s="37"/>
      <c r="H398" s="38" t="n">
        <f aca="false">D398+E398+IF(G398&gt;0,G398,F398)</f>
        <v>0</v>
      </c>
      <c r="I398" s="39"/>
      <c r="J398" s="38" t="n">
        <f aca="false">IFERROR(H398/I398,0)</f>
        <v>0</v>
      </c>
      <c r="K398" s="40"/>
    </row>
    <row r="399" customFormat="false" ht="15" hidden="false" customHeight="true" outlineLevel="0" collapsed="false">
      <c r="B399" s="36" t="n">
        <v>46294</v>
      </c>
      <c r="C399" s="4" t="str">
        <f aca="false">IFERROR(TEXT(B399,"ddd"),"")</f>
        <v>Tue</v>
      </c>
      <c r="D399" s="37"/>
      <c r="E399" s="37"/>
      <c r="F399" s="38" t="n">
        <f aca="false">IFERROR(SUMIFS('Cash Transactions'!F6:F500,'Cash Transactions'!B6:B500,B399),0)</f>
        <v>0</v>
      </c>
      <c r="G399" s="37"/>
      <c r="H399" s="38" t="n">
        <f aca="false">D399+E399+IF(G399&gt;0,G399,F399)</f>
        <v>0</v>
      </c>
      <c r="I399" s="39"/>
      <c r="J399" s="38" t="n">
        <f aca="false">IFERROR(H399/I399,0)</f>
        <v>0</v>
      </c>
      <c r="K399" s="40"/>
    </row>
    <row r="400" customFormat="false" ht="15" hidden="false" customHeight="true" outlineLevel="0" collapsed="false">
      <c r="B400" s="36" t="n">
        <v>46295</v>
      </c>
      <c r="C400" s="4" t="str">
        <f aca="false">IFERROR(TEXT(B400,"ddd"),"")</f>
        <v>Wed</v>
      </c>
      <c r="D400" s="37"/>
      <c r="E400" s="37"/>
      <c r="F400" s="38" t="n">
        <f aca="false">IFERROR(SUMIFS('Cash Transactions'!F6:F500,'Cash Transactions'!B6:B500,B400),0)</f>
        <v>0</v>
      </c>
      <c r="G400" s="37"/>
      <c r="H400" s="38" t="n">
        <f aca="false">D400+E400+IF(G400&gt;0,G400,F400)</f>
        <v>0</v>
      </c>
      <c r="I400" s="39"/>
      <c r="J400" s="38" t="n">
        <f aca="false">IFERROR(H400/I400,0)</f>
        <v>0</v>
      </c>
      <c r="K400" s="40"/>
    </row>
    <row r="401" customFormat="false" ht="15" hidden="false" customHeight="true" outlineLevel="0" collapsed="false">
      <c r="B401" s="36" t="n">
        <v>46296</v>
      </c>
      <c r="C401" s="4" t="str">
        <f aca="false">IFERROR(TEXT(B401,"ddd"),"")</f>
        <v>Thu</v>
      </c>
      <c r="D401" s="37"/>
      <c r="E401" s="37"/>
      <c r="F401" s="38" t="n">
        <f aca="false">IFERROR(SUMIFS('Cash Transactions'!F6:F500,'Cash Transactions'!B6:B500,B401),0)</f>
        <v>0</v>
      </c>
      <c r="G401" s="37"/>
      <c r="H401" s="38" t="n">
        <f aca="false">D401+E401+IF(G401&gt;0,G401,F401)</f>
        <v>0</v>
      </c>
      <c r="I401" s="39"/>
      <c r="J401" s="38" t="n">
        <f aca="false">IFERROR(H401/I401,0)</f>
        <v>0</v>
      </c>
      <c r="K401" s="40"/>
    </row>
    <row r="402" customFormat="false" ht="15" hidden="false" customHeight="true" outlineLevel="0" collapsed="false">
      <c r="B402" s="36" t="n">
        <v>46297</v>
      </c>
      <c r="C402" s="4" t="str">
        <f aca="false">IFERROR(TEXT(B402,"ddd"),"")</f>
        <v>Fri</v>
      </c>
      <c r="D402" s="37"/>
      <c r="E402" s="37"/>
      <c r="F402" s="38" t="n">
        <f aca="false">IFERROR(SUMIFS('Cash Transactions'!F6:F500,'Cash Transactions'!B6:B500,B402),0)</f>
        <v>0</v>
      </c>
      <c r="G402" s="37"/>
      <c r="H402" s="38" t="n">
        <f aca="false">D402+E402+IF(G402&gt;0,G402,F402)</f>
        <v>0</v>
      </c>
      <c r="I402" s="39"/>
      <c r="J402" s="38" t="n">
        <f aca="false">IFERROR(H402/I402,0)</f>
        <v>0</v>
      </c>
      <c r="K402" s="40"/>
    </row>
    <row r="403" customFormat="false" ht="15" hidden="false" customHeight="true" outlineLevel="0" collapsed="false">
      <c r="B403" s="36" t="n">
        <v>46298</v>
      </c>
      <c r="C403" s="4" t="str">
        <f aca="false">IFERROR(TEXT(B403,"ddd"),"")</f>
        <v>Sat</v>
      </c>
      <c r="D403" s="37"/>
      <c r="E403" s="37"/>
      <c r="F403" s="38" t="n">
        <f aca="false">IFERROR(SUMIFS('Cash Transactions'!F6:F500,'Cash Transactions'!B6:B500,B403),0)</f>
        <v>0</v>
      </c>
      <c r="G403" s="37"/>
      <c r="H403" s="38" t="n">
        <f aca="false">D403+E403+IF(G403&gt;0,G403,F403)</f>
        <v>0</v>
      </c>
      <c r="I403" s="39"/>
      <c r="J403" s="38" t="n">
        <f aca="false">IFERROR(H403/I403,0)</f>
        <v>0</v>
      </c>
      <c r="K403" s="40"/>
    </row>
    <row r="404" customFormat="false" ht="15" hidden="false" customHeight="true" outlineLevel="0" collapsed="false">
      <c r="B404" s="36" t="n">
        <v>46299</v>
      </c>
      <c r="C404" s="4" t="str">
        <f aca="false">IFERROR(TEXT(B404,"ddd"),"")</f>
        <v>Sun</v>
      </c>
      <c r="D404" s="37"/>
      <c r="E404" s="37"/>
      <c r="F404" s="38" t="n">
        <f aca="false">IFERROR(SUMIFS('Cash Transactions'!F6:F500,'Cash Transactions'!B6:B500,B404),0)</f>
        <v>0</v>
      </c>
      <c r="G404" s="37"/>
      <c r="H404" s="38" t="n">
        <f aca="false">D404+E404+IF(G404&gt;0,G404,F404)</f>
        <v>0</v>
      </c>
      <c r="I404" s="39"/>
      <c r="J404" s="38" t="n">
        <f aca="false">IFERROR(H404/I404,0)</f>
        <v>0</v>
      </c>
      <c r="K404" s="40"/>
    </row>
    <row r="405" customFormat="false" ht="15" hidden="false" customHeight="true" outlineLevel="0" collapsed="false">
      <c r="B405" s="36" t="n">
        <v>46300</v>
      </c>
      <c r="C405" s="4" t="str">
        <f aca="false">IFERROR(TEXT(B405,"ddd"),"")</f>
        <v>Mon</v>
      </c>
      <c r="D405" s="37"/>
      <c r="E405" s="37"/>
      <c r="F405" s="38" t="n">
        <f aca="false">IFERROR(SUMIFS('Cash Transactions'!F6:F500,'Cash Transactions'!B6:B500,B405),0)</f>
        <v>0</v>
      </c>
      <c r="G405" s="37"/>
      <c r="H405" s="38" t="n">
        <f aca="false">D405+E405+IF(G405&gt;0,G405,F405)</f>
        <v>0</v>
      </c>
      <c r="I405" s="39"/>
      <c r="J405" s="38" t="n">
        <f aca="false">IFERROR(H405/I405,0)</f>
        <v>0</v>
      </c>
      <c r="K405" s="40"/>
    </row>
    <row r="406" customFormat="false" ht="15" hidden="false" customHeight="true" outlineLevel="0" collapsed="false">
      <c r="B406" s="36" t="n">
        <v>46301</v>
      </c>
      <c r="C406" s="4" t="str">
        <f aca="false">IFERROR(TEXT(B406,"ddd"),"")</f>
        <v>Tue</v>
      </c>
      <c r="D406" s="37"/>
      <c r="E406" s="37"/>
      <c r="F406" s="38" t="n">
        <f aca="false">IFERROR(SUMIFS('Cash Transactions'!F6:F500,'Cash Transactions'!B6:B500,B406),0)</f>
        <v>0</v>
      </c>
      <c r="G406" s="37"/>
      <c r="H406" s="38" t="n">
        <f aca="false">D406+E406+IF(G406&gt;0,G406,F406)</f>
        <v>0</v>
      </c>
      <c r="I406" s="39"/>
      <c r="J406" s="38" t="n">
        <f aca="false">IFERROR(H406/I406,0)</f>
        <v>0</v>
      </c>
      <c r="K406" s="40"/>
    </row>
    <row r="407" customFormat="false" ht="15" hidden="false" customHeight="true" outlineLevel="0" collapsed="false">
      <c r="B407" s="36" t="n">
        <v>46302</v>
      </c>
      <c r="C407" s="4" t="str">
        <f aca="false">IFERROR(TEXT(B407,"ddd"),"")</f>
        <v>Wed</v>
      </c>
      <c r="D407" s="37"/>
      <c r="E407" s="37"/>
      <c r="F407" s="38" t="n">
        <f aca="false">IFERROR(SUMIFS('Cash Transactions'!F6:F500,'Cash Transactions'!B6:B500,B407),0)</f>
        <v>0</v>
      </c>
      <c r="G407" s="37"/>
      <c r="H407" s="38" t="n">
        <f aca="false">D407+E407+IF(G407&gt;0,G407,F407)</f>
        <v>0</v>
      </c>
      <c r="I407" s="39"/>
      <c r="J407" s="38" t="n">
        <f aca="false">IFERROR(H407/I407,0)</f>
        <v>0</v>
      </c>
      <c r="K407" s="40"/>
    </row>
    <row r="408" customFormat="false" ht="15" hidden="false" customHeight="true" outlineLevel="0" collapsed="false">
      <c r="B408" s="36" t="n">
        <v>46303</v>
      </c>
      <c r="C408" s="4" t="str">
        <f aca="false">IFERROR(TEXT(B408,"ddd"),"")</f>
        <v>Thu</v>
      </c>
      <c r="D408" s="37"/>
      <c r="E408" s="37"/>
      <c r="F408" s="38" t="n">
        <f aca="false">IFERROR(SUMIFS('Cash Transactions'!F6:F500,'Cash Transactions'!B6:B500,B408),0)</f>
        <v>0</v>
      </c>
      <c r="G408" s="37"/>
      <c r="H408" s="38" t="n">
        <f aca="false">D408+E408+IF(G408&gt;0,G408,F408)</f>
        <v>0</v>
      </c>
      <c r="I408" s="39"/>
      <c r="J408" s="38" t="n">
        <f aca="false">IFERROR(H408/I408,0)</f>
        <v>0</v>
      </c>
      <c r="K408" s="40"/>
    </row>
    <row r="409" customFormat="false" ht="15" hidden="false" customHeight="true" outlineLevel="0" collapsed="false">
      <c r="B409" s="36" t="n">
        <v>46304</v>
      </c>
      <c r="C409" s="4" t="str">
        <f aca="false">IFERROR(TEXT(B409,"ddd"),"")</f>
        <v>Fri</v>
      </c>
      <c r="D409" s="37"/>
      <c r="E409" s="37"/>
      <c r="F409" s="38" t="n">
        <f aca="false">IFERROR(SUMIFS('Cash Transactions'!F6:F500,'Cash Transactions'!B6:B500,B409),0)</f>
        <v>0</v>
      </c>
      <c r="G409" s="37"/>
      <c r="H409" s="38" t="n">
        <f aca="false">D409+E409+IF(G409&gt;0,G409,F409)</f>
        <v>0</v>
      </c>
      <c r="I409" s="39"/>
      <c r="J409" s="38" t="n">
        <f aca="false">IFERROR(H409/I409,0)</f>
        <v>0</v>
      </c>
      <c r="K409" s="40"/>
    </row>
    <row r="410" customFormat="false" ht="15" hidden="false" customHeight="true" outlineLevel="0" collapsed="false">
      <c r="B410" s="36" t="n">
        <v>46305</v>
      </c>
      <c r="C410" s="4" t="str">
        <f aca="false">IFERROR(TEXT(B410,"ddd"),"")</f>
        <v>Sat</v>
      </c>
      <c r="D410" s="37"/>
      <c r="E410" s="37"/>
      <c r="F410" s="38" t="n">
        <f aca="false">IFERROR(SUMIFS('Cash Transactions'!F6:F500,'Cash Transactions'!B6:B500,B410),0)</f>
        <v>0</v>
      </c>
      <c r="G410" s="37"/>
      <c r="H410" s="38" t="n">
        <f aca="false">D410+E410+IF(G410&gt;0,G410,F410)</f>
        <v>0</v>
      </c>
      <c r="I410" s="39"/>
      <c r="J410" s="38" t="n">
        <f aca="false">IFERROR(H410/I410,0)</f>
        <v>0</v>
      </c>
      <c r="K410" s="40"/>
    </row>
    <row r="411" customFormat="false" ht="15" hidden="false" customHeight="true" outlineLevel="0" collapsed="false">
      <c r="B411" s="36" t="n">
        <v>46306</v>
      </c>
      <c r="C411" s="4" t="str">
        <f aca="false">IFERROR(TEXT(B411,"ddd"),"")</f>
        <v>Sun</v>
      </c>
      <c r="D411" s="37"/>
      <c r="E411" s="37"/>
      <c r="F411" s="38" t="n">
        <f aca="false">IFERROR(SUMIFS('Cash Transactions'!F6:F500,'Cash Transactions'!B6:B500,B411),0)</f>
        <v>0</v>
      </c>
      <c r="G411" s="37"/>
      <c r="H411" s="38" t="n">
        <f aca="false">D411+E411+IF(G411&gt;0,G411,F411)</f>
        <v>0</v>
      </c>
      <c r="I411" s="39"/>
      <c r="J411" s="38" t="n">
        <f aca="false">IFERROR(H411/I411,0)</f>
        <v>0</v>
      </c>
      <c r="K411" s="40"/>
    </row>
    <row r="412" customFormat="false" ht="15" hidden="false" customHeight="true" outlineLevel="0" collapsed="false">
      <c r="B412" s="36" t="n">
        <v>46307</v>
      </c>
      <c r="C412" s="4" t="str">
        <f aca="false">IFERROR(TEXT(B412,"ddd"),"")</f>
        <v>Mon</v>
      </c>
      <c r="D412" s="37"/>
      <c r="E412" s="37"/>
      <c r="F412" s="38" t="n">
        <f aca="false">IFERROR(SUMIFS('Cash Transactions'!F6:F500,'Cash Transactions'!B6:B500,B412),0)</f>
        <v>0</v>
      </c>
      <c r="G412" s="37"/>
      <c r="H412" s="38" t="n">
        <f aca="false">D412+E412+IF(G412&gt;0,G412,F412)</f>
        <v>0</v>
      </c>
      <c r="I412" s="39"/>
      <c r="J412" s="38" t="n">
        <f aca="false">IFERROR(H412/I412,0)</f>
        <v>0</v>
      </c>
      <c r="K412" s="40"/>
    </row>
    <row r="413" customFormat="false" ht="15" hidden="false" customHeight="true" outlineLevel="0" collapsed="false">
      <c r="B413" s="36" t="n">
        <v>46308</v>
      </c>
      <c r="C413" s="4" t="str">
        <f aca="false">IFERROR(TEXT(B413,"ddd"),"")</f>
        <v>Tue</v>
      </c>
      <c r="D413" s="37"/>
      <c r="E413" s="37"/>
      <c r="F413" s="38" t="n">
        <f aca="false">IFERROR(SUMIFS('Cash Transactions'!F6:F500,'Cash Transactions'!B6:B500,B413),0)</f>
        <v>0</v>
      </c>
      <c r="G413" s="37"/>
      <c r="H413" s="38" t="n">
        <f aca="false">D413+E413+IF(G413&gt;0,G413,F413)</f>
        <v>0</v>
      </c>
      <c r="I413" s="39"/>
      <c r="J413" s="38" t="n">
        <f aca="false">IFERROR(H413/I413,0)</f>
        <v>0</v>
      </c>
      <c r="K413" s="40"/>
    </row>
    <row r="414" customFormat="false" ht="15" hidden="false" customHeight="true" outlineLevel="0" collapsed="false">
      <c r="B414" s="36" t="n">
        <v>46309</v>
      </c>
      <c r="C414" s="4" t="str">
        <f aca="false">IFERROR(TEXT(B414,"ddd"),"")</f>
        <v>Wed</v>
      </c>
      <c r="D414" s="37"/>
      <c r="E414" s="37"/>
      <c r="F414" s="38" t="n">
        <f aca="false">IFERROR(SUMIFS('Cash Transactions'!F6:F500,'Cash Transactions'!B6:B500,B414),0)</f>
        <v>0</v>
      </c>
      <c r="G414" s="37"/>
      <c r="H414" s="38" t="n">
        <f aca="false">D414+E414+IF(G414&gt;0,G414,F414)</f>
        <v>0</v>
      </c>
      <c r="I414" s="39"/>
      <c r="J414" s="38" t="n">
        <f aca="false">IFERROR(H414/I414,0)</f>
        <v>0</v>
      </c>
      <c r="K414" s="40"/>
    </row>
    <row r="415" customFormat="false" ht="15" hidden="false" customHeight="true" outlineLevel="0" collapsed="false">
      <c r="B415" s="36" t="n">
        <v>46310</v>
      </c>
      <c r="C415" s="4" t="str">
        <f aca="false">IFERROR(TEXT(B415,"ddd"),"")</f>
        <v>Thu</v>
      </c>
      <c r="D415" s="37"/>
      <c r="E415" s="37"/>
      <c r="F415" s="38" t="n">
        <f aca="false">IFERROR(SUMIFS('Cash Transactions'!F6:F500,'Cash Transactions'!B6:B500,B415),0)</f>
        <v>0</v>
      </c>
      <c r="G415" s="37"/>
      <c r="H415" s="38" t="n">
        <f aca="false">D415+E415+IF(G415&gt;0,G415,F415)</f>
        <v>0</v>
      </c>
      <c r="I415" s="39"/>
      <c r="J415" s="38" t="n">
        <f aca="false">IFERROR(H415/I415,0)</f>
        <v>0</v>
      </c>
      <c r="K415" s="40"/>
    </row>
    <row r="416" customFormat="false" ht="15" hidden="false" customHeight="true" outlineLevel="0" collapsed="false">
      <c r="B416" s="36" t="n">
        <v>46311</v>
      </c>
      <c r="C416" s="4" t="str">
        <f aca="false">IFERROR(TEXT(B416,"ddd"),"")</f>
        <v>Fri</v>
      </c>
      <c r="D416" s="37"/>
      <c r="E416" s="37"/>
      <c r="F416" s="38" t="n">
        <f aca="false">IFERROR(SUMIFS('Cash Transactions'!F6:F500,'Cash Transactions'!B6:B500,B416),0)</f>
        <v>0</v>
      </c>
      <c r="G416" s="37"/>
      <c r="H416" s="38" t="n">
        <f aca="false">D416+E416+IF(G416&gt;0,G416,F416)</f>
        <v>0</v>
      </c>
      <c r="I416" s="39"/>
      <c r="J416" s="38" t="n">
        <f aca="false">IFERROR(H416/I416,0)</f>
        <v>0</v>
      </c>
      <c r="K416" s="40"/>
    </row>
    <row r="417" customFormat="false" ht="15" hidden="false" customHeight="true" outlineLevel="0" collapsed="false">
      <c r="B417" s="36" t="n">
        <v>46312</v>
      </c>
      <c r="C417" s="4" t="str">
        <f aca="false">IFERROR(TEXT(B417,"ddd"),"")</f>
        <v>Sat</v>
      </c>
      <c r="D417" s="37"/>
      <c r="E417" s="37"/>
      <c r="F417" s="38" t="n">
        <f aca="false">IFERROR(SUMIFS('Cash Transactions'!F6:F500,'Cash Transactions'!B6:B500,B417),0)</f>
        <v>0</v>
      </c>
      <c r="G417" s="37"/>
      <c r="H417" s="38" t="n">
        <f aca="false">D417+E417+IF(G417&gt;0,G417,F417)</f>
        <v>0</v>
      </c>
      <c r="I417" s="39"/>
      <c r="J417" s="38" t="n">
        <f aca="false">IFERROR(H417/I417,0)</f>
        <v>0</v>
      </c>
      <c r="K417" s="40"/>
    </row>
    <row r="418" customFormat="false" ht="15" hidden="false" customHeight="true" outlineLevel="0" collapsed="false">
      <c r="B418" s="36" t="n">
        <v>46313</v>
      </c>
      <c r="C418" s="4" t="str">
        <f aca="false">IFERROR(TEXT(B418,"ddd"),"")</f>
        <v>Sun</v>
      </c>
      <c r="D418" s="37"/>
      <c r="E418" s="37"/>
      <c r="F418" s="38" t="n">
        <f aca="false">IFERROR(SUMIFS('Cash Transactions'!F6:F500,'Cash Transactions'!B6:B500,B418),0)</f>
        <v>0</v>
      </c>
      <c r="G418" s="37"/>
      <c r="H418" s="38" t="n">
        <f aca="false">D418+E418+IF(G418&gt;0,G418,F418)</f>
        <v>0</v>
      </c>
      <c r="I418" s="39"/>
      <c r="J418" s="38" t="n">
        <f aca="false">IFERROR(H418/I418,0)</f>
        <v>0</v>
      </c>
      <c r="K418" s="40"/>
    </row>
    <row r="419" customFormat="false" ht="15" hidden="false" customHeight="true" outlineLevel="0" collapsed="false">
      <c r="B419" s="36" t="n">
        <v>46314</v>
      </c>
      <c r="C419" s="4" t="str">
        <f aca="false">IFERROR(TEXT(B419,"ddd"),"")</f>
        <v>Mon</v>
      </c>
      <c r="D419" s="37"/>
      <c r="E419" s="37"/>
      <c r="F419" s="38" t="n">
        <f aca="false">IFERROR(SUMIFS('Cash Transactions'!F6:F500,'Cash Transactions'!B6:B500,B419),0)</f>
        <v>0</v>
      </c>
      <c r="G419" s="37"/>
      <c r="H419" s="38" t="n">
        <f aca="false">D419+E419+IF(G419&gt;0,G419,F419)</f>
        <v>0</v>
      </c>
      <c r="I419" s="39"/>
      <c r="J419" s="38" t="n">
        <f aca="false">IFERROR(H419/I419,0)</f>
        <v>0</v>
      </c>
      <c r="K419" s="40"/>
    </row>
    <row r="420" customFormat="false" ht="15" hidden="false" customHeight="true" outlineLevel="0" collapsed="false">
      <c r="B420" s="36" t="n">
        <v>46315</v>
      </c>
      <c r="C420" s="4" t="str">
        <f aca="false">IFERROR(TEXT(B420,"ddd"),"")</f>
        <v>Tue</v>
      </c>
      <c r="D420" s="37"/>
      <c r="E420" s="37"/>
      <c r="F420" s="38" t="n">
        <f aca="false">IFERROR(SUMIFS('Cash Transactions'!F6:F500,'Cash Transactions'!B6:B500,B420),0)</f>
        <v>0</v>
      </c>
      <c r="G420" s="37"/>
      <c r="H420" s="38" t="n">
        <f aca="false">D420+E420+IF(G420&gt;0,G420,F420)</f>
        <v>0</v>
      </c>
      <c r="I420" s="39"/>
      <c r="J420" s="38" t="n">
        <f aca="false">IFERROR(H420/I420,0)</f>
        <v>0</v>
      </c>
      <c r="K420" s="40"/>
    </row>
    <row r="421" customFormat="false" ht="15" hidden="false" customHeight="true" outlineLevel="0" collapsed="false">
      <c r="B421" s="36" t="n">
        <v>46316</v>
      </c>
      <c r="C421" s="4" t="str">
        <f aca="false">IFERROR(TEXT(B421,"ddd"),"")</f>
        <v>Wed</v>
      </c>
      <c r="D421" s="37"/>
      <c r="E421" s="37"/>
      <c r="F421" s="38" t="n">
        <f aca="false">IFERROR(SUMIFS('Cash Transactions'!F6:F500,'Cash Transactions'!B6:B500,B421),0)</f>
        <v>0</v>
      </c>
      <c r="G421" s="37"/>
      <c r="H421" s="38" t="n">
        <f aca="false">D421+E421+IF(G421&gt;0,G421,F421)</f>
        <v>0</v>
      </c>
      <c r="I421" s="39"/>
      <c r="J421" s="38" t="n">
        <f aca="false">IFERROR(H421/I421,0)</f>
        <v>0</v>
      </c>
      <c r="K421" s="40"/>
    </row>
    <row r="422" customFormat="false" ht="15" hidden="false" customHeight="true" outlineLevel="0" collapsed="false">
      <c r="B422" s="36" t="n">
        <v>46317</v>
      </c>
      <c r="C422" s="4" t="str">
        <f aca="false">IFERROR(TEXT(B422,"ddd"),"")</f>
        <v>Thu</v>
      </c>
      <c r="D422" s="37"/>
      <c r="E422" s="37"/>
      <c r="F422" s="38" t="n">
        <f aca="false">IFERROR(SUMIFS('Cash Transactions'!F6:F500,'Cash Transactions'!B6:B500,B422),0)</f>
        <v>0</v>
      </c>
      <c r="G422" s="37"/>
      <c r="H422" s="38" t="n">
        <f aca="false">D422+E422+IF(G422&gt;0,G422,F422)</f>
        <v>0</v>
      </c>
      <c r="I422" s="39"/>
      <c r="J422" s="38" t="n">
        <f aca="false">IFERROR(H422/I422,0)</f>
        <v>0</v>
      </c>
      <c r="K422" s="40"/>
    </row>
    <row r="423" customFormat="false" ht="15" hidden="false" customHeight="true" outlineLevel="0" collapsed="false">
      <c r="B423" s="36" t="n">
        <v>46318</v>
      </c>
      <c r="C423" s="4" t="str">
        <f aca="false">IFERROR(TEXT(B423,"ddd"),"")</f>
        <v>Fri</v>
      </c>
      <c r="D423" s="37"/>
      <c r="E423" s="37"/>
      <c r="F423" s="38" t="n">
        <f aca="false">IFERROR(SUMIFS('Cash Transactions'!F6:F500,'Cash Transactions'!B6:B500,B423),0)</f>
        <v>0</v>
      </c>
      <c r="G423" s="37"/>
      <c r="H423" s="38" t="n">
        <f aca="false">D423+E423+IF(G423&gt;0,G423,F423)</f>
        <v>0</v>
      </c>
      <c r="I423" s="39"/>
      <c r="J423" s="38" t="n">
        <f aca="false">IFERROR(H423/I423,0)</f>
        <v>0</v>
      </c>
      <c r="K423" s="40"/>
    </row>
    <row r="424" customFormat="false" ht="15" hidden="false" customHeight="true" outlineLevel="0" collapsed="false">
      <c r="B424" s="36" t="n">
        <v>46319</v>
      </c>
      <c r="C424" s="4" t="str">
        <f aca="false">IFERROR(TEXT(B424,"ddd"),"")</f>
        <v>Sat</v>
      </c>
      <c r="D424" s="37"/>
      <c r="E424" s="37"/>
      <c r="F424" s="38" t="n">
        <f aca="false">IFERROR(SUMIFS('Cash Transactions'!F6:F500,'Cash Transactions'!B6:B500,B424),0)</f>
        <v>0</v>
      </c>
      <c r="G424" s="37"/>
      <c r="H424" s="38" t="n">
        <f aca="false">D424+E424+IF(G424&gt;0,G424,F424)</f>
        <v>0</v>
      </c>
      <c r="I424" s="39"/>
      <c r="J424" s="38" t="n">
        <f aca="false">IFERROR(H424/I424,0)</f>
        <v>0</v>
      </c>
      <c r="K424" s="40"/>
    </row>
    <row r="425" customFormat="false" ht="15" hidden="false" customHeight="true" outlineLevel="0" collapsed="false">
      <c r="B425" s="36" t="n">
        <v>46320</v>
      </c>
      <c r="C425" s="4" t="str">
        <f aca="false">IFERROR(TEXT(B425,"ddd"),"")</f>
        <v>Sun</v>
      </c>
      <c r="D425" s="37"/>
      <c r="E425" s="37"/>
      <c r="F425" s="38" t="n">
        <f aca="false">IFERROR(SUMIFS('Cash Transactions'!F6:F500,'Cash Transactions'!B6:B500,B425),0)</f>
        <v>0</v>
      </c>
      <c r="G425" s="37"/>
      <c r="H425" s="38" t="n">
        <f aca="false">D425+E425+IF(G425&gt;0,G425,F425)</f>
        <v>0</v>
      </c>
      <c r="I425" s="39"/>
      <c r="J425" s="38" t="n">
        <f aca="false">IFERROR(H425/I425,0)</f>
        <v>0</v>
      </c>
      <c r="K425" s="40"/>
    </row>
    <row r="426" customFormat="false" ht="15" hidden="false" customHeight="true" outlineLevel="0" collapsed="false">
      <c r="B426" s="36" t="n">
        <v>46321</v>
      </c>
      <c r="C426" s="4" t="str">
        <f aca="false">IFERROR(TEXT(B426,"ddd"),"")</f>
        <v>Mon</v>
      </c>
      <c r="D426" s="37"/>
      <c r="E426" s="37"/>
      <c r="F426" s="38" t="n">
        <f aca="false">IFERROR(SUMIFS('Cash Transactions'!F6:F500,'Cash Transactions'!B6:B500,B426),0)</f>
        <v>0</v>
      </c>
      <c r="G426" s="37"/>
      <c r="H426" s="38" t="n">
        <f aca="false">D426+E426+IF(G426&gt;0,G426,F426)</f>
        <v>0</v>
      </c>
      <c r="I426" s="39"/>
      <c r="J426" s="38" t="n">
        <f aca="false">IFERROR(H426/I426,0)</f>
        <v>0</v>
      </c>
      <c r="K426" s="40"/>
    </row>
    <row r="427" customFormat="false" ht="15" hidden="false" customHeight="true" outlineLevel="0" collapsed="false">
      <c r="B427" s="36" t="n">
        <v>46322</v>
      </c>
      <c r="C427" s="4" t="str">
        <f aca="false">IFERROR(TEXT(B427,"ddd"),"")</f>
        <v>Tue</v>
      </c>
      <c r="D427" s="37"/>
      <c r="E427" s="37"/>
      <c r="F427" s="38" t="n">
        <f aca="false">IFERROR(SUMIFS('Cash Transactions'!F6:F500,'Cash Transactions'!B6:B500,B427),0)</f>
        <v>0</v>
      </c>
      <c r="G427" s="37"/>
      <c r="H427" s="38" t="n">
        <f aca="false">D427+E427+IF(G427&gt;0,G427,F427)</f>
        <v>0</v>
      </c>
      <c r="I427" s="39"/>
      <c r="J427" s="38" t="n">
        <f aca="false">IFERROR(H427/I427,0)</f>
        <v>0</v>
      </c>
      <c r="K427" s="40"/>
    </row>
    <row r="428" customFormat="false" ht="15" hidden="false" customHeight="true" outlineLevel="0" collapsed="false">
      <c r="B428" s="36" t="n">
        <v>46323</v>
      </c>
      <c r="C428" s="4" t="str">
        <f aca="false">IFERROR(TEXT(B428,"ddd"),"")</f>
        <v>Wed</v>
      </c>
      <c r="D428" s="37"/>
      <c r="E428" s="37"/>
      <c r="F428" s="38" t="n">
        <f aca="false">IFERROR(SUMIFS('Cash Transactions'!F6:F500,'Cash Transactions'!B6:B500,B428),0)</f>
        <v>0</v>
      </c>
      <c r="G428" s="37"/>
      <c r="H428" s="38" t="n">
        <f aca="false">D428+E428+IF(G428&gt;0,G428,F428)</f>
        <v>0</v>
      </c>
      <c r="I428" s="39"/>
      <c r="J428" s="38" t="n">
        <f aca="false">IFERROR(H428/I428,0)</f>
        <v>0</v>
      </c>
      <c r="K428" s="40"/>
    </row>
    <row r="429" customFormat="false" ht="15" hidden="false" customHeight="true" outlineLevel="0" collapsed="false">
      <c r="B429" s="36" t="n">
        <v>46324</v>
      </c>
      <c r="C429" s="4" t="str">
        <f aca="false">IFERROR(TEXT(B429,"ddd"),"")</f>
        <v>Thu</v>
      </c>
      <c r="D429" s="37"/>
      <c r="E429" s="37"/>
      <c r="F429" s="38" t="n">
        <f aca="false">IFERROR(SUMIFS('Cash Transactions'!F6:F500,'Cash Transactions'!B6:B500,B429),0)</f>
        <v>0</v>
      </c>
      <c r="G429" s="37"/>
      <c r="H429" s="38" t="n">
        <f aca="false">D429+E429+IF(G429&gt;0,G429,F429)</f>
        <v>0</v>
      </c>
      <c r="I429" s="39"/>
      <c r="J429" s="38" t="n">
        <f aca="false">IFERROR(H429/I429,0)</f>
        <v>0</v>
      </c>
      <c r="K429" s="40"/>
    </row>
    <row r="430" customFormat="false" ht="15" hidden="false" customHeight="true" outlineLevel="0" collapsed="false">
      <c r="B430" s="36" t="n">
        <v>46325</v>
      </c>
      <c r="C430" s="4" t="str">
        <f aca="false">IFERROR(TEXT(B430,"ddd"),"")</f>
        <v>Fri</v>
      </c>
      <c r="D430" s="37"/>
      <c r="E430" s="37"/>
      <c r="F430" s="38" t="n">
        <f aca="false">IFERROR(SUMIFS('Cash Transactions'!F6:F500,'Cash Transactions'!B6:B500,B430),0)</f>
        <v>0</v>
      </c>
      <c r="G430" s="37"/>
      <c r="H430" s="38" t="n">
        <f aca="false">D430+E430+IF(G430&gt;0,G430,F430)</f>
        <v>0</v>
      </c>
      <c r="I430" s="39"/>
      <c r="J430" s="38" t="n">
        <f aca="false">IFERROR(H430/I430,0)</f>
        <v>0</v>
      </c>
      <c r="K430" s="40"/>
    </row>
    <row r="431" customFormat="false" ht="15" hidden="false" customHeight="true" outlineLevel="0" collapsed="false">
      <c r="B431" s="36" t="n">
        <v>46326</v>
      </c>
      <c r="C431" s="4" t="str">
        <f aca="false">IFERROR(TEXT(B431,"ddd"),"")</f>
        <v>Sat</v>
      </c>
      <c r="D431" s="37"/>
      <c r="E431" s="37"/>
      <c r="F431" s="38" t="n">
        <f aca="false">IFERROR(SUMIFS('Cash Transactions'!F6:F500,'Cash Transactions'!B6:B500,B431),0)</f>
        <v>0</v>
      </c>
      <c r="G431" s="37"/>
      <c r="H431" s="38" t="n">
        <f aca="false">D431+E431+IF(G431&gt;0,G431,F431)</f>
        <v>0</v>
      </c>
      <c r="I431" s="39"/>
      <c r="J431" s="38" t="n">
        <f aca="false">IFERROR(H431/I431,0)</f>
        <v>0</v>
      </c>
      <c r="K431" s="40"/>
    </row>
    <row r="432" customFormat="false" ht="15" hidden="false" customHeight="true" outlineLevel="0" collapsed="false">
      <c r="B432" s="36" t="n">
        <v>46327</v>
      </c>
      <c r="C432" s="4" t="str">
        <f aca="false">IFERROR(TEXT(B432,"ddd"),"")</f>
        <v>Sun</v>
      </c>
      <c r="D432" s="37"/>
      <c r="E432" s="37"/>
      <c r="F432" s="38" t="n">
        <f aca="false">IFERROR(SUMIFS('Cash Transactions'!F6:F500,'Cash Transactions'!B6:B500,B432),0)</f>
        <v>0</v>
      </c>
      <c r="G432" s="37"/>
      <c r="H432" s="38" t="n">
        <f aca="false">D432+E432+IF(G432&gt;0,G432,F432)</f>
        <v>0</v>
      </c>
      <c r="I432" s="39"/>
      <c r="J432" s="38" t="n">
        <f aca="false">IFERROR(H432/I432,0)</f>
        <v>0</v>
      </c>
      <c r="K432" s="40"/>
    </row>
    <row r="433" customFormat="false" ht="15" hidden="false" customHeight="true" outlineLevel="0" collapsed="false">
      <c r="B433" s="36" t="n">
        <v>46328</v>
      </c>
      <c r="C433" s="4" t="str">
        <f aca="false">IFERROR(TEXT(B433,"ddd"),"")</f>
        <v>Mon</v>
      </c>
      <c r="D433" s="37"/>
      <c r="E433" s="37"/>
      <c r="F433" s="38" t="n">
        <f aca="false">IFERROR(SUMIFS('Cash Transactions'!F6:F500,'Cash Transactions'!B6:B500,B433),0)</f>
        <v>0</v>
      </c>
      <c r="G433" s="37"/>
      <c r="H433" s="38" t="n">
        <f aca="false">D433+E433+IF(G433&gt;0,G433,F433)</f>
        <v>0</v>
      </c>
      <c r="I433" s="39"/>
      <c r="J433" s="38" t="n">
        <f aca="false">IFERROR(H433/I433,0)</f>
        <v>0</v>
      </c>
      <c r="K433" s="40"/>
    </row>
    <row r="434" customFormat="false" ht="15" hidden="false" customHeight="true" outlineLevel="0" collapsed="false">
      <c r="B434" s="36" t="n">
        <v>46329</v>
      </c>
      <c r="C434" s="4" t="str">
        <f aca="false">IFERROR(TEXT(B434,"ddd"),"")</f>
        <v>Tue</v>
      </c>
      <c r="D434" s="37"/>
      <c r="E434" s="37"/>
      <c r="F434" s="38" t="n">
        <f aca="false">IFERROR(SUMIFS('Cash Transactions'!F6:F500,'Cash Transactions'!B6:B500,B434),0)</f>
        <v>0</v>
      </c>
      <c r="G434" s="37"/>
      <c r="H434" s="38" t="n">
        <f aca="false">D434+E434+IF(G434&gt;0,G434,F434)</f>
        <v>0</v>
      </c>
      <c r="I434" s="39"/>
      <c r="J434" s="38" t="n">
        <f aca="false">IFERROR(H434/I434,0)</f>
        <v>0</v>
      </c>
      <c r="K434" s="40"/>
    </row>
    <row r="435" customFormat="false" ht="15" hidden="false" customHeight="true" outlineLevel="0" collapsed="false">
      <c r="B435" s="36" t="n">
        <v>46330</v>
      </c>
      <c r="C435" s="4" t="str">
        <f aca="false">IFERROR(TEXT(B435,"ddd"),"")</f>
        <v>Wed</v>
      </c>
      <c r="D435" s="37"/>
      <c r="E435" s="37"/>
      <c r="F435" s="38" t="n">
        <f aca="false">IFERROR(SUMIFS('Cash Transactions'!F6:F500,'Cash Transactions'!B6:B500,B435),0)</f>
        <v>0</v>
      </c>
      <c r="G435" s="37"/>
      <c r="H435" s="38" t="n">
        <f aca="false">D435+E435+IF(G435&gt;0,G435,F435)</f>
        <v>0</v>
      </c>
      <c r="I435" s="39"/>
      <c r="J435" s="38" t="n">
        <f aca="false">IFERROR(H435/I435,0)</f>
        <v>0</v>
      </c>
      <c r="K435" s="40"/>
    </row>
    <row r="436" customFormat="false" ht="15" hidden="false" customHeight="true" outlineLevel="0" collapsed="false">
      <c r="B436" s="36" t="n">
        <v>46331</v>
      </c>
      <c r="C436" s="4" t="str">
        <f aca="false">IFERROR(TEXT(B436,"ddd"),"")</f>
        <v>Thu</v>
      </c>
      <c r="D436" s="37"/>
      <c r="E436" s="37"/>
      <c r="F436" s="38" t="n">
        <f aca="false">IFERROR(SUMIFS('Cash Transactions'!F6:F500,'Cash Transactions'!B6:B500,B436),0)</f>
        <v>0</v>
      </c>
      <c r="G436" s="37"/>
      <c r="H436" s="38" t="n">
        <f aca="false">D436+E436+IF(G436&gt;0,G436,F436)</f>
        <v>0</v>
      </c>
      <c r="I436" s="39"/>
      <c r="J436" s="38" t="n">
        <f aca="false">IFERROR(H436/I436,0)</f>
        <v>0</v>
      </c>
      <c r="K436" s="40"/>
    </row>
    <row r="437" customFormat="false" ht="15" hidden="false" customHeight="true" outlineLevel="0" collapsed="false">
      <c r="B437" s="36" t="n">
        <v>46332</v>
      </c>
      <c r="C437" s="4" t="str">
        <f aca="false">IFERROR(TEXT(B437,"ddd"),"")</f>
        <v>Fri</v>
      </c>
      <c r="D437" s="37"/>
      <c r="E437" s="37"/>
      <c r="F437" s="38" t="n">
        <f aca="false">IFERROR(SUMIFS('Cash Transactions'!F6:F500,'Cash Transactions'!B6:B500,B437),0)</f>
        <v>0</v>
      </c>
      <c r="G437" s="37"/>
      <c r="H437" s="38" t="n">
        <f aca="false">D437+E437+IF(G437&gt;0,G437,F437)</f>
        <v>0</v>
      </c>
      <c r="I437" s="39"/>
      <c r="J437" s="38" t="n">
        <f aca="false">IFERROR(H437/I437,0)</f>
        <v>0</v>
      </c>
      <c r="K437" s="40"/>
    </row>
    <row r="438" customFormat="false" ht="15" hidden="false" customHeight="true" outlineLevel="0" collapsed="false">
      <c r="B438" s="36" t="n">
        <v>46333</v>
      </c>
      <c r="C438" s="4" t="str">
        <f aca="false">IFERROR(TEXT(B438,"ddd"),"")</f>
        <v>Sat</v>
      </c>
      <c r="D438" s="37"/>
      <c r="E438" s="37"/>
      <c r="F438" s="38" t="n">
        <f aca="false">IFERROR(SUMIFS('Cash Transactions'!F6:F500,'Cash Transactions'!B6:B500,B438),0)</f>
        <v>0</v>
      </c>
      <c r="G438" s="37"/>
      <c r="H438" s="38" t="n">
        <f aca="false">D438+E438+IF(G438&gt;0,G438,F438)</f>
        <v>0</v>
      </c>
      <c r="I438" s="39"/>
      <c r="J438" s="38" t="n">
        <f aca="false">IFERROR(H438/I438,0)</f>
        <v>0</v>
      </c>
      <c r="K438" s="40"/>
    </row>
    <row r="439" customFormat="false" ht="15" hidden="false" customHeight="true" outlineLevel="0" collapsed="false">
      <c r="B439" s="36" t="n">
        <v>46334</v>
      </c>
      <c r="C439" s="4" t="str">
        <f aca="false">IFERROR(TEXT(B439,"ddd"),"")</f>
        <v>Sun</v>
      </c>
      <c r="D439" s="37"/>
      <c r="E439" s="37"/>
      <c r="F439" s="38" t="n">
        <f aca="false">IFERROR(SUMIFS('Cash Transactions'!F6:F500,'Cash Transactions'!B6:B500,B439),0)</f>
        <v>0</v>
      </c>
      <c r="G439" s="37"/>
      <c r="H439" s="38" t="n">
        <f aca="false">D439+E439+IF(G439&gt;0,G439,F439)</f>
        <v>0</v>
      </c>
      <c r="I439" s="39"/>
      <c r="J439" s="38" t="n">
        <f aca="false">IFERROR(H439/I439,0)</f>
        <v>0</v>
      </c>
      <c r="K439" s="40"/>
    </row>
    <row r="440" customFormat="false" ht="15" hidden="false" customHeight="true" outlineLevel="0" collapsed="false">
      <c r="B440" s="36" t="n">
        <v>46335</v>
      </c>
      <c r="C440" s="4" t="str">
        <f aca="false">IFERROR(TEXT(B440,"ddd"),"")</f>
        <v>Mon</v>
      </c>
      <c r="D440" s="37"/>
      <c r="E440" s="37"/>
      <c r="F440" s="38" t="n">
        <f aca="false">IFERROR(SUMIFS('Cash Transactions'!F6:F500,'Cash Transactions'!B6:B500,B440),0)</f>
        <v>0</v>
      </c>
      <c r="G440" s="37"/>
      <c r="H440" s="38" t="n">
        <f aca="false">D440+E440+IF(G440&gt;0,G440,F440)</f>
        <v>0</v>
      </c>
      <c r="I440" s="39"/>
      <c r="J440" s="38" t="n">
        <f aca="false">IFERROR(H440/I440,0)</f>
        <v>0</v>
      </c>
      <c r="K440" s="40"/>
    </row>
    <row r="441" customFormat="false" ht="15" hidden="false" customHeight="true" outlineLevel="0" collapsed="false">
      <c r="B441" s="36" t="n">
        <v>46336</v>
      </c>
      <c r="C441" s="4" t="str">
        <f aca="false">IFERROR(TEXT(B441,"ddd"),"")</f>
        <v>Tue</v>
      </c>
      <c r="D441" s="37"/>
      <c r="E441" s="37"/>
      <c r="F441" s="38" t="n">
        <f aca="false">IFERROR(SUMIFS('Cash Transactions'!F6:F500,'Cash Transactions'!B6:B500,B441),0)</f>
        <v>0</v>
      </c>
      <c r="G441" s="37"/>
      <c r="H441" s="38" t="n">
        <f aca="false">D441+E441+IF(G441&gt;0,G441,F441)</f>
        <v>0</v>
      </c>
      <c r="I441" s="39"/>
      <c r="J441" s="38" t="n">
        <f aca="false">IFERROR(H441/I441,0)</f>
        <v>0</v>
      </c>
      <c r="K441" s="40"/>
    </row>
    <row r="442" customFormat="false" ht="15" hidden="false" customHeight="true" outlineLevel="0" collapsed="false">
      <c r="B442" s="36" t="n">
        <v>46337</v>
      </c>
      <c r="C442" s="4" t="str">
        <f aca="false">IFERROR(TEXT(B442,"ddd"),"")</f>
        <v>Wed</v>
      </c>
      <c r="D442" s="37"/>
      <c r="E442" s="37"/>
      <c r="F442" s="38" t="n">
        <f aca="false">IFERROR(SUMIFS('Cash Transactions'!F6:F500,'Cash Transactions'!B6:B500,B442),0)</f>
        <v>0</v>
      </c>
      <c r="G442" s="37"/>
      <c r="H442" s="38" t="n">
        <f aca="false">D442+E442+IF(G442&gt;0,G442,F442)</f>
        <v>0</v>
      </c>
      <c r="I442" s="39"/>
      <c r="J442" s="38" t="n">
        <f aca="false">IFERROR(H442/I442,0)</f>
        <v>0</v>
      </c>
      <c r="K442" s="40"/>
    </row>
    <row r="443" customFormat="false" ht="15" hidden="false" customHeight="true" outlineLevel="0" collapsed="false">
      <c r="B443" s="36" t="n">
        <v>46338</v>
      </c>
      <c r="C443" s="4" t="str">
        <f aca="false">IFERROR(TEXT(B443,"ddd"),"")</f>
        <v>Thu</v>
      </c>
      <c r="D443" s="37"/>
      <c r="E443" s="37"/>
      <c r="F443" s="38" t="n">
        <f aca="false">IFERROR(SUMIFS('Cash Transactions'!F6:F500,'Cash Transactions'!B6:B500,B443),0)</f>
        <v>0</v>
      </c>
      <c r="G443" s="37"/>
      <c r="H443" s="38" t="n">
        <f aca="false">D443+E443+IF(G443&gt;0,G443,F443)</f>
        <v>0</v>
      </c>
      <c r="I443" s="39"/>
      <c r="J443" s="38" t="n">
        <f aca="false">IFERROR(H443/I443,0)</f>
        <v>0</v>
      </c>
      <c r="K443" s="40"/>
    </row>
    <row r="444" customFormat="false" ht="15" hidden="false" customHeight="true" outlineLevel="0" collapsed="false">
      <c r="B444" s="36" t="n">
        <v>46339</v>
      </c>
      <c r="C444" s="4" t="str">
        <f aca="false">IFERROR(TEXT(B444,"ddd"),"")</f>
        <v>Fri</v>
      </c>
      <c r="D444" s="37"/>
      <c r="E444" s="37"/>
      <c r="F444" s="38" t="n">
        <f aca="false">IFERROR(SUMIFS('Cash Transactions'!F6:F500,'Cash Transactions'!B6:B500,B444),0)</f>
        <v>0</v>
      </c>
      <c r="G444" s="37"/>
      <c r="H444" s="38" t="n">
        <f aca="false">D444+E444+IF(G444&gt;0,G444,F444)</f>
        <v>0</v>
      </c>
      <c r="I444" s="39"/>
      <c r="J444" s="38" t="n">
        <f aca="false">IFERROR(H444/I444,0)</f>
        <v>0</v>
      </c>
      <c r="K444" s="40"/>
    </row>
    <row r="445" customFormat="false" ht="15" hidden="false" customHeight="true" outlineLevel="0" collapsed="false">
      <c r="B445" s="36" t="n">
        <v>46340</v>
      </c>
      <c r="C445" s="4" t="str">
        <f aca="false">IFERROR(TEXT(B445,"ddd"),"")</f>
        <v>Sat</v>
      </c>
      <c r="D445" s="37"/>
      <c r="E445" s="37"/>
      <c r="F445" s="38" t="n">
        <f aca="false">IFERROR(SUMIFS('Cash Transactions'!F6:F500,'Cash Transactions'!B6:B500,B445),0)</f>
        <v>0</v>
      </c>
      <c r="G445" s="37"/>
      <c r="H445" s="38" t="n">
        <f aca="false">D445+E445+IF(G445&gt;0,G445,F445)</f>
        <v>0</v>
      </c>
      <c r="I445" s="39"/>
      <c r="J445" s="38" t="n">
        <f aca="false">IFERROR(H445/I445,0)</f>
        <v>0</v>
      </c>
      <c r="K445" s="40"/>
    </row>
    <row r="446" customFormat="false" ht="15" hidden="false" customHeight="true" outlineLevel="0" collapsed="false">
      <c r="B446" s="36" t="n">
        <v>46341</v>
      </c>
      <c r="C446" s="4" t="str">
        <f aca="false">IFERROR(TEXT(B446,"ddd"),"")</f>
        <v>Sun</v>
      </c>
      <c r="D446" s="37"/>
      <c r="E446" s="37"/>
      <c r="F446" s="38" t="n">
        <f aca="false">IFERROR(SUMIFS('Cash Transactions'!F6:F500,'Cash Transactions'!B6:B500,B446),0)</f>
        <v>0</v>
      </c>
      <c r="G446" s="37"/>
      <c r="H446" s="38" t="n">
        <f aca="false">D446+E446+IF(G446&gt;0,G446,F446)</f>
        <v>0</v>
      </c>
      <c r="I446" s="39"/>
      <c r="J446" s="38" t="n">
        <f aca="false">IFERROR(H446/I446,0)</f>
        <v>0</v>
      </c>
      <c r="K446" s="40"/>
    </row>
    <row r="447" customFormat="false" ht="15" hidden="false" customHeight="true" outlineLevel="0" collapsed="false">
      <c r="B447" s="36" t="n">
        <v>46342</v>
      </c>
      <c r="C447" s="4" t="str">
        <f aca="false">IFERROR(TEXT(B447,"ddd"),"")</f>
        <v>Mon</v>
      </c>
      <c r="D447" s="37"/>
      <c r="E447" s="37"/>
      <c r="F447" s="38" t="n">
        <f aca="false">IFERROR(SUMIFS('Cash Transactions'!F6:F500,'Cash Transactions'!B6:B500,B447),0)</f>
        <v>0</v>
      </c>
      <c r="G447" s="37"/>
      <c r="H447" s="38" t="n">
        <f aca="false">D447+E447+IF(G447&gt;0,G447,F447)</f>
        <v>0</v>
      </c>
      <c r="I447" s="39"/>
      <c r="J447" s="38" t="n">
        <f aca="false">IFERROR(H447/I447,0)</f>
        <v>0</v>
      </c>
      <c r="K447" s="40"/>
    </row>
    <row r="448" customFormat="false" ht="15" hidden="false" customHeight="true" outlineLevel="0" collapsed="false">
      <c r="B448" s="36" t="n">
        <v>46343</v>
      </c>
      <c r="C448" s="4" t="str">
        <f aca="false">IFERROR(TEXT(B448,"ddd"),"")</f>
        <v>Tue</v>
      </c>
      <c r="D448" s="37"/>
      <c r="E448" s="37"/>
      <c r="F448" s="38" t="n">
        <f aca="false">IFERROR(SUMIFS('Cash Transactions'!F6:F500,'Cash Transactions'!B6:B500,B448),0)</f>
        <v>0</v>
      </c>
      <c r="G448" s="37"/>
      <c r="H448" s="38" t="n">
        <f aca="false">D448+E448+IF(G448&gt;0,G448,F448)</f>
        <v>0</v>
      </c>
      <c r="I448" s="39"/>
      <c r="J448" s="38" t="n">
        <f aca="false">IFERROR(H448/I448,0)</f>
        <v>0</v>
      </c>
      <c r="K448" s="40"/>
    </row>
    <row r="449" customFormat="false" ht="15" hidden="false" customHeight="true" outlineLevel="0" collapsed="false">
      <c r="B449" s="36" t="n">
        <v>46344</v>
      </c>
      <c r="C449" s="4" t="str">
        <f aca="false">IFERROR(TEXT(B449,"ddd"),"")</f>
        <v>Wed</v>
      </c>
      <c r="D449" s="37"/>
      <c r="E449" s="37"/>
      <c r="F449" s="38" t="n">
        <f aca="false">IFERROR(SUMIFS('Cash Transactions'!F6:F500,'Cash Transactions'!B6:B500,B449),0)</f>
        <v>0</v>
      </c>
      <c r="G449" s="37"/>
      <c r="H449" s="38" t="n">
        <f aca="false">D449+E449+IF(G449&gt;0,G449,F449)</f>
        <v>0</v>
      </c>
      <c r="I449" s="39"/>
      <c r="J449" s="38" t="n">
        <f aca="false">IFERROR(H449/I449,0)</f>
        <v>0</v>
      </c>
      <c r="K449" s="40"/>
    </row>
    <row r="450" customFormat="false" ht="15" hidden="false" customHeight="true" outlineLevel="0" collapsed="false">
      <c r="B450" s="36" t="n">
        <v>46345</v>
      </c>
      <c r="C450" s="4" t="str">
        <f aca="false">IFERROR(TEXT(B450,"ddd"),"")</f>
        <v>Thu</v>
      </c>
      <c r="D450" s="37"/>
      <c r="E450" s="37"/>
      <c r="F450" s="38" t="n">
        <f aca="false">IFERROR(SUMIFS('Cash Transactions'!F6:F500,'Cash Transactions'!B6:B500,B450),0)</f>
        <v>0</v>
      </c>
      <c r="G450" s="37"/>
      <c r="H450" s="38" t="n">
        <f aca="false">D450+E450+IF(G450&gt;0,G450,F450)</f>
        <v>0</v>
      </c>
      <c r="I450" s="39"/>
      <c r="J450" s="38" t="n">
        <f aca="false">IFERROR(H450/I450,0)</f>
        <v>0</v>
      </c>
      <c r="K450" s="40"/>
    </row>
    <row r="451" customFormat="false" ht="15" hidden="false" customHeight="true" outlineLevel="0" collapsed="false">
      <c r="B451" s="36" t="n">
        <v>46346</v>
      </c>
      <c r="C451" s="4" t="str">
        <f aca="false">IFERROR(TEXT(B451,"ddd"),"")</f>
        <v>Fri</v>
      </c>
      <c r="D451" s="37"/>
      <c r="E451" s="37"/>
      <c r="F451" s="38" t="n">
        <f aca="false">IFERROR(SUMIFS('Cash Transactions'!F6:F500,'Cash Transactions'!B6:B500,B451),0)</f>
        <v>0</v>
      </c>
      <c r="G451" s="37"/>
      <c r="H451" s="38" t="n">
        <f aca="false">D451+E451+IF(G451&gt;0,G451,F451)</f>
        <v>0</v>
      </c>
      <c r="I451" s="39"/>
      <c r="J451" s="38" t="n">
        <f aca="false">IFERROR(H451/I451,0)</f>
        <v>0</v>
      </c>
      <c r="K451" s="40"/>
    </row>
    <row r="452" customFormat="false" ht="15" hidden="false" customHeight="true" outlineLevel="0" collapsed="false">
      <c r="B452" s="36" t="n">
        <v>46347</v>
      </c>
      <c r="C452" s="4" t="str">
        <f aca="false">IFERROR(TEXT(B452,"ddd"),"")</f>
        <v>Sat</v>
      </c>
      <c r="D452" s="37"/>
      <c r="E452" s="37"/>
      <c r="F452" s="38" t="n">
        <f aca="false">IFERROR(SUMIFS('Cash Transactions'!F6:F500,'Cash Transactions'!B6:B500,B452),0)</f>
        <v>0</v>
      </c>
      <c r="G452" s="37"/>
      <c r="H452" s="38" t="n">
        <f aca="false">D452+E452+IF(G452&gt;0,G452,F452)</f>
        <v>0</v>
      </c>
      <c r="I452" s="39"/>
      <c r="J452" s="38" t="n">
        <f aca="false">IFERROR(H452/I452,0)</f>
        <v>0</v>
      </c>
      <c r="K452" s="40"/>
    </row>
    <row r="453" customFormat="false" ht="15" hidden="false" customHeight="true" outlineLevel="0" collapsed="false">
      <c r="B453" s="36" t="n">
        <v>46348</v>
      </c>
      <c r="C453" s="4" t="str">
        <f aca="false">IFERROR(TEXT(B453,"ddd"),"")</f>
        <v>Sun</v>
      </c>
      <c r="D453" s="37"/>
      <c r="E453" s="37"/>
      <c r="F453" s="38" t="n">
        <f aca="false">IFERROR(SUMIFS('Cash Transactions'!F6:F500,'Cash Transactions'!B6:B500,B453),0)</f>
        <v>0</v>
      </c>
      <c r="G453" s="37"/>
      <c r="H453" s="38" t="n">
        <f aca="false">D453+E453+IF(G453&gt;0,G453,F453)</f>
        <v>0</v>
      </c>
      <c r="I453" s="39"/>
      <c r="J453" s="38" t="n">
        <f aca="false">IFERROR(H453/I453,0)</f>
        <v>0</v>
      </c>
      <c r="K453" s="40"/>
    </row>
    <row r="454" customFormat="false" ht="15" hidden="false" customHeight="true" outlineLevel="0" collapsed="false">
      <c r="B454" s="36" t="n">
        <v>46349</v>
      </c>
      <c r="C454" s="4" t="str">
        <f aca="false">IFERROR(TEXT(B454,"ddd"),"")</f>
        <v>Mon</v>
      </c>
      <c r="D454" s="37"/>
      <c r="E454" s="37"/>
      <c r="F454" s="38" t="n">
        <f aca="false">IFERROR(SUMIFS('Cash Transactions'!F6:F500,'Cash Transactions'!B6:B500,B454),0)</f>
        <v>0</v>
      </c>
      <c r="G454" s="37"/>
      <c r="H454" s="38" t="n">
        <f aca="false">D454+E454+IF(G454&gt;0,G454,F454)</f>
        <v>0</v>
      </c>
      <c r="I454" s="39"/>
      <c r="J454" s="38" t="n">
        <f aca="false">IFERROR(H454/I454,0)</f>
        <v>0</v>
      </c>
      <c r="K454" s="40"/>
    </row>
    <row r="455" customFormat="false" ht="15" hidden="false" customHeight="true" outlineLevel="0" collapsed="false">
      <c r="B455" s="36" t="n">
        <v>46350</v>
      </c>
      <c r="C455" s="4" t="str">
        <f aca="false">IFERROR(TEXT(B455,"ddd"),"")</f>
        <v>Tue</v>
      </c>
      <c r="D455" s="37"/>
      <c r="E455" s="37"/>
      <c r="F455" s="38" t="n">
        <f aca="false">IFERROR(SUMIFS('Cash Transactions'!F6:F500,'Cash Transactions'!B6:B500,B455),0)</f>
        <v>0</v>
      </c>
      <c r="G455" s="37"/>
      <c r="H455" s="38" t="n">
        <f aca="false">D455+E455+IF(G455&gt;0,G455,F455)</f>
        <v>0</v>
      </c>
      <c r="I455" s="39"/>
      <c r="J455" s="38" t="n">
        <f aca="false">IFERROR(H455/I455,0)</f>
        <v>0</v>
      </c>
      <c r="K455" s="40"/>
    </row>
    <row r="456" customFormat="false" ht="15" hidden="false" customHeight="true" outlineLevel="0" collapsed="false">
      <c r="B456" s="36" t="n">
        <v>46351</v>
      </c>
      <c r="C456" s="4" t="str">
        <f aca="false">IFERROR(TEXT(B456,"ddd"),"")</f>
        <v>Wed</v>
      </c>
      <c r="D456" s="37"/>
      <c r="E456" s="37"/>
      <c r="F456" s="38" t="n">
        <f aca="false">IFERROR(SUMIFS('Cash Transactions'!F6:F500,'Cash Transactions'!B6:B500,B456),0)</f>
        <v>0</v>
      </c>
      <c r="G456" s="37"/>
      <c r="H456" s="38" t="n">
        <f aca="false">D456+E456+IF(G456&gt;0,G456,F456)</f>
        <v>0</v>
      </c>
      <c r="I456" s="39"/>
      <c r="J456" s="38" t="n">
        <f aca="false">IFERROR(H456/I456,0)</f>
        <v>0</v>
      </c>
      <c r="K456" s="40"/>
    </row>
    <row r="457" customFormat="false" ht="15" hidden="false" customHeight="true" outlineLevel="0" collapsed="false">
      <c r="B457" s="36" t="n">
        <v>46352</v>
      </c>
      <c r="C457" s="4" t="str">
        <f aca="false">IFERROR(TEXT(B457,"ddd"),"")</f>
        <v>Thu</v>
      </c>
      <c r="D457" s="37"/>
      <c r="E457" s="37"/>
      <c r="F457" s="38" t="n">
        <f aca="false">IFERROR(SUMIFS('Cash Transactions'!F6:F500,'Cash Transactions'!B6:B500,B457),0)</f>
        <v>0</v>
      </c>
      <c r="G457" s="37"/>
      <c r="H457" s="38" t="n">
        <f aca="false">D457+E457+IF(G457&gt;0,G457,F457)</f>
        <v>0</v>
      </c>
      <c r="I457" s="39"/>
      <c r="J457" s="38" t="n">
        <f aca="false">IFERROR(H457/I457,0)</f>
        <v>0</v>
      </c>
      <c r="K457" s="40"/>
    </row>
    <row r="458" customFormat="false" ht="15" hidden="false" customHeight="true" outlineLevel="0" collapsed="false">
      <c r="B458" s="36" t="n">
        <v>46353</v>
      </c>
      <c r="C458" s="4" t="str">
        <f aca="false">IFERROR(TEXT(B458,"ddd"),"")</f>
        <v>Fri</v>
      </c>
      <c r="D458" s="37"/>
      <c r="E458" s="37"/>
      <c r="F458" s="38" t="n">
        <f aca="false">IFERROR(SUMIFS('Cash Transactions'!F6:F500,'Cash Transactions'!B6:B500,B458),0)</f>
        <v>0</v>
      </c>
      <c r="G458" s="37"/>
      <c r="H458" s="38" t="n">
        <f aca="false">D458+E458+IF(G458&gt;0,G458,F458)</f>
        <v>0</v>
      </c>
      <c r="I458" s="39"/>
      <c r="J458" s="38" t="n">
        <f aca="false">IFERROR(H458/I458,0)</f>
        <v>0</v>
      </c>
      <c r="K458" s="40"/>
    </row>
    <row r="459" customFormat="false" ht="15" hidden="false" customHeight="true" outlineLevel="0" collapsed="false">
      <c r="B459" s="36" t="n">
        <v>46354</v>
      </c>
      <c r="C459" s="4" t="str">
        <f aca="false">IFERROR(TEXT(B459,"ddd"),"")</f>
        <v>Sat</v>
      </c>
      <c r="D459" s="37"/>
      <c r="E459" s="37"/>
      <c r="F459" s="38" t="n">
        <f aca="false">IFERROR(SUMIFS('Cash Transactions'!F6:F500,'Cash Transactions'!B6:B500,B459),0)</f>
        <v>0</v>
      </c>
      <c r="G459" s="37"/>
      <c r="H459" s="38" t="n">
        <f aca="false">D459+E459+IF(G459&gt;0,G459,F459)</f>
        <v>0</v>
      </c>
      <c r="I459" s="39"/>
      <c r="J459" s="38" t="n">
        <f aca="false">IFERROR(H459/I459,0)</f>
        <v>0</v>
      </c>
      <c r="K459" s="40"/>
    </row>
    <row r="460" customFormat="false" ht="15" hidden="false" customHeight="true" outlineLevel="0" collapsed="false">
      <c r="B460" s="36" t="n">
        <v>46355</v>
      </c>
      <c r="C460" s="4" t="str">
        <f aca="false">IFERROR(TEXT(B460,"ddd"),"")</f>
        <v>Sun</v>
      </c>
      <c r="D460" s="37"/>
      <c r="E460" s="37"/>
      <c r="F460" s="38" t="n">
        <f aca="false">IFERROR(SUMIFS('Cash Transactions'!F6:F500,'Cash Transactions'!B6:B500,B460),0)</f>
        <v>0</v>
      </c>
      <c r="G460" s="37"/>
      <c r="H460" s="38" t="n">
        <f aca="false">D460+E460+IF(G460&gt;0,G460,F460)</f>
        <v>0</v>
      </c>
      <c r="I460" s="39"/>
      <c r="J460" s="38" t="n">
        <f aca="false">IFERROR(H460/I460,0)</f>
        <v>0</v>
      </c>
      <c r="K460" s="40"/>
    </row>
    <row r="461" customFormat="false" ht="15" hidden="false" customHeight="true" outlineLevel="0" collapsed="false">
      <c r="B461" s="36" t="n">
        <v>46356</v>
      </c>
      <c r="C461" s="4" t="str">
        <f aca="false">IFERROR(TEXT(B461,"ddd"),"")</f>
        <v>Mon</v>
      </c>
      <c r="D461" s="37"/>
      <c r="E461" s="37"/>
      <c r="F461" s="38" t="n">
        <f aca="false">IFERROR(SUMIFS('Cash Transactions'!F6:F500,'Cash Transactions'!B6:B500,B461),0)</f>
        <v>0</v>
      </c>
      <c r="G461" s="37"/>
      <c r="H461" s="38" t="n">
        <f aca="false">D461+E461+IF(G461&gt;0,G461,F461)</f>
        <v>0</v>
      </c>
      <c r="I461" s="39"/>
      <c r="J461" s="38" t="n">
        <f aca="false">IFERROR(H461/I461,0)</f>
        <v>0</v>
      </c>
      <c r="K461" s="40"/>
    </row>
    <row r="462" customFormat="false" ht="15" hidden="false" customHeight="true" outlineLevel="0" collapsed="false">
      <c r="B462" s="36" t="n">
        <v>46357</v>
      </c>
      <c r="C462" s="4" t="str">
        <f aca="false">IFERROR(TEXT(B462,"ddd"),"")</f>
        <v>Tue</v>
      </c>
      <c r="D462" s="37"/>
      <c r="E462" s="37"/>
      <c r="F462" s="38" t="n">
        <f aca="false">IFERROR(SUMIFS('Cash Transactions'!F6:F500,'Cash Transactions'!B6:B500,B462),0)</f>
        <v>0</v>
      </c>
      <c r="G462" s="37"/>
      <c r="H462" s="38" t="n">
        <f aca="false">D462+E462+IF(G462&gt;0,G462,F462)</f>
        <v>0</v>
      </c>
      <c r="I462" s="39"/>
      <c r="J462" s="38" t="n">
        <f aca="false">IFERROR(H462/I462,0)</f>
        <v>0</v>
      </c>
      <c r="K462" s="40"/>
    </row>
    <row r="463" customFormat="false" ht="15" hidden="false" customHeight="true" outlineLevel="0" collapsed="false">
      <c r="B463" s="36" t="n">
        <v>46358</v>
      </c>
      <c r="C463" s="4" t="str">
        <f aca="false">IFERROR(TEXT(B463,"ddd"),"")</f>
        <v>Wed</v>
      </c>
      <c r="D463" s="37"/>
      <c r="E463" s="37"/>
      <c r="F463" s="38" t="n">
        <f aca="false">IFERROR(SUMIFS('Cash Transactions'!F6:F500,'Cash Transactions'!B6:B500,B463),0)</f>
        <v>0</v>
      </c>
      <c r="G463" s="37"/>
      <c r="H463" s="38" t="n">
        <f aca="false">D463+E463+IF(G463&gt;0,G463,F463)</f>
        <v>0</v>
      </c>
      <c r="I463" s="39"/>
      <c r="J463" s="38" t="n">
        <f aca="false">IFERROR(H463/I463,0)</f>
        <v>0</v>
      </c>
      <c r="K463" s="40"/>
    </row>
    <row r="464" customFormat="false" ht="15" hidden="false" customHeight="true" outlineLevel="0" collapsed="false">
      <c r="B464" s="36" t="n">
        <v>46359</v>
      </c>
      <c r="C464" s="4" t="str">
        <f aca="false">IFERROR(TEXT(B464,"ddd"),"")</f>
        <v>Thu</v>
      </c>
      <c r="D464" s="37"/>
      <c r="E464" s="37"/>
      <c r="F464" s="38" t="n">
        <f aca="false">IFERROR(SUMIFS('Cash Transactions'!F6:F500,'Cash Transactions'!B6:B500,B464),0)</f>
        <v>0</v>
      </c>
      <c r="G464" s="37"/>
      <c r="H464" s="38" t="n">
        <f aca="false">D464+E464+IF(G464&gt;0,G464,F464)</f>
        <v>0</v>
      </c>
      <c r="I464" s="39"/>
      <c r="J464" s="38" t="n">
        <f aca="false">IFERROR(H464/I464,0)</f>
        <v>0</v>
      </c>
      <c r="K464" s="40"/>
    </row>
    <row r="465" customFormat="false" ht="15" hidden="false" customHeight="true" outlineLevel="0" collapsed="false">
      <c r="B465" s="36" t="n">
        <v>46360</v>
      </c>
      <c r="C465" s="4" t="str">
        <f aca="false">IFERROR(TEXT(B465,"ddd"),"")</f>
        <v>Fri</v>
      </c>
      <c r="D465" s="37"/>
      <c r="E465" s="37"/>
      <c r="F465" s="38" t="n">
        <f aca="false">IFERROR(SUMIFS('Cash Transactions'!F6:F500,'Cash Transactions'!B6:B500,B465),0)</f>
        <v>0</v>
      </c>
      <c r="G465" s="37"/>
      <c r="H465" s="38" t="n">
        <f aca="false">D465+E465+IF(G465&gt;0,G465,F465)</f>
        <v>0</v>
      </c>
      <c r="I465" s="39"/>
      <c r="J465" s="38" t="n">
        <f aca="false">IFERROR(H465/I465,0)</f>
        <v>0</v>
      </c>
      <c r="K465" s="40"/>
    </row>
    <row r="466" customFormat="false" ht="15" hidden="false" customHeight="true" outlineLevel="0" collapsed="false">
      <c r="B466" s="36" t="n">
        <v>46361</v>
      </c>
      <c r="C466" s="4" t="str">
        <f aca="false">IFERROR(TEXT(B466,"ddd"),"")</f>
        <v>Sat</v>
      </c>
      <c r="D466" s="37"/>
      <c r="E466" s="37"/>
      <c r="F466" s="38" t="n">
        <f aca="false">IFERROR(SUMIFS('Cash Transactions'!F6:F500,'Cash Transactions'!B6:B500,B466),0)</f>
        <v>0</v>
      </c>
      <c r="G466" s="37"/>
      <c r="H466" s="38" t="n">
        <f aca="false">D466+E466+IF(G466&gt;0,G466,F466)</f>
        <v>0</v>
      </c>
      <c r="I466" s="39"/>
      <c r="J466" s="38" t="n">
        <f aca="false">IFERROR(H466/I466,0)</f>
        <v>0</v>
      </c>
      <c r="K466" s="40"/>
    </row>
    <row r="467" customFormat="false" ht="15" hidden="false" customHeight="true" outlineLevel="0" collapsed="false">
      <c r="B467" s="36" t="n">
        <v>46362</v>
      </c>
      <c r="C467" s="4" t="str">
        <f aca="false">IFERROR(TEXT(B467,"ddd"),"")</f>
        <v>Sun</v>
      </c>
      <c r="D467" s="37"/>
      <c r="E467" s="37"/>
      <c r="F467" s="38" t="n">
        <f aca="false">IFERROR(SUMIFS('Cash Transactions'!F6:F500,'Cash Transactions'!B6:B500,B467),0)</f>
        <v>0</v>
      </c>
      <c r="G467" s="37"/>
      <c r="H467" s="38" t="n">
        <f aca="false">D467+E467+IF(G467&gt;0,G467,F467)</f>
        <v>0</v>
      </c>
      <c r="I467" s="39"/>
      <c r="J467" s="38" t="n">
        <f aca="false">IFERROR(H467/I467,0)</f>
        <v>0</v>
      </c>
      <c r="K467" s="40"/>
    </row>
    <row r="468" customFormat="false" ht="15" hidden="false" customHeight="true" outlineLevel="0" collapsed="false">
      <c r="B468" s="36" t="n">
        <v>46363</v>
      </c>
      <c r="C468" s="4" t="str">
        <f aca="false">IFERROR(TEXT(B468,"ddd"),"")</f>
        <v>Mon</v>
      </c>
      <c r="D468" s="37"/>
      <c r="E468" s="37"/>
      <c r="F468" s="38" t="n">
        <f aca="false">IFERROR(SUMIFS('Cash Transactions'!F6:F500,'Cash Transactions'!B6:B500,B468),0)</f>
        <v>0</v>
      </c>
      <c r="G468" s="37"/>
      <c r="H468" s="38" t="n">
        <f aca="false">D468+E468+IF(G468&gt;0,G468,F468)</f>
        <v>0</v>
      </c>
      <c r="I468" s="39"/>
      <c r="J468" s="38" t="n">
        <f aca="false">IFERROR(H468/I468,0)</f>
        <v>0</v>
      </c>
      <c r="K468" s="40"/>
    </row>
    <row r="469" customFormat="false" ht="15" hidden="false" customHeight="true" outlineLevel="0" collapsed="false">
      <c r="B469" s="36" t="n">
        <v>46364</v>
      </c>
      <c r="C469" s="4" t="str">
        <f aca="false">IFERROR(TEXT(B469,"ddd"),"")</f>
        <v>Tue</v>
      </c>
      <c r="D469" s="37"/>
      <c r="E469" s="37"/>
      <c r="F469" s="38" t="n">
        <f aca="false">IFERROR(SUMIFS('Cash Transactions'!F6:F500,'Cash Transactions'!B6:B500,B469),0)</f>
        <v>0</v>
      </c>
      <c r="G469" s="37"/>
      <c r="H469" s="38" t="n">
        <f aca="false">D469+E469+IF(G469&gt;0,G469,F469)</f>
        <v>0</v>
      </c>
      <c r="I469" s="39"/>
      <c r="J469" s="38" t="n">
        <f aca="false">IFERROR(H469/I469,0)</f>
        <v>0</v>
      </c>
      <c r="K469" s="40"/>
    </row>
    <row r="470" customFormat="false" ht="15" hidden="false" customHeight="true" outlineLevel="0" collapsed="false">
      <c r="B470" s="36" t="n">
        <v>46365</v>
      </c>
      <c r="C470" s="4" t="str">
        <f aca="false">IFERROR(TEXT(B470,"ddd"),"")</f>
        <v>Wed</v>
      </c>
      <c r="D470" s="37"/>
      <c r="E470" s="37"/>
      <c r="F470" s="38" t="n">
        <f aca="false">IFERROR(SUMIFS('Cash Transactions'!F6:F500,'Cash Transactions'!B6:B500,B470),0)</f>
        <v>0</v>
      </c>
      <c r="G470" s="37"/>
      <c r="H470" s="38" t="n">
        <f aca="false">D470+E470+IF(G470&gt;0,G470,F470)</f>
        <v>0</v>
      </c>
      <c r="I470" s="39"/>
      <c r="J470" s="38" t="n">
        <f aca="false">IFERROR(H470/I470,0)</f>
        <v>0</v>
      </c>
      <c r="K470" s="40"/>
    </row>
    <row r="471" customFormat="false" ht="15" hidden="false" customHeight="true" outlineLevel="0" collapsed="false">
      <c r="B471" s="36" t="n">
        <v>46366</v>
      </c>
      <c r="C471" s="4" t="str">
        <f aca="false">IFERROR(TEXT(B471,"ddd"),"")</f>
        <v>Thu</v>
      </c>
      <c r="D471" s="37"/>
      <c r="E471" s="37"/>
      <c r="F471" s="38" t="n">
        <f aca="false">IFERROR(SUMIFS('Cash Transactions'!F6:F500,'Cash Transactions'!B6:B500,B471),0)</f>
        <v>0</v>
      </c>
      <c r="G471" s="37"/>
      <c r="H471" s="38" t="n">
        <f aca="false">D471+E471+IF(G471&gt;0,G471,F471)</f>
        <v>0</v>
      </c>
      <c r="I471" s="39"/>
      <c r="J471" s="38" t="n">
        <f aca="false">IFERROR(H471/I471,0)</f>
        <v>0</v>
      </c>
      <c r="K471" s="40"/>
    </row>
    <row r="472" customFormat="false" ht="15" hidden="false" customHeight="true" outlineLevel="0" collapsed="false">
      <c r="B472" s="36" t="n">
        <v>46367</v>
      </c>
      <c r="C472" s="4" t="str">
        <f aca="false">IFERROR(TEXT(B472,"ddd"),"")</f>
        <v>Fri</v>
      </c>
      <c r="D472" s="37"/>
      <c r="E472" s="37"/>
      <c r="F472" s="38" t="n">
        <f aca="false">IFERROR(SUMIFS('Cash Transactions'!F6:F500,'Cash Transactions'!B6:B500,B472),0)</f>
        <v>0</v>
      </c>
      <c r="G472" s="37"/>
      <c r="H472" s="38" t="n">
        <f aca="false">D472+E472+IF(G472&gt;0,G472,F472)</f>
        <v>0</v>
      </c>
      <c r="I472" s="39"/>
      <c r="J472" s="38" t="n">
        <f aca="false">IFERROR(H472/I472,0)</f>
        <v>0</v>
      </c>
      <c r="K472" s="40"/>
    </row>
    <row r="473" customFormat="false" ht="15" hidden="false" customHeight="true" outlineLevel="0" collapsed="false">
      <c r="B473" s="36" t="n">
        <v>46368</v>
      </c>
      <c r="C473" s="4" t="str">
        <f aca="false">IFERROR(TEXT(B473,"ddd"),"")</f>
        <v>Sat</v>
      </c>
      <c r="D473" s="37"/>
      <c r="E473" s="37"/>
      <c r="F473" s="38" t="n">
        <f aca="false">IFERROR(SUMIFS('Cash Transactions'!F6:F500,'Cash Transactions'!B6:B500,B473),0)</f>
        <v>0</v>
      </c>
      <c r="G473" s="37"/>
      <c r="H473" s="38" t="n">
        <f aca="false">D473+E473+IF(G473&gt;0,G473,F473)</f>
        <v>0</v>
      </c>
      <c r="I473" s="39"/>
      <c r="J473" s="38" t="n">
        <f aca="false">IFERROR(H473/I473,0)</f>
        <v>0</v>
      </c>
      <c r="K473" s="40"/>
    </row>
    <row r="474" customFormat="false" ht="15" hidden="false" customHeight="true" outlineLevel="0" collapsed="false">
      <c r="B474" s="36" t="n">
        <v>46369</v>
      </c>
      <c r="C474" s="4" t="str">
        <f aca="false">IFERROR(TEXT(B474,"ddd"),"")</f>
        <v>Sun</v>
      </c>
      <c r="D474" s="37"/>
      <c r="E474" s="37"/>
      <c r="F474" s="38" t="n">
        <f aca="false">IFERROR(SUMIFS('Cash Transactions'!F6:F500,'Cash Transactions'!B6:B500,B474),0)</f>
        <v>0</v>
      </c>
      <c r="G474" s="37"/>
      <c r="H474" s="38" t="n">
        <f aca="false">D474+E474+IF(G474&gt;0,G474,F474)</f>
        <v>0</v>
      </c>
      <c r="I474" s="39"/>
      <c r="J474" s="38" t="n">
        <f aca="false">IFERROR(H474/I474,0)</f>
        <v>0</v>
      </c>
      <c r="K474" s="40"/>
    </row>
    <row r="475" customFormat="false" ht="15" hidden="false" customHeight="true" outlineLevel="0" collapsed="false">
      <c r="B475" s="36" t="n">
        <v>46370</v>
      </c>
      <c r="C475" s="4" t="str">
        <f aca="false">IFERROR(TEXT(B475,"ddd"),"")</f>
        <v>Mon</v>
      </c>
      <c r="D475" s="37"/>
      <c r="E475" s="37"/>
      <c r="F475" s="38" t="n">
        <f aca="false">IFERROR(SUMIFS('Cash Transactions'!F6:F500,'Cash Transactions'!B6:B500,B475),0)</f>
        <v>0</v>
      </c>
      <c r="G475" s="37"/>
      <c r="H475" s="38" t="n">
        <f aca="false">D475+E475+IF(G475&gt;0,G475,F475)</f>
        <v>0</v>
      </c>
      <c r="I475" s="39"/>
      <c r="J475" s="38" t="n">
        <f aca="false">IFERROR(H475/I475,0)</f>
        <v>0</v>
      </c>
      <c r="K475" s="40"/>
    </row>
    <row r="476" customFormat="false" ht="15" hidden="false" customHeight="true" outlineLevel="0" collapsed="false">
      <c r="B476" s="36" t="n">
        <v>46371</v>
      </c>
      <c r="C476" s="4" t="str">
        <f aca="false">IFERROR(TEXT(B476,"ddd"),"")</f>
        <v>Tue</v>
      </c>
      <c r="D476" s="37"/>
      <c r="E476" s="37"/>
      <c r="F476" s="38" t="n">
        <f aca="false">IFERROR(SUMIFS('Cash Transactions'!F6:F500,'Cash Transactions'!B6:B500,B476),0)</f>
        <v>0</v>
      </c>
      <c r="G476" s="37"/>
      <c r="H476" s="38" t="n">
        <f aca="false">D476+E476+IF(G476&gt;0,G476,F476)</f>
        <v>0</v>
      </c>
      <c r="I476" s="39"/>
      <c r="J476" s="38" t="n">
        <f aca="false">IFERROR(H476/I476,0)</f>
        <v>0</v>
      </c>
      <c r="K476" s="40"/>
    </row>
    <row r="477" customFormat="false" ht="15" hidden="false" customHeight="true" outlineLevel="0" collapsed="false">
      <c r="B477" s="36" t="n">
        <v>46372</v>
      </c>
      <c r="C477" s="4" t="str">
        <f aca="false">IFERROR(TEXT(B477,"ddd"),"")</f>
        <v>Wed</v>
      </c>
      <c r="D477" s="37"/>
      <c r="E477" s="37"/>
      <c r="F477" s="38" t="n">
        <f aca="false">IFERROR(SUMIFS('Cash Transactions'!F6:F500,'Cash Transactions'!B6:B500,B477),0)</f>
        <v>0</v>
      </c>
      <c r="G477" s="37"/>
      <c r="H477" s="38" t="n">
        <f aca="false">D477+E477+IF(G477&gt;0,G477,F477)</f>
        <v>0</v>
      </c>
      <c r="I477" s="39"/>
      <c r="J477" s="38" t="n">
        <f aca="false">IFERROR(H477/I477,0)</f>
        <v>0</v>
      </c>
      <c r="K477" s="40"/>
    </row>
    <row r="478" customFormat="false" ht="15" hidden="false" customHeight="true" outlineLevel="0" collapsed="false">
      <c r="B478" s="36" t="n">
        <v>46373</v>
      </c>
      <c r="C478" s="4" t="str">
        <f aca="false">IFERROR(TEXT(B478,"ddd"),"")</f>
        <v>Thu</v>
      </c>
      <c r="D478" s="37"/>
      <c r="E478" s="37"/>
      <c r="F478" s="38" t="n">
        <f aca="false">IFERROR(SUMIFS('Cash Transactions'!F6:F500,'Cash Transactions'!B6:B500,B478),0)</f>
        <v>0</v>
      </c>
      <c r="G478" s="37"/>
      <c r="H478" s="38" t="n">
        <f aca="false">D478+E478+IF(G478&gt;0,G478,F478)</f>
        <v>0</v>
      </c>
      <c r="I478" s="39"/>
      <c r="J478" s="38" t="n">
        <f aca="false">IFERROR(H478/I478,0)</f>
        <v>0</v>
      </c>
      <c r="K478" s="40"/>
    </row>
    <row r="479" customFormat="false" ht="15" hidden="false" customHeight="true" outlineLevel="0" collapsed="false">
      <c r="B479" s="36" t="n">
        <v>46374</v>
      </c>
      <c r="C479" s="4" t="str">
        <f aca="false">IFERROR(TEXT(B479,"ddd"),"")</f>
        <v>Fri</v>
      </c>
      <c r="D479" s="37"/>
      <c r="E479" s="37"/>
      <c r="F479" s="38" t="n">
        <f aca="false">IFERROR(SUMIFS('Cash Transactions'!F6:F500,'Cash Transactions'!B6:B500,B479),0)</f>
        <v>0</v>
      </c>
      <c r="G479" s="37"/>
      <c r="H479" s="38" t="n">
        <f aca="false">D479+E479+IF(G479&gt;0,G479,F479)</f>
        <v>0</v>
      </c>
      <c r="I479" s="39"/>
      <c r="J479" s="38" t="n">
        <f aca="false">IFERROR(H479/I479,0)</f>
        <v>0</v>
      </c>
      <c r="K479" s="40"/>
    </row>
    <row r="480" customFormat="false" ht="15" hidden="false" customHeight="true" outlineLevel="0" collapsed="false">
      <c r="B480" s="36" t="n">
        <v>46375</v>
      </c>
      <c r="C480" s="4" t="str">
        <f aca="false">IFERROR(TEXT(B480,"ddd"),"")</f>
        <v>Sat</v>
      </c>
      <c r="D480" s="37"/>
      <c r="E480" s="37"/>
      <c r="F480" s="38" t="n">
        <f aca="false">IFERROR(SUMIFS('Cash Transactions'!F6:F500,'Cash Transactions'!B6:B500,B480),0)</f>
        <v>0</v>
      </c>
      <c r="G480" s="37"/>
      <c r="H480" s="38" t="n">
        <f aca="false">D480+E480+IF(G480&gt;0,G480,F480)</f>
        <v>0</v>
      </c>
      <c r="I480" s="39"/>
      <c r="J480" s="38" t="n">
        <f aca="false">IFERROR(H480/I480,0)</f>
        <v>0</v>
      </c>
      <c r="K480" s="40"/>
    </row>
    <row r="481" customFormat="false" ht="15" hidden="false" customHeight="true" outlineLevel="0" collapsed="false">
      <c r="B481" s="36" t="n">
        <v>46376</v>
      </c>
      <c r="C481" s="4" t="str">
        <f aca="false">IFERROR(TEXT(B481,"ddd"),"")</f>
        <v>Sun</v>
      </c>
      <c r="D481" s="37"/>
      <c r="E481" s="37"/>
      <c r="F481" s="38" t="n">
        <f aca="false">IFERROR(SUMIFS('Cash Transactions'!F6:F500,'Cash Transactions'!B6:B500,B481),0)</f>
        <v>0</v>
      </c>
      <c r="G481" s="37"/>
      <c r="H481" s="38" t="n">
        <f aca="false">D481+E481+IF(G481&gt;0,G481,F481)</f>
        <v>0</v>
      </c>
      <c r="I481" s="39"/>
      <c r="J481" s="38" t="n">
        <f aca="false">IFERROR(H481/I481,0)</f>
        <v>0</v>
      </c>
      <c r="K481" s="40"/>
    </row>
    <row r="482" customFormat="false" ht="15" hidden="false" customHeight="true" outlineLevel="0" collapsed="false">
      <c r="B482" s="36" t="n">
        <v>46377</v>
      </c>
      <c r="C482" s="4" t="str">
        <f aca="false">IFERROR(TEXT(B482,"ddd"),"")</f>
        <v>Mon</v>
      </c>
      <c r="D482" s="37"/>
      <c r="E482" s="37"/>
      <c r="F482" s="38" t="n">
        <f aca="false">IFERROR(SUMIFS('Cash Transactions'!F6:F500,'Cash Transactions'!B6:B500,B482),0)</f>
        <v>0</v>
      </c>
      <c r="G482" s="37"/>
      <c r="H482" s="38" t="n">
        <f aca="false">D482+E482+IF(G482&gt;0,G482,F482)</f>
        <v>0</v>
      </c>
      <c r="I482" s="39"/>
      <c r="J482" s="38" t="n">
        <f aca="false">IFERROR(H482/I482,0)</f>
        <v>0</v>
      </c>
      <c r="K482" s="40"/>
    </row>
    <row r="483" customFormat="false" ht="15" hidden="false" customHeight="true" outlineLevel="0" collapsed="false">
      <c r="B483" s="36" t="n">
        <v>46378</v>
      </c>
      <c r="C483" s="4" t="str">
        <f aca="false">IFERROR(TEXT(B483,"ddd"),"")</f>
        <v>Tue</v>
      </c>
      <c r="D483" s="37"/>
      <c r="E483" s="37"/>
      <c r="F483" s="38" t="n">
        <f aca="false">IFERROR(SUMIFS('Cash Transactions'!F6:F500,'Cash Transactions'!B6:B500,B483),0)</f>
        <v>0</v>
      </c>
      <c r="G483" s="37"/>
      <c r="H483" s="38" t="n">
        <f aca="false">D483+E483+IF(G483&gt;0,G483,F483)</f>
        <v>0</v>
      </c>
      <c r="I483" s="39"/>
      <c r="J483" s="38" t="n">
        <f aca="false">IFERROR(H483/I483,0)</f>
        <v>0</v>
      </c>
      <c r="K483" s="40"/>
    </row>
    <row r="484" customFormat="false" ht="15" hidden="false" customHeight="true" outlineLevel="0" collapsed="false">
      <c r="B484" s="36" t="n">
        <v>46379</v>
      </c>
      <c r="C484" s="4" t="str">
        <f aca="false">IFERROR(TEXT(B484,"ddd"),"")</f>
        <v>Wed</v>
      </c>
      <c r="D484" s="37"/>
      <c r="E484" s="37"/>
      <c r="F484" s="38" t="n">
        <f aca="false">IFERROR(SUMIFS('Cash Transactions'!F6:F500,'Cash Transactions'!B6:B500,B484),0)</f>
        <v>0</v>
      </c>
      <c r="G484" s="37"/>
      <c r="H484" s="38" t="n">
        <f aca="false">D484+E484+IF(G484&gt;0,G484,F484)</f>
        <v>0</v>
      </c>
      <c r="I484" s="39"/>
      <c r="J484" s="38" t="n">
        <f aca="false">IFERROR(H484/I484,0)</f>
        <v>0</v>
      </c>
      <c r="K484" s="40"/>
    </row>
    <row r="485" customFormat="false" ht="15" hidden="false" customHeight="true" outlineLevel="0" collapsed="false">
      <c r="B485" s="36" t="n">
        <v>46380</v>
      </c>
      <c r="C485" s="4" t="str">
        <f aca="false">IFERROR(TEXT(B485,"ddd"),"")</f>
        <v>Thu</v>
      </c>
      <c r="D485" s="37"/>
      <c r="E485" s="37"/>
      <c r="F485" s="38" t="n">
        <f aca="false">IFERROR(SUMIFS('Cash Transactions'!F6:F500,'Cash Transactions'!B6:B500,B485),0)</f>
        <v>0</v>
      </c>
      <c r="G485" s="37"/>
      <c r="H485" s="38" t="n">
        <f aca="false">D485+E485+IF(G485&gt;0,G485,F485)</f>
        <v>0</v>
      </c>
      <c r="I485" s="39"/>
      <c r="J485" s="38" t="n">
        <f aca="false">IFERROR(H485/I485,0)</f>
        <v>0</v>
      </c>
      <c r="K485" s="40"/>
    </row>
    <row r="486" customFormat="false" ht="15" hidden="false" customHeight="true" outlineLevel="0" collapsed="false">
      <c r="B486" s="36" t="n">
        <v>46381</v>
      </c>
      <c r="C486" s="4" t="str">
        <f aca="false">IFERROR(TEXT(B486,"ddd"),"")</f>
        <v>Fri</v>
      </c>
      <c r="D486" s="37"/>
      <c r="E486" s="37"/>
      <c r="F486" s="38" t="n">
        <f aca="false">IFERROR(SUMIFS('Cash Transactions'!F6:F500,'Cash Transactions'!B6:B500,B486),0)</f>
        <v>0</v>
      </c>
      <c r="G486" s="37"/>
      <c r="H486" s="38" t="n">
        <f aca="false">D486+E486+IF(G486&gt;0,G486,F486)</f>
        <v>0</v>
      </c>
      <c r="I486" s="39"/>
      <c r="J486" s="38" t="n">
        <f aca="false">IFERROR(H486/I486,0)</f>
        <v>0</v>
      </c>
      <c r="K486" s="40"/>
    </row>
    <row r="487" customFormat="false" ht="15" hidden="false" customHeight="true" outlineLevel="0" collapsed="false">
      <c r="B487" s="36" t="n">
        <v>46382</v>
      </c>
      <c r="C487" s="4" t="str">
        <f aca="false">IFERROR(TEXT(B487,"ddd"),"")</f>
        <v>Sat</v>
      </c>
      <c r="D487" s="37"/>
      <c r="E487" s="37"/>
      <c r="F487" s="38" t="n">
        <f aca="false">IFERROR(SUMIFS('Cash Transactions'!F6:F500,'Cash Transactions'!B6:B500,B487),0)</f>
        <v>0</v>
      </c>
      <c r="G487" s="37"/>
      <c r="H487" s="38" t="n">
        <f aca="false">D487+E487+IF(G487&gt;0,G487,F487)</f>
        <v>0</v>
      </c>
      <c r="I487" s="39"/>
      <c r="J487" s="38" t="n">
        <f aca="false">IFERROR(H487/I487,0)</f>
        <v>0</v>
      </c>
      <c r="K487" s="40"/>
    </row>
    <row r="488" customFormat="false" ht="15" hidden="false" customHeight="true" outlineLevel="0" collapsed="false">
      <c r="B488" s="36" t="n">
        <v>46383</v>
      </c>
      <c r="C488" s="4" t="str">
        <f aca="false">IFERROR(TEXT(B488,"ddd"),"")</f>
        <v>Sun</v>
      </c>
      <c r="D488" s="37"/>
      <c r="E488" s="37"/>
      <c r="F488" s="38" t="n">
        <f aca="false">IFERROR(SUMIFS('Cash Transactions'!F6:F500,'Cash Transactions'!B6:B500,B488),0)</f>
        <v>0</v>
      </c>
      <c r="G488" s="37"/>
      <c r="H488" s="38" t="n">
        <f aca="false">D488+E488+IF(G488&gt;0,G488,F488)</f>
        <v>0</v>
      </c>
      <c r="I488" s="39"/>
      <c r="J488" s="38" t="n">
        <f aca="false">IFERROR(H488/I488,0)</f>
        <v>0</v>
      </c>
      <c r="K488" s="40"/>
    </row>
    <row r="489" customFormat="false" ht="15" hidden="false" customHeight="true" outlineLevel="0" collapsed="false">
      <c r="B489" s="36" t="n">
        <v>46384</v>
      </c>
      <c r="C489" s="4" t="str">
        <f aca="false">IFERROR(TEXT(B489,"ddd"),"")</f>
        <v>Mon</v>
      </c>
      <c r="D489" s="37"/>
      <c r="E489" s="37"/>
      <c r="F489" s="38" t="n">
        <f aca="false">IFERROR(SUMIFS('Cash Transactions'!F6:F500,'Cash Transactions'!B6:B500,B489),0)</f>
        <v>0</v>
      </c>
      <c r="G489" s="37"/>
      <c r="H489" s="38" t="n">
        <f aca="false">D489+E489+IF(G489&gt;0,G489,F489)</f>
        <v>0</v>
      </c>
      <c r="I489" s="39"/>
      <c r="J489" s="38" t="n">
        <f aca="false">IFERROR(H489/I489,0)</f>
        <v>0</v>
      </c>
      <c r="K489" s="40"/>
    </row>
    <row r="490" customFormat="false" ht="15" hidden="false" customHeight="true" outlineLevel="0" collapsed="false">
      <c r="B490" s="36" t="n">
        <v>46385</v>
      </c>
      <c r="C490" s="4" t="str">
        <f aca="false">IFERROR(TEXT(B490,"ddd"),"")</f>
        <v>Tue</v>
      </c>
      <c r="D490" s="37"/>
      <c r="E490" s="37"/>
      <c r="F490" s="38" t="n">
        <f aca="false">IFERROR(SUMIFS('Cash Transactions'!F6:F500,'Cash Transactions'!B6:B500,B490),0)</f>
        <v>0</v>
      </c>
      <c r="G490" s="37"/>
      <c r="H490" s="38" t="n">
        <f aca="false">D490+E490+IF(G490&gt;0,G490,F490)</f>
        <v>0</v>
      </c>
      <c r="I490" s="39"/>
      <c r="J490" s="38" t="n">
        <f aca="false">IFERROR(H490/I490,0)</f>
        <v>0</v>
      </c>
      <c r="K490" s="40"/>
    </row>
    <row r="491" customFormat="false" ht="15" hidden="false" customHeight="true" outlineLevel="0" collapsed="false">
      <c r="B491" s="36" t="n">
        <v>46386</v>
      </c>
      <c r="C491" s="4" t="str">
        <f aca="false">IFERROR(TEXT(B491,"ddd"),"")</f>
        <v>Wed</v>
      </c>
      <c r="D491" s="37"/>
      <c r="E491" s="37"/>
      <c r="F491" s="38" t="n">
        <f aca="false">IFERROR(SUMIFS('Cash Transactions'!F6:F500,'Cash Transactions'!B6:B500,B491),0)</f>
        <v>0</v>
      </c>
      <c r="G491" s="37"/>
      <c r="H491" s="38" t="n">
        <f aca="false">D491+E491+IF(G491&gt;0,G491,F491)</f>
        <v>0</v>
      </c>
      <c r="I491" s="39"/>
      <c r="J491" s="38" t="n">
        <f aca="false">IFERROR(H491/I491,0)</f>
        <v>0</v>
      </c>
      <c r="K491" s="40"/>
    </row>
    <row r="492" customFormat="false" ht="15" hidden="false" customHeight="true" outlineLevel="0" collapsed="false">
      <c r="B492" s="36" t="n">
        <v>46387</v>
      </c>
      <c r="C492" s="4" t="str">
        <f aca="false">IFERROR(TEXT(B492,"ddd"),"")</f>
        <v>Thu</v>
      </c>
      <c r="D492" s="37"/>
      <c r="E492" s="37"/>
      <c r="F492" s="38" t="n">
        <f aca="false">IFERROR(SUMIFS('Cash Transactions'!F6:F500,'Cash Transactions'!B6:B500,B492),0)</f>
        <v>0</v>
      </c>
      <c r="G492" s="37"/>
      <c r="H492" s="38" t="n">
        <f aca="false">D492+E492+IF(G492&gt;0,G492,F492)</f>
        <v>0</v>
      </c>
      <c r="I492" s="39"/>
      <c r="J492" s="38" t="n">
        <f aca="false">IFERROR(H492/I492,0)</f>
        <v>0</v>
      </c>
      <c r="K492" s="40"/>
    </row>
  </sheetData>
  <mergeCells count="1"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36"/>
    <col collapsed="false" customWidth="true" hidden="false" outlineLevel="0" max="4" min="4" style="1" width="10"/>
    <col collapsed="false" customWidth="true" hidden="false" outlineLevel="0" max="6" min="5" style="1" width="16"/>
    <col collapsed="false" customWidth="true" hidden="false" outlineLevel="0" max="7" min="7" style="1" width="30"/>
    <col collapsed="false" customWidth="true" hidden="false" outlineLevel="0" max="11" min="8" style="1" width="2"/>
    <col collapsed="false" customWidth="true" hidden="true" outlineLevel="0" max="12" min="12" style="1" width="36"/>
  </cols>
  <sheetData>
    <row r="2" customFormat="false" ht="17.25" hidden="false" customHeight="true" outlineLevel="0" collapsed="false">
      <c r="B2" s="9" t="s">
        <v>542</v>
      </c>
    </row>
    <row r="3" customFormat="false" ht="15" hidden="false" customHeight="true" outlineLevel="0" collapsed="false">
      <c r="B3" s="3" t="s">
        <v>543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10" t="s">
        <v>526</v>
      </c>
      <c r="C5" s="10" t="s">
        <v>544</v>
      </c>
      <c r="D5" s="10" t="s">
        <v>503</v>
      </c>
      <c r="E5" s="10" t="s">
        <v>545</v>
      </c>
      <c r="F5" s="10" t="s">
        <v>546</v>
      </c>
      <c r="G5" s="10" t="s">
        <v>263</v>
      </c>
      <c r="H5" s="41"/>
      <c r="L5" s="4" t="s">
        <v>547</v>
      </c>
    </row>
    <row r="6" customFormat="false" ht="15" hidden="false" customHeight="true" outlineLevel="0" collapsed="false">
      <c r="B6" s="42"/>
      <c r="C6" s="42"/>
      <c r="D6" s="35"/>
      <c r="E6" s="22"/>
      <c r="F6" s="13" t="n">
        <f aca="false">IFERROR(D6*E6,0)</f>
        <v>0</v>
      </c>
      <c r="G6" s="31"/>
      <c r="H6" s="14"/>
      <c r="L6" s="4" t="s">
        <v>548</v>
      </c>
    </row>
    <row r="7" customFormat="false" ht="15" hidden="false" customHeight="true" outlineLevel="0" collapsed="false">
      <c r="B7" s="42"/>
      <c r="C7" s="42"/>
      <c r="D7" s="35"/>
      <c r="E7" s="22"/>
      <c r="F7" s="13" t="n">
        <f aca="false">IFERROR(D7*E7,0)</f>
        <v>0</v>
      </c>
      <c r="G7" s="31"/>
      <c r="H7" s="14"/>
      <c r="L7" s="4" t="s">
        <v>549</v>
      </c>
    </row>
    <row r="8" customFormat="false" ht="15" hidden="false" customHeight="true" outlineLevel="0" collapsed="false">
      <c r="B8" s="42"/>
      <c r="C8" s="42"/>
      <c r="D8" s="35"/>
      <c r="E8" s="22"/>
      <c r="F8" s="13" t="n">
        <f aca="false">IFERROR(D8*E8,0)</f>
        <v>0</v>
      </c>
      <c r="G8" s="31"/>
      <c r="H8" s="14"/>
      <c r="L8" s="4" t="s">
        <v>550</v>
      </c>
    </row>
    <row r="9" customFormat="false" ht="15" hidden="false" customHeight="true" outlineLevel="0" collapsed="false">
      <c r="B9" s="42"/>
      <c r="C9" s="42"/>
      <c r="D9" s="35"/>
      <c r="E9" s="22"/>
      <c r="F9" s="13" t="n">
        <f aca="false">IFERROR(D9*E9,0)</f>
        <v>0</v>
      </c>
      <c r="G9" s="31"/>
      <c r="H9" s="14"/>
      <c r="L9" s="4" t="s">
        <v>551</v>
      </c>
    </row>
    <row r="10" customFormat="false" ht="15" hidden="false" customHeight="true" outlineLevel="0" collapsed="false">
      <c r="B10" s="42"/>
      <c r="C10" s="42"/>
      <c r="D10" s="35"/>
      <c r="E10" s="22"/>
      <c r="F10" s="13" t="n">
        <f aca="false">IFERROR(D10*E10,0)</f>
        <v>0</v>
      </c>
      <c r="G10" s="31"/>
      <c r="H10" s="14"/>
      <c r="L10" s="4" t="s">
        <v>552</v>
      </c>
    </row>
    <row r="11" customFormat="false" ht="15" hidden="false" customHeight="true" outlineLevel="0" collapsed="false">
      <c r="B11" s="42"/>
      <c r="C11" s="42"/>
      <c r="D11" s="35"/>
      <c r="E11" s="22"/>
      <c r="F11" s="13" t="n">
        <f aca="false">IFERROR(D11*E11,0)</f>
        <v>0</v>
      </c>
      <c r="G11" s="31"/>
      <c r="H11" s="14"/>
      <c r="L11" s="4" t="s">
        <v>553</v>
      </c>
    </row>
    <row r="12" customFormat="false" ht="15" hidden="false" customHeight="true" outlineLevel="0" collapsed="false">
      <c r="B12" s="42"/>
      <c r="C12" s="42"/>
      <c r="D12" s="35"/>
      <c r="E12" s="22"/>
      <c r="F12" s="13" t="n">
        <f aca="false">IFERROR(D12*E12,0)</f>
        <v>0</v>
      </c>
      <c r="G12" s="31"/>
      <c r="H12" s="14"/>
      <c r="L12" s="4" t="s">
        <v>554</v>
      </c>
    </row>
    <row r="13" customFormat="false" ht="15" hidden="false" customHeight="true" outlineLevel="0" collapsed="false">
      <c r="B13" s="42"/>
      <c r="C13" s="42"/>
      <c r="D13" s="35"/>
      <c r="E13" s="22"/>
      <c r="F13" s="13" t="n">
        <f aca="false">IFERROR(D13*E13,0)</f>
        <v>0</v>
      </c>
      <c r="G13" s="31"/>
      <c r="H13" s="14"/>
      <c r="L13" s="4" t="s">
        <v>555</v>
      </c>
    </row>
    <row r="14" customFormat="false" ht="15" hidden="false" customHeight="true" outlineLevel="0" collapsed="false">
      <c r="B14" s="42"/>
      <c r="C14" s="42"/>
      <c r="D14" s="35"/>
      <c r="E14" s="22"/>
      <c r="F14" s="13" t="n">
        <f aca="false">IFERROR(D14*E14,0)</f>
        <v>0</v>
      </c>
      <c r="G14" s="31"/>
      <c r="H14" s="14"/>
      <c r="L14" s="4" t="s">
        <v>556</v>
      </c>
    </row>
    <row r="15" customFormat="false" ht="15" hidden="false" customHeight="true" outlineLevel="0" collapsed="false">
      <c r="B15" s="42"/>
      <c r="C15" s="42"/>
      <c r="D15" s="35"/>
      <c r="E15" s="22"/>
      <c r="F15" s="13" t="n">
        <f aca="false">IFERROR(D15*E15,0)</f>
        <v>0</v>
      </c>
      <c r="G15" s="31"/>
      <c r="H15" s="14"/>
      <c r="L15" s="4" t="s">
        <v>557</v>
      </c>
    </row>
    <row r="16" customFormat="false" ht="15" hidden="false" customHeight="true" outlineLevel="0" collapsed="false">
      <c r="B16" s="42"/>
      <c r="C16" s="42"/>
      <c r="D16" s="35"/>
      <c r="E16" s="22"/>
      <c r="F16" s="13" t="n">
        <f aca="false">IFERROR(D16*E16,0)</f>
        <v>0</v>
      </c>
      <c r="G16" s="31"/>
      <c r="H16" s="14"/>
      <c r="L16" s="4" t="s">
        <v>558</v>
      </c>
    </row>
    <row r="17" customFormat="false" ht="15" hidden="false" customHeight="true" outlineLevel="0" collapsed="false">
      <c r="B17" s="42"/>
      <c r="C17" s="42"/>
      <c r="D17" s="35"/>
      <c r="E17" s="22"/>
      <c r="F17" s="13" t="n">
        <f aca="false">IFERROR(D17*E17,0)</f>
        <v>0</v>
      </c>
      <c r="G17" s="31"/>
      <c r="H17" s="14"/>
      <c r="L17" s="4" t="s">
        <v>559</v>
      </c>
    </row>
    <row r="18" customFormat="false" ht="15" hidden="false" customHeight="true" outlineLevel="0" collapsed="false">
      <c r="B18" s="42"/>
      <c r="C18" s="42"/>
      <c r="D18" s="35"/>
      <c r="E18" s="22"/>
      <c r="F18" s="13" t="n">
        <f aca="false">IFERROR(D18*E18,0)</f>
        <v>0</v>
      </c>
      <c r="G18" s="31"/>
      <c r="H18" s="14"/>
      <c r="L18" s="4" t="s">
        <v>560</v>
      </c>
    </row>
    <row r="19" customFormat="false" ht="15" hidden="false" customHeight="true" outlineLevel="0" collapsed="false">
      <c r="B19" s="42"/>
      <c r="C19" s="42"/>
      <c r="D19" s="35"/>
      <c r="E19" s="22"/>
      <c r="F19" s="13" t="n">
        <f aca="false">IFERROR(D19*E19,0)</f>
        <v>0</v>
      </c>
      <c r="G19" s="31"/>
      <c r="H19" s="14"/>
      <c r="L19" s="4" t="s">
        <v>561</v>
      </c>
    </row>
    <row r="20" customFormat="false" ht="15" hidden="false" customHeight="true" outlineLevel="0" collapsed="false">
      <c r="B20" s="42"/>
      <c r="C20" s="42"/>
      <c r="D20" s="35"/>
      <c r="E20" s="22"/>
      <c r="F20" s="13" t="n">
        <f aca="false">IFERROR(D20*E20,0)</f>
        <v>0</v>
      </c>
      <c r="G20" s="31"/>
      <c r="H20" s="14"/>
      <c r="L20" s="4" t="s">
        <v>562</v>
      </c>
    </row>
    <row r="21" customFormat="false" ht="15" hidden="false" customHeight="true" outlineLevel="0" collapsed="false">
      <c r="B21" s="42"/>
      <c r="C21" s="42"/>
      <c r="D21" s="35"/>
      <c r="E21" s="22"/>
      <c r="F21" s="13" t="n">
        <f aca="false">IFERROR(D21*E21,0)</f>
        <v>0</v>
      </c>
      <c r="G21" s="31"/>
      <c r="H21" s="14"/>
      <c r="L21" s="4" t="s">
        <v>563</v>
      </c>
    </row>
    <row r="22" customFormat="false" ht="15" hidden="false" customHeight="true" outlineLevel="0" collapsed="false">
      <c r="B22" s="42"/>
      <c r="C22" s="42"/>
      <c r="D22" s="35"/>
      <c r="E22" s="22"/>
      <c r="F22" s="13" t="n">
        <f aca="false">IFERROR(D22*E22,0)</f>
        <v>0</v>
      </c>
      <c r="G22" s="31"/>
      <c r="H22" s="14"/>
      <c r="L22" s="4" t="s">
        <v>564</v>
      </c>
    </row>
    <row r="23" customFormat="false" ht="15" hidden="false" customHeight="true" outlineLevel="0" collapsed="false">
      <c r="B23" s="42"/>
      <c r="C23" s="42"/>
      <c r="D23" s="35"/>
      <c r="E23" s="22"/>
      <c r="F23" s="13" t="n">
        <f aca="false">IFERROR(D23*E23,0)</f>
        <v>0</v>
      </c>
      <c r="G23" s="31"/>
      <c r="H23" s="14"/>
      <c r="L23" s="4" t="s">
        <v>565</v>
      </c>
    </row>
    <row r="24" customFormat="false" ht="15" hidden="false" customHeight="true" outlineLevel="0" collapsed="false">
      <c r="B24" s="42"/>
      <c r="C24" s="42"/>
      <c r="D24" s="35"/>
      <c r="E24" s="22"/>
      <c r="F24" s="13" t="n">
        <f aca="false">IFERROR(D24*E24,0)</f>
        <v>0</v>
      </c>
      <c r="G24" s="31"/>
      <c r="H24" s="14"/>
      <c r="L24" s="4" t="s">
        <v>566</v>
      </c>
    </row>
    <row r="25" customFormat="false" ht="15" hidden="false" customHeight="true" outlineLevel="0" collapsed="false">
      <c r="B25" s="42"/>
      <c r="C25" s="42"/>
      <c r="D25" s="35"/>
      <c r="E25" s="22"/>
      <c r="F25" s="13" t="n">
        <f aca="false">IFERROR(D25*E25,0)</f>
        <v>0</v>
      </c>
      <c r="G25" s="31"/>
      <c r="H25" s="14"/>
      <c r="L25" s="4" t="s">
        <v>567</v>
      </c>
    </row>
    <row r="26" customFormat="false" ht="15" hidden="false" customHeight="true" outlineLevel="0" collapsed="false">
      <c r="B26" s="42"/>
      <c r="C26" s="42"/>
      <c r="D26" s="35"/>
      <c r="E26" s="22"/>
      <c r="F26" s="13" t="n">
        <f aca="false">IFERROR(D26*E26,0)</f>
        <v>0</v>
      </c>
      <c r="G26" s="31"/>
      <c r="H26" s="14"/>
      <c r="L26" s="4" t="s">
        <v>568</v>
      </c>
    </row>
    <row r="27" customFormat="false" ht="15" hidden="false" customHeight="true" outlineLevel="0" collapsed="false">
      <c r="B27" s="42"/>
      <c r="C27" s="42"/>
      <c r="D27" s="35"/>
      <c r="E27" s="22"/>
      <c r="F27" s="13" t="n">
        <f aca="false">IFERROR(D27*E27,0)</f>
        <v>0</v>
      </c>
      <c r="G27" s="31"/>
      <c r="H27" s="14"/>
      <c r="L27" s="4" t="s">
        <v>569</v>
      </c>
    </row>
    <row r="28" customFormat="false" ht="15" hidden="false" customHeight="true" outlineLevel="0" collapsed="false">
      <c r="B28" s="42"/>
      <c r="C28" s="42"/>
      <c r="D28" s="35"/>
      <c r="E28" s="22"/>
      <c r="F28" s="13" t="n">
        <f aca="false">IFERROR(D28*E28,0)</f>
        <v>0</v>
      </c>
      <c r="G28" s="31"/>
      <c r="H28" s="14"/>
      <c r="L28" s="4" t="s">
        <v>570</v>
      </c>
    </row>
    <row r="29" customFormat="false" ht="15" hidden="false" customHeight="true" outlineLevel="0" collapsed="false">
      <c r="B29" s="42"/>
      <c r="C29" s="42"/>
      <c r="D29" s="35"/>
      <c r="E29" s="22"/>
      <c r="F29" s="13" t="n">
        <f aca="false">IFERROR(D29*E29,0)</f>
        <v>0</v>
      </c>
      <c r="G29" s="31"/>
      <c r="H29" s="14"/>
      <c r="L29" s="4" t="s">
        <v>571</v>
      </c>
    </row>
    <row r="30" customFormat="false" ht="15" hidden="false" customHeight="true" outlineLevel="0" collapsed="false">
      <c r="B30" s="42"/>
      <c r="C30" s="42"/>
      <c r="D30" s="35"/>
      <c r="E30" s="22"/>
      <c r="F30" s="13" t="n">
        <f aca="false">IFERROR(D30*E30,0)</f>
        <v>0</v>
      </c>
      <c r="G30" s="31"/>
      <c r="H30" s="14"/>
      <c r="L30" s="4" t="s">
        <v>572</v>
      </c>
    </row>
    <row r="31" customFormat="false" ht="15" hidden="false" customHeight="true" outlineLevel="0" collapsed="false">
      <c r="B31" s="42"/>
      <c r="C31" s="42"/>
      <c r="D31" s="35"/>
      <c r="E31" s="22"/>
      <c r="F31" s="13" t="n">
        <f aca="false">IFERROR(D31*E31,0)</f>
        <v>0</v>
      </c>
      <c r="G31" s="31"/>
      <c r="H31" s="14"/>
      <c r="L31" s="4" t="s">
        <v>573</v>
      </c>
    </row>
    <row r="32" customFormat="false" ht="15" hidden="false" customHeight="true" outlineLevel="0" collapsed="false">
      <c r="B32" s="42"/>
      <c r="C32" s="42"/>
      <c r="D32" s="35"/>
      <c r="E32" s="22"/>
      <c r="F32" s="13" t="n">
        <f aca="false">IFERROR(D32*E32,0)</f>
        <v>0</v>
      </c>
      <c r="G32" s="31"/>
      <c r="H32" s="14"/>
      <c r="L32" s="4" t="s">
        <v>574</v>
      </c>
    </row>
    <row r="33" customFormat="false" ht="15" hidden="false" customHeight="true" outlineLevel="0" collapsed="false">
      <c r="B33" s="42"/>
      <c r="C33" s="42"/>
      <c r="D33" s="35"/>
      <c r="E33" s="22"/>
      <c r="F33" s="13" t="n">
        <f aca="false">IFERROR(D33*E33,0)</f>
        <v>0</v>
      </c>
      <c r="G33" s="31"/>
      <c r="H33" s="14"/>
      <c r="L33" s="4" t="s">
        <v>575</v>
      </c>
    </row>
    <row r="34" customFormat="false" ht="15" hidden="false" customHeight="true" outlineLevel="0" collapsed="false">
      <c r="B34" s="42"/>
      <c r="C34" s="42"/>
      <c r="D34" s="35"/>
      <c r="E34" s="22"/>
      <c r="F34" s="13" t="n">
        <f aca="false">IFERROR(D34*E34,0)</f>
        <v>0</v>
      </c>
      <c r="G34" s="31"/>
      <c r="H34" s="14"/>
      <c r="L34" s="4" t="s">
        <v>576</v>
      </c>
    </row>
    <row r="35" customFormat="false" ht="15" hidden="false" customHeight="true" outlineLevel="0" collapsed="false">
      <c r="B35" s="42"/>
      <c r="C35" s="42"/>
      <c r="D35" s="35"/>
      <c r="E35" s="22"/>
      <c r="F35" s="13" t="n">
        <f aca="false">IFERROR(D35*E35,0)</f>
        <v>0</v>
      </c>
      <c r="G35" s="31"/>
      <c r="H35" s="14"/>
      <c r="L35" s="4" t="s">
        <v>577</v>
      </c>
    </row>
    <row r="36" customFormat="false" ht="15" hidden="false" customHeight="true" outlineLevel="0" collapsed="false">
      <c r="B36" s="42"/>
      <c r="C36" s="42"/>
      <c r="D36" s="35"/>
      <c r="E36" s="22"/>
      <c r="F36" s="13" t="n">
        <f aca="false">IFERROR(D36*E36,0)</f>
        <v>0</v>
      </c>
      <c r="G36" s="31"/>
      <c r="H36" s="14"/>
      <c r="L36" s="4" t="s">
        <v>578</v>
      </c>
    </row>
    <row r="37" customFormat="false" ht="15" hidden="false" customHeight="true" outlineLevel="0" collapsed="false">
      <c r="B37" s="42"/>
      <c r="C37" s="42"/>
      <c r="D37" s="35"/>
      <c r="E37" s="22"/>
      <c r="F37" s="13" t="n">
        <f aca="false">IFERROR(D37*E37,0)</f>
        <v>0</v>
      </c>
      <c r="G37" s="31"/>
      <c r="H37" s="14"/>
      <c r="L37" s="4" t="s">
        <v>579</v>
      </c>
    </row>
    <row r="38" customFormat="false" ht="15" hidden="false" customHeight="true" outlineLevel="0" collapsed="false">
      <c r="B38" s="42"/>
      <c r="C38" s="42"/>
      <c r="D38" s="35"/>
      <c r="E38" s="22"/>
      <c r="F38" s="13" t="n">
        <f aca="false">IFERROR(D38*E38,0)</f>
        <v>0</v>
      </c>
      <c r="G38" s="31"/>
      <c r="H38" s="14"/>
      <c r="L38" s="4" t="s">
        <v>580</v>
      </c>
    </row>
    <row r="39" customFormat="false" ht="15" hidden="false" customHeight="true" outlineLevel="0" collapsed="false">
      <c r="B39" s="42"/>
      <c r="C39" s="42"/>
      <c r="D39" s="35"/>
      <c r="E39" s="22"/>
      <c r="F39" s="13" t="n">
        <f aca="false">IFERROR(D39*E39,0)</f>
        <v>0</v>
      </c>
      <c r="G39" s="31"/>
      <c r="H39" s="14"/>
      <c r="L39" s="4" t="s">
        <v>581</v>
      </c>
    </row>
    <row r="40" customFormat="false" ht="15" hidden="false" customHeight="true" outlineLevel="0" collapsed="false">
      <c r="B40" s="42"/>
      <c r="C40" s="42"/>
      <c r="D40" s="35"/>
      <c r="E40" s="22"/>
      <c r="F40" s="13" t="n">
        <f aca="false">IFERROR(D40*E40,0)</f>
        <v>0</v>
      </c>
      <c r="G40" s="31"/>
      <c r="H40" s="14"/>
      <c r="L40" s="4" t="s">
        <v>582</v>
      </c>
    </row>
    <row r="41" customFormat="false" ht="15" hidden="false" customHeight="true" outlineLevel="0" collapsed="false">
      <c r="B41" s="42"/>
      <c r="C41" s="42"/>
      <c r="D41" s="35"/>
      <c r="E41" s="22"/>
      <c r="F41" s="13" t="n">
        <f aca="false">IFERROR(D41*E41,0)</f>
        <v>0</v>
      </c>
      <c r="G41" s="31"/>
      <c r="H41" s="14"/>
      <c r="L41" s="4" t="s">
        <v>583</v>
      </c>
    </row>
    <row r="42" customFormat="false" ht="15" hidden="false" customHeight="true" outlineLevel="0" collapsed="false">
      <c r="B42" s="42"/>
      <c r="C42" s="42"/>
      <c r="D42" s="35"/>
      <c r="E42" s="22"/>
      <c r="F42" s="13" t="n">
        <f aca="false">IFERROR(D42*E42,0)</f>
        <v>0</v>
      </c>
      <c r="G42" s="31"/>
      <c r="H42" s="14"/>
      <c r="L42" s="4" t="s">
        <v>584</v>
      </c>
    </row>
    <row r="43" customFormat="false" ht="15" hidden="false" customHeight="true" outlineLevel="0" collapsed="false">
      <c r="B43" s="42"/>
      <c r="C43" s="42"/>
      <c r="D43" s="35"/>
      <c r="E43" s="22"/>
      <c r="F43" s="13" t="n">
        <f aca="false">IFERROR(D43*E43,0)</f>
        <v>0</v>
      </c>
      <c r="G43" s="31"/>
      <c r="H43" s="14"/>
      <c r="L43" s="4" t="s">
        <v>585</v>
      </c>
    </row>
    <row r="44" customFormat="false" ht="15" hidden="false" customHeight="true" outlineLevel="0" collapsed="false">
      <c r="B44" s="42"/>
      <c r="C44" s="42"/>
      <c r="D44" s="35"/>
      <c r="E44" s="22"/>
      <c r="F44" s="13" t="n">
        <f aca="false">IFERROR(D44*E44,0)</f>
        <v>0</v>
      </c>
      <c r="G44" s="31"/>
      <c r="H44" s="14"/>
      <c r="L44" s="4" t="s">
        <v>586</v>
      </c>
    </row>
    <row r="45" customFormat="false" ht="15" hidden="false" customHeight="true" outlineLevel="0" collapsed="false">
      <c r="B45" s="42"/>
      <c r="C45" s="42"/>
      <c r="D45" s="35"/>
      <c r="E45" s="22"/>
      <c r="F45" s="13" t="n">
        <f aca="false">IFERROR(D45*E45,0)</f>
        <v>0</v>
      </c>
      <c r="G45" s="31"/>
      <c r="H45" s="14"/>
      <c r="L45" s="4" t="s">
        <v>587</v>
      </c>
    </row>
    <row r="46" customFormat="false" ht="15" hidden="false" customHeight="true" outlineLevel="0" collapsed="false">
      <c r="B46" s="42"/>
      <c r="C46" s="42"/>
      <c r="D46" s="35"/>
      <c r="E46" s="22"/>
      <c r="F46" s="13" t="n">
        <f aca="false">IFERROR(D46*E46,0)</f>
        <v>0</v>
      </c>
      <c r="G46" s="31"/>
      <c r="H46" s="14"/>
      <c r="L46" s="4" t="s">
        <v>588</v>
      </c>
    </row>
    <row r="47" customFormat="false" ht="15" hidden="false" customHeight="true" outlineLevel="0" collapsed="false">
      <c r="B47" s="42"/>
      <c r="C47" s="42"/>
      <c r="D47" s="35"/>
      <c r="E47" s="22"/>
      <c r="F47" s="13" t="n">
        <f aca="false">IFERROR(D47*E47,0)</f>
        <v>0</v>
      </c>
      <c r="G47" s="31"/>
      <c r="H47" s="14"/>
      <c r="L47" s="4" t="s">
        <v>589</v>
      </c>
    </row>
    <row r="48" customFormat="false" ht="15" hidden="false" customHeight="true" outlineLevel="0" collapsed="false">
      <c r="B48" s="42"/>
      <c r="C48" s="42"/>
      <c r="D48" s="35"/>
      <c r="E48" s="22"/>
      <c r="F48" s="13" t="n">
        <f aca="false">IFERROR(D48*E48,0)</f>
        <v>0</v>
      </c>
      <c r="G48" s="31"/>
      <c r="H48" s="14"/>
      <c r="L48" s="4" t="s">
        <v>590</v>
      </c>
    </row>
    <row r="49" customFormat="false" ht="15" hidden="false" customHeight="true" outlineLevel="0" collapsed="false">
      <c r="B49" s="42"/>
      <c r="C49" s="42"/>
      <c r="D49" s="35"/>
      <c r="E49" s="22"/>
      <c r="F49" s="13" t="n">
        <f aca="false">IFERROR(D49*E49,0)</f>
        <v>0</v>
      </c>
      <c r="G49" s="31"/>
      <c r="H49" s="14"/>
      <c r="L49" s="4" t="s">
        <v>591</v>
      </c>
    </row>
    <row r="50" customFormat="false" ht="15" hidden="false" customHeight="true" outlineLevel="0" collapsed="false">
      <c r="B50" s="42"/>
      <c r="C50" s="42"/>
      <c r="D50" s="35"/>
      <c r="E50" s="22"/>
      <c r="F50" s="13" t="n">
        <f aca="false">IFERROR(D50*E50,0)</f>
        <v>0</v>
      </c>
      <c r="G50" s="31"/>
      <c r="H50" s="14"/>
      <c r="L50" s="4" t="s">
        <v>592</v>
      </c>
    </row>
    <row r="51" customFormat="false" ht="15" hidden="false" customHeight="true" outlineLevel="0" collapsed="false">
      <c r="B51" s="42"/>
      <c r="C51" s="42"/>
      <c r="D51" s="35"/>
      <c r="E51" s="22"/>
      <c r="F51" s="13" t="n">
        <f aca="false">IFERROR(D51*E51,0)</f>
        <v>0</v>
      </c>
      <c r="G51" s="31"/>
      <c r="H51" s="14"/>
      <c r="L51" s="4" t="s">
        <v>593</v>
      </c>
    </row>
    <row r="52" customFormat="false" ht="15" hidden="false" customHeight="true" outlineLevel="0" collapsed="false">
      <c r="B52" s="42"/>
      <c r="C52" s="42"/>
      <c r="D52" s="35"/>
      <c r="E52" s="22"/>
      <c r="F52" s="13" t="n">
        <f aca="false">IFERROR(D52*E52,0)</f>
        <v>0</v>
      </c>
      <c r="G52" s="31"/>
      <c r="H52" s="14"/>
      <c r="L52" s="4" t="s">
        <v>594</v>
      </c>
    </row>
    <row r="53" customFormat="false" ht="15" hidden="false" customHeight="true" outlineLevel="0" collapsed="false">
      <c r="B53" s="42"/>
      <c r="C53" s="42"/>
      <c r="D53" s="35"/>
      <c r="E53" s="22"/>
      <c r="F53" s="13" t="n">
        <f aca="false">IFERROR(D53*E53,0)</f>
        <v>0</v>
      </c>
      <c r="G53" s="31"/>
      <c r="H53" s="14"/>
      <c r="L53" s="4" t="s">
        <v>595</v>
      </c>
    </row>
    <row r="54" customFormat="false" ht="15" hidden="false" customHeight="true" outlineLevel="0" collapsed="false">
      <c r="B54" s="42"/>
      <c r="C54" s="42"/>
      <c r="D54" s="35"/>
      <c r="E54" s="22"/>
      <c r="F54" s="13" t="n">
        <f aca="false">IFERROR(D54*E54,0)</f>
        <v>0</v>
      </c>
      <c r="G54" s="31"/>
      <c r="H54" s="14"/>
      <c r="L54" s="4" t="s">
        <v>596</v>
      </c>
    </row>
    <row r="55" customFormat="false" ht="15" hidden="false" customHeight="true" outlineLevel="0" collapsed="false">
      <c r="B55" s="42"/>
      <c r="C55" s="42"/>
      <c r="D55" s="35"/>
      <c r="E55" s="22"/>
      <c r="F55" s="13" t="n">
        <f aca="false">IFERROR(D55*E55,0)</f>
        <v>0</v>
      </c>
      <c r="G55" s="31"/>
      <c r="H55" s="14"/>
      <c r="L55" s="4" t="s">
        <v>597</v>
      </c>
    </row>
    <row r="56" customFormat="false" ht="15" hidden="false" customHeight="true" outlineLevel="0" collapsed="false">
      <c r="B56" s="42"/>
      <c r="C56" s="42"/>
      <c r="D56" s="35"/>
      <c r="E56" s="22"/>
      <c r="F56" s="13" t="n">
        <f aca="false">IFERROR(D56*E56,0)</f>
        <v>0</v>
      </c>
      <c r="G56" s="31"/>
      <c r="H56" s="14"/>
      <c r="L56" s="4" t="s">
        <v>598</v>
      </c>
    </row>
    <row r="57" customFormat="false" ht="15" hidden="false" customHeight="true" outlineLevel="0" collapsed="false">
      <c r="B57" s="42"/>
      <c r="C57" s="42"/>
      <c r="D57" s="35"/>
      <c r="E57" s="22"/>
      <c r="F57" s="13" t="n">
        <f aca="false">IFERROR(D57*E57,0)</f>
        <v>0</v>
      </c>
      <c r="G57" s="31"/>
      <c r="H57" s="14"/>
      <c r="L57" s="4" t="s">
        <v>599</v>
      </c>
    </row>
    <row r="58" customFormat="false" ht="15" hidden="false" customHeight="true" outlineLevel="0" collapsed="false">
      <c r="B58" s="42"/>
      <c r="C58" s="42"/>
      <c r="D58" s="35"/>
      <c r="E58" s="22"/>
      <c r="F58" s="13" t="n">
        <f aca="false">IFERROR(D58*E58,0)</f>
        <v>0</v>
      </c>
      <c r="G58" s="31"/>
      <c r="H58" s="14"/>
      <c r="L58" s="4" t="s">
        <v>600</v>
      </c>
    </row>
    <row r="59" customFormat="false" ht="15" hidden="false" customHeight="true" outlineLevel="0" collapsed="false">
      <c r="B59" s="42"/>
      <c r="C59" s="42"/>
      <c r="D59" s="35"/>
      <c r="E59" s="22"/>
      <c r="F59" s="13" t="n">
        <f aca="false">IFERROR(D59*E59,0)</f>
        <v>0</v>
      </c>
      <c r="G59" s="31"/>
      <c r="H59" s="14"/>
      <c r="L59" s="4" t="s">
        <v>601</v>
      </c>
    </row>
    <row r="60" customFormat="false" ht="15" hidden="false" customHeight="true" outlineLevel="0" collapsed="false">
      <c r="B60" s="42"/>
      <c r="C60" s="42"/>
      <c r="D60" s="35"/>
      <c r="E60" s="22"/>
      <c r="F60" s="13" t="n">
        <f aca="false">IFERROR(D60*E60,0)</f>
        <v>0</v>
      </c>
      <c r="G60" s="31"/>
      <c r="H60" s="14"/>
      <c r="L60" s="4" t="s">
        <v>602</v>
      </c>
    </row>
    <row r="61" customFormat="false" ht="15" hidden="false" customHeight="true" outlineLevel="0" collapsed="false">
      <c r="B61" s="42"/>
      <c r="C61" s="42"/>
      <c r="D61" s="35"/>
      <c r="E61" s="22"/>
      <c r="F61" s="13" t="n">
        <f aca="false">IFERROR(D61*E61,0)</f>
        <v>0</v>
      </c>
      <c r="G61" s="31"/>
      <c r="H61" s="14"/>
      <c r="L61" s="4" t="s">
        <v>603</v>
      </c>
    </row>
    <row r="62" customFormat="false" ht="15" hidden="false" customHeight="true" outlineLevel="0" collapsed="false">
      <c r="B62" s="42"/>
      <c r="C62" s="42"/>
      <c r="D62" s="35"/>
      <c r="E62" s="22"/>
      <c r="F62" s="13" t="n">
        <f aca="false">IFERROR(D62*E62,0)</f>
        <v>0</v>
      </c>
      <c r="G62" s="31"/>
      <c r="H62" s="14"/>
      <c r="L62" s="4" t="s">
        <v>604</v>
      </c>
    </row>
    <row r="63" customFormat="false" ht="15" hidden="false" customHeight="true" outlineLevel="0" collapsed="false">
      <c r="B63" s="42"/>
      <c r="C63" s="42"/>
      <c r="D63" s="35"/>
      <c r="E63" s="22"/>
      <c r="F63" s="13" t="n">
        <f aca="false">IFERROR(D63*E63,0)</f>
        <v>0</v>
      </c>
      <c r="G63" s="31"/>
      <c r="H63" s="14"/>
      <c r="L63" s="4" t="s">
        <v>605</v>
      </c>
    </row>
    <row r="64" customFormat="false" ht="15" hidden="false" customHeight="true" outlineLevel="0" collapsed="false">
      <c r="B64" s="42"/>
      <c r="C64" s="42"/>
      <c r="D64" s="35"/>
      <c r="E64" s="22"/>
      <c r="F64" s="13" t="n">
        <f aca="false">IFERROR(D64*E64,0)</f>
        <v>0</v>
      </c>
      <c r="G64" s="31"/>
      <c r="H64" s="14"/>
      <c r="L64" s="4" t="s">
        <v>606</v>
      </c>
    </row>
    <row r="65" customFormat="false" ht="15" hidden="false" customHeight="true" outlineLevel="0" collapsed="false">
      <c r="B65" s="42"/>
      <c r="C65" s="42"/>
      <c r="D65" s="35"/>
      <c r="E65" s="22"/>
      <c r="F65" s="13" t="n">
        <f aca="false">IFERROR(D65*E65,0)</f>
        <v>0</v>
      </c>
      <c r="G65" s="31"/>
      <c r="H65" s="14"/>
      <c r="L65" s="4" t="s">
        <v>607</v>
      </c>
    </row>
    <row r="66" customFormat="false" ht="15" hidden="false" customHeight="true" outlineLevel="0" collapsed="false">
      <c r="B66" s="42"/>
      <c r="C66" s="42"/>
      <c r="D66" s="35"/>
      <c r="E66" s="22"/>
      <c r="F66" s="13" t="n">
        <f aca="false">IFERROR(D66*E66,0)</f>
        <v>0</v>
      </c>
      <c r="G66" s="31"/>
      <c r="H66" s="14"/>
      <c r="L66" s="4" t="s">
        <v>608</v>
      </c>
    </row>
    <row r="67" customFormat="false" ht="15" hidden="false" customHeight="true" outlineLevel="0" collapsed="false">
      <c r="B67" s="42"/>
      <c r="C67" s="42"/>
      <c r="D67" s="35"/>
      <c r="E67" s="22"/>
      <c r="F67" s="13" t="n">
        <f aca="false">IFERROR(D67*E67,0)</f>
        <v>0</v>
      </c>
      <c r="G67" s="31"/>
      <c r="H67" s="14"/>
      <c r="L67" s="4" t="s">
        <v>609</v>
      </c>
    </row>
    <row r="68" customFormat="false" ht="15" hidden="false" customHeight="true" outlineLevel="0" collapsed="false">
      <c r="B68" s="42"/>
      <c r="C68" s="42"/>
      <c r="D68" s="35"/>
      <c r="E68" s="22"/>
      <c r="F68" s="13" t="n">
        <f aca="false">IFERROR(D68*E68,0)</f>
        <v>0</v>
      </c>
      <c r="G68" s="31"/>
      <c r="H68" s="14"/>
      <c r="L68" s="4" t="s">
        <v>610</v>
      </c>
    </row>
    <row r="69" customFormat="false" ht="15" hidden="false" customHeight="true" outlineLevel="0" collapsed="false">
      <c r="B69" s="42"/>
      <c r="C69" s="42"/>
      <c r="D69" s="35"/>
      <c r="E69" s="22"/>
      <c r="F69" s="13" t="n">
        <f aca="false">IFERROR(D69*E69,0)</f>
        <v>0</v>
      </c>
      <c r="G69" s="31"/>
      <c r="H69" s="14"/>
      <c r="L69" s="4" t="s">
        <v>611</v>
      </c>
    </row>
    <row r="70" customFormat="false" ht="15" hidden="false" customHeight="true" outlineLevel="0" collapsed="false">
      <c r="B70" s="42"/>
      <c r="C70" s="42"/>
      <c r="D70" s="35"/>
      <c r="E70" s="22"/>
      <c r="F70" s="13" t="n">
        <f aca="false">IFERROR(D70*E70,0)</f>
        <v>0</v>
      </c>
      <c r="G70" s="31"/>
      <c r="H70" s="14"/>
      <c r="L70" s="4" t="s">
        <v>612</v>
      </c>
    </row>
    <row r="71" customFormat="false" ht="15" hidden="false" customHeight="true" outlineLevel="0" collapsed="false">
      <c r="B71" s="42"/>
      <c r="C71" s="42"/>
      <c r="D71" s="35"/>
      <c r="E71" s="22"/>
      <c r="F71" s="13" t="n">
        <f aca="false">IFERROR(D71*E71,0)</f>
        <v>0</v>
      </c>
      <c r="G71" s="31"/>
      <c r="H71" s="14"/>
      <c r="L71" s="4" t="s">
        <v>613</v>
      </c>
    </row>
    <row r="72" customFormat="false" ht="15" hidden="false" customHeight="true" outlineLevel="0" collapsed="false">
      <c r="B72" s="42"/>
      <c r="C72" s="42"/>
      <c r="D72" s="35"/>
      <c r="E72" s="22"/>
      <c r="F72" s="13" t="n">
        <f aca="false">IFERROR(D72*E72,0)</f>
        <v>0</v>
      </c>
      <c r="G72" s="31"/>
      <c r="H72" s="14"/>
      <c r="L72" s="4" t="s">
        <v>614</v>
      </c>
    </row>
    <row r="73" customFormat="false" ht="15" hidden="false" customHeight="true" outlineLevel="0" collapsed="false">
      <c r="B73" s="42"/>
      <c r="C73" s="42"/>
      <c r="D73" s="35"/>
      <c r="E73" s="22"/>
      <c r="F73" s="13" t="n">
        <f aca="false">IFERROR(D73*E73,0)</f>
        <v>0</v>
      </c>
      <c r="G73" s="31"/>
      <c r="H73" s="14"/>
      <c r="L73" s="4" t="s">
        <v>615</v>
      </c>
    </row>
    <row r="74" customFormat="false" ht="15" hidden="false" customHeight="true" outlineLevel="0" collapsed="false">
      <c r="B74" s="42"/>
      <c r="C74" s="42"/>
      <c r="D74" s="35"/>
      <c r="E74" s="22"/>
      <c r="F74" s="13" t="n">
        <f aca="false">IFERROR(D74*E74,0)</f>
        <v>0</v>
      </c>
      <c r="G74" s="31"/>
      <c r="H74" s="14"/>
      <c r="L74" s="4" t="s">
        <v>616</v>
      </c>
    </row>
    <row r="75" customFormat="false" ht="15" hidden="false" customHeight="true" outlineLevel="0" collapsed="false">
      <c r="B75" s="42"/>
      <c r="C75" s="42"/>
      <c r="D75" s="35"/>
      <c r="E75" s="22"/>
      <c r="F75" s="13" t="n">
        <f aca="false">IFERROR(D75*E75,0)</f>
        <v>0</v>
      </c>
      <c r="G75" s="31"/>
      <c r="H75" s="14"/>
      <c r="L75" s="4" t="s">
        <v>617</v>
      </c>
    </row>
    <row r="76" customFormat="false" ht="15" hidden="false" customHeight="true" outlineLevel="0" collapsed="false">
      <c r="B76" s="42"/>
      <c r="C76" s="42"/>
      <c r="D76" s="35"/>
      <c r="E76" s="22"/>
      <c r="F76" s="13" t="n">
        <f aca="false">IFERROR(D76*E76,0)</f>
        <v>0</v>
      </c>
      <c r="G76" s="31"/>
      <c r="H76" s="14"/>
      <c r="L76" s="4" t="s">
        <v>618</v>
      </c>
    </row>
    <row r="77" customFormat="false" ht="15" hidden="false" customHeight="true" outlineLevel="0" collapsed="false">
      <c r="B77" s="42"/>
      <c r="C77" s="42"/>
      <c r="D77" s="35"/>
      <c r="E77" s="22"/>
      <c r="F77" s="13" t="n">
        <f aca="false">IFERROR(D77*E77,0)</f>
        <v>0</v>
      </c>
      <c r="G77" s="31"/>
      <c r="H77" s="14"/>
      <c r="L77" s="4" t="s">
        <v>619</v>
      </c>
    </row>
    <row r="78" customFormat="false" ht="15" hidden="false" customHeight="true" outlineLevel="0" collapsed="false">
      <c r="B78" s="42"/>
      <c r="C78" s="42"/>
      <c r="D78" s="35"/>
      <c r="E78" s="22"/>
      <c r="F78" s="13" t="n">
        <f aca="false">IFERROR(D78*E78,0)</f>
        <v>0</v>
      </c>
      <c r="G78" s="31"/>
      <c r="H78" s="14"/>
      <c r="L78" s="4" t="s">
        <v>620</v>
      </c>
    </row>
    <row r="79" customFormat="false" ht="15" hidden="false" customHeight="true" outlineLevel="0" collapsed="false">
      <c r="B79" s="42"/>
      <c r="C79" s="42"/>
      <c r="D79" s="35"/>
      <c r="E79" s="22"/>
      <c r="F79" s="13" t="n">
        <f aca="false">IFERROR(D79*E79,0)</f>
        <v>0</v>
      </c>
      <c r="G79" s="31"/>
      <c r="H79" s="14"/>
      <c r="L79" s="4" t="s">
        <v>621</v>
      </c>
    </row>
    <row r="80" customFormat="false" ht="15" hidden="false" customHeight="true" outlineLevel="0" collapsed="false">
      <c r="B80" s="42"/>
      <c r="C80" s="42"/>
      <c r="D80" s="35"/>
      <c r="E80" s="22"/>
      <c r="F80" s="13" t="n">
        <f aca="false">IFERROR(D80*E80,0)</f>
        <v>0</v>
      </c>
      <c r="G80" s="31"/>
      <c r="H80" s="14"/>
      <c r="L80" s="4" t="s">
        <v>622</v>
      </c>
    </row>
    <row r="81" customFormat="false" ht="15" hidden="false" customHeight="true" outlineLevel="0" collapsed="false">
      <c r="B81" s="42"/>
      <c r="C81" s="42"/>
      <c r="D81" s="35"/>
      <c r="E81" s="22"/>
      <c r="F81" s="13" t="n">
        <f aca="false">IFERROR(D81*E81,0)</f>
        <v>0</v>
      </c>
      <c r="G81" s="31"/>
      <c r="H81" s="14"/>
      <c r="L81" s="4" t="s">
        <v>623</v>
      </c>
    </row>
    <row r="82" customFormat="false" ht="15" hidden="false" customHeight="true" outlineLevel="0" collapsed="false">
      <c r="B82" s="42"/>
      <c r="C82" s="42"/>
      <c r="D82" s="35"/>
      <c r="E82" s="22"/>
      <c r="F82" s="13" t="n">
        <f aca="false">IFERROR(D82*E82,0)</f>
        <v>0</v>
      </c>
      <c r="G82" s="31"/>
      <c r="H82" s="14"/>
      <c r="L82" s="4" t="s">
        <v>624</v>
      </c>
    </row>
    <row r="83" customFormat="false" ht="15" hidden="false" customHeight="true" outlineLevel="0" collapsed="false">
      <c r="B83" s="42"/>
      <c r="C83" s="42"/>
      <c r="D83" s="35"/>
      <c r="E83" s="22"/>
      <c r="F83" s="13" t="n">
        <f aca="false">IFERROR(D83*E83,0)</f>
        <v>0</v>
      </c>
      <c r="G83" s="31"/>
      <c r="H83" s="14"/>
      <c r="L83" s="4" t="s">
        <v>625</v>
      </c>
    </row>
    <row r="84" customFormat="false" ht="15" hidden="false" customHeight="true" outlineLevel="0" collapsed="false">
      <c r="B84" s="42"/>
      <c r="C84" s="42"/>
      <c r="D84" s="35"/>
      <c r="E84" s="22"/>
      <c r="F84" s="13" t="n">
        <f aca="false">IFERROR(D84*E84,0)</f>
        <v>0</v>
      </c>
      <c r="G84" s="31"/>
      <c r="H84" s="14"/>
      <c r="L84" s="4" t="s">
        <v>626</v>
      </c>
    </row>
    <row r="85" customFormat="false" ht="15" hidden="false" customHeight="true" outlineLevel="0" collapsed="false">
      <c r="B85" s="42"/>
      <c r="C85" s="42"/>
      <c r="D85" s="35"/>
      <c r="E85" s="22"/>
      <c r="F85" s="13" t="n">
        <f aca="false">IFERROR(D85*E85,0)</f>
        <v>0</v>
      </c>
      <c r="G85" s="31"/>
      <c r="H85" s="14"/>
      <c r="L85" s="4" t="s">
        <v>627</v>
      </c>
    </row>
    <row r="86" customFormat="false" ht="15" hidden="false" customHeight="true" outlineLevel="0" collapsed="false">
      <c r="B86" s="42"/>
      <c r="C86" s="42"/>
      <c r="D86" s="35"/>
      <c r="E86" s="22"/>
      <c r="F86" s="13" t="n">
        <f aca="false">IFERROR(D86*E86,0)</f>
        <v>0</v>
      </c>
      <c r="G86" s="31"/>
      <c r="H86" s="14"/>
      <c r="L86" s="4" t="s">
        <v>628</v>
      </c>
    </row>
    <row r="87" customFormat="false" ht="15" hidden="false" customHeight="true" outlineLevel="0" collapsed="false">
      <c r="B87" s="42"/>
      <c r="C87" s="42"/>
      <c r="D87" s="35"/>
      <c r="E87" s="22"/>
      <c r="F87" s="13" t="n">
        <f aca="false">IFERROR(D87*E87,0)</f>
        <v>0</v>
      </c>
      <c r="G87" s="31"/>
      <c r="H87" s="14"/>
      <c r="L87" s="4" t="s">
        <v>629</v>
      </c>
    </row>
    <row r="88" customFormat="false" ht="15" hidden="false" customHeight="true" outlineLevel="0" collapsed="false">
      <c r="B88" s="42"/>
      <c r="C88" s="42"/>
      <c r="D88" s="35"/>
      <c r="E88" s="22"/>
      <c r="F88" s="13" t="n">
        <f aca="false">IFERROR(D88*E88,0)</f>
        <v>0</v>
      </c>
      <c r="G88" s="31"/>
      <c r="H88" s="14"/>
      <c r="L88" s="4" t="s">
        <v>630</v>
      </c>
    </row>
    <row r="89" customFormat="false" ht="15" hidden="false" customHeight="true" outlineLevel="0" collapsed="false">
      <c r="B89" s="42"/>
      <c r="C89" s="42"/>
      <c r="D89" s="35"/>
      <c r="E89" s="22"/>
      <c r="F89" s="13" t="n">
        <f aca="false">IFERROR(D89*E89,0)</f>
        <v>0</v>
      </c>
      <c r="G89" s="31"/>
      <c r="H89" s="14"/>
      <c r="L89" s="4" t="s">
        <v>631</v>
      </c>
    </row>
    <row r="90" customFormat="false" ht="15" hidden="false" customHeight="true" outlineLevel="0" collapsed="false">
      <c r="B90" s="42"/>
      <c r="C90" s="42"/>
      <c r="D90" s="35"/>
      <c r="E90" s="22"/>
      <c r="F90" s="13" t="n">
        <f aca="false">IFERROR(D90*E90,0)</f>
        <v>0</v>
      </c>
      <c r="G90" s="31"/>
      <c r="H90" s="14"/>
      <c r="L90" s="4" t="s">
        <v>632</v>
      </c>
    </row>
    <row r="91" customFormat="false" ht="15" hidden="false" customHeight="true" outlineLevel="0" collapsed="false">
      <c r="B91" s="42"/>
      <c r="C91" s="42"/>
      <c r="D91" s="35"/>
      <c r="E91" s="22"/>
      <c r="F91" s="13" t="n">
        <f aca="false">IFERROR(D91*E91,0)</f>
        <v>0</v>
      </c>
      <c r="G91" s="31"/>
      <c r="H91" s="14"/>
      <c r="L91" s="4" t="s">
        <v>633</v>
      </c>
    </row>
    <row r="92" customFormat="false" ht="15" hidden="false" customHeight="true" outlineLevel="0" collapsed="false">
      <c r="B92" s="42"/>
      <c r="C92" s="42"/>
      <c r="D92" s="35"/>
      <c r="E92" s="22"/>
      <c r="F92" s="13" t="n">
        <f aca="false">IFERROR(D92*E92,0)</f>
        <v>0</v>
      </c>
      <c r="G92" s="31"/>
      <c r="H92" s="14"/>
      <c r="L92" s="4" t="s">
        <v>634</v>
      </c>
    </row>
    <row r="93" customFormat="false" ht="15" hidden="false" customHeight="true" outlineLevel="0" collapsed="false">
      <c r="B93" s="42"/>
      <c r="C93" s="42"/>
      <c r="D93" s="35"/>
      <c r="E93" s="22"/>
      <c r="F93" s="13" t="n">
        <f aca="false">IFERROR(D93*E93,0)</f>
        <v>0</v>
      </c>
      <c r="G93" s="31"/>
      <c r="H93" s="14"/>
      <c r="L93" s="4" t="s">
        <v>635</v>
      </c>
    </row>
    <row r="94" customFormat="false" ht="15" hidden="false" customHeight="true" outlineLevel="0" collapsed="false">
      <c r="B94" s="42"/>
      <c r="C94" s="42"/>
      <c r="D94" s="35"/>
      <c r="E94" s="22"/>
      <c r="F94" s="13" t="n">
        <f aca="false">IFERROR(D94*E94,0)</f>
        <v>0</v>
      </c>
      <c r="G94" s="31"/>
      <c r="H94" s="14"/>
      <c r="L94" s="4" t="s">
        <v>636</v>
      </c>
    </row>
    <row r="95" customFormat="false" ht="15" hidden="false" customHeight="true" outlineLevel="0" collapsed="false">
      <c r="B95" s="42"/>
      <c r="C95" s="42"/>
      <c r="D95" s="35"/>
      <c r="E95" s="22"/>
      <c r="F95" s="13" t="n">
        <f aca="false">IFERROR(D95*E95,0)</f>
        <v>0</v>
      </c>
      <c r="G95" s="31"/>
      <c r="H95" s="14"/>
      <c r="L95" s="4" t="s">
        <v>637</v>
      </c>
    </row>
    <row r="96" customFormat="false" ht="15" hidden="false" customHeight="true" outlineLevel="0" collapsed="false">
      <c r="B96" s="42"/>
      <c r="C96" s="42"/>
      <c r="D96" s="35"/>
      <c r="E96" s="22"/>
      <c r="F96" s="13" t="n">
        <f aca="false">IFERROR(D96*E96,0)</f>
        <v>0</v>
      </c>
      <c r="G96" s="31"/>
      <c r="H96" s="14"/>
      <c r="L96" s="4" t="s">
        <v>638</v>
      </c>
    </row>
    <row r="97" customFormat="false" ht="15" hidden="false" customHeight="true" outlineLevel="0" collapsed="false">
      <c r="B97" s="42"/>
      <c r="C97" s="42"/>
      <c r="D97" s="35"/>
      <c r="E97" s="22"/>
      <c r="F97" s="13" t="n">
        <f aca="false">IFERROR(D97*E97,0)</f>
        <v>0</v>
      </c>
      <c r="G97" s="31"/>
      <c r="H97" s="14"/>
      <c r="L97" s="4" t="s">
        <v>639</v>
      </c>
    </row>
    <row r="98" customFormat="false" ht="15" hidden="false" customHeight="true" outlineLevel="0" collapsed="false">
      <c r="B98" s="42"/>
      <c r="C98" s="42"/>
      <c r="D98" s="35"/>
      <c r="E98" s="22"/>
      <c r="F98" s="13" t="n">
        <f aca="false">IFERROR(D98*E98,0)</f>
        <v>0</v>
      </c>
      <c r="G98" s="31"/>
      <c r="H98" s="14"/>
      <c r="L98" s="4" t="s">
        <v>640</v>
      </c>
    </row>
    <row r="99" customFormat="false" ht="15" hidden="false" customHeight="true" outlineLevel="0" collapsed="false">
      <c r="B99" s="42"/>
      <c r="C99" s="42"/>
      <c r="D99" s="35"/>
      <c r="E99" s="22"/>
      <c r="F99" s="13" t="n">
        <f aca="false">IFERROR(D99*E99,0)</f>
        <v>0</v>
      </c>
      <c r="G99" s="31"/>
      <c r="H99" s="14"/>
      <c r="L99" s="4" t="s">
        <v>641</v>
      </c>
    </row>
    <row r="100" customFormat="false" ht="15" hidden="false" customHeight="true" outlineLevel="0" collapsed="false">
      <c r="B100" s="42"/>
      <c r="C100" s="42"/>
      <c r="D100" s="35"/>
      <c r="E100" s="22"/>
      <c r="F100" s="13" t="n">
        <f aca="false">IFERROR(D100*E100,0)</f>
        <v>0</v>
      </c>
      <c r="G100" s="31"/>
      <c r="H100" s="14"/>
      <c r="L100" s="4" t="s">
        <v>642</v>
      </c>
    </row>
    <row r="101" customFormat="false" ht="15" hidden="false" customHeight="true" outlineLevel="0" collapsed="false">
      <c r="B101" s="42"/>
      <c r="C101" s="42"/>
      <c r="D101" s="35"/>
      <c r="E101" s="22"/>
      <c r="F101" s="13" t="n">
        <f aca="false">IFERROR(D101*E101,0)</f>
        <v>0</v>
      </c>
      <c r="G101" s="31"/>
      <c r="H101" s="14"/>
      <c r="L101" s="4" t="s">
        <v>643</v>
      </c>
    </row>
    <row r="102" customFormat="false" ht="15" hidden="false" customHeight="true" outlineLevel="0" collapsed="false">
      <c r="B102" s="42"/>
      <c r="C102" s="42"/>
      <c r="D102" s="35"/>
      <c r="E102" s="22"/>
      <c r="F102" s="13" t="n">
        <f aca="false">IFERROR(D102*E102,0)</f>
        <v>0</v>
      </c>
      <c r="G102" s="31"/>
      <c r="H102" s="14"/>
      <c r="L102" s="4" t="s">
        <v>644</v>
      </c>
    </row>
    <row r="103" customFormat="false" ht="15" hidden="false" customHeight="true" outlineLevel="0" collapsed="false">
      <c r="B103" s="42"/>
      <c r="C103" s="42"/>
      <c r="D103" s="35"/>
      <c r="E103" s="22"/>
      <c r="F103" s="13" t="n">
        <f aca="false">IFERROR(D103*E103,0)</f>
        <v>0</v>
      </c>
      <c r="G103" s="31"/>
      <c r="H103" s="14"/>
      <c r="L103" s="4" t="s">
        <v>645</v>
      </c>
    </row>
    <row r="104" customFormat="false" ht="15" hidden="false" customHeight="true" outlineLevel="0" collapsed="false">
      <c r="B104" s="42"/>
      <c r="C104" s="42"/>
      <c r="D104" s="35"/>
      <c r="E104" s="22"/>
      <c r="F104" s="13" t="n">
        <f aca="false">IFERROR(D104*E104,0)</f>
        <v>0</v>
      </c>
      <c r="G104" s="31"/>
      <c r="H104" s="14"/>
      <c r="L104" s="4" t="s">
        <v>646</v>
      </c>
    </row>
    <row r="105" customFormat="false" ht="15" hidden="false" customHeight="true" outlineLevel="0" collapsed="false">
      <c r="B105" s="42"/>
      <c r="C105" s="42"/>
      <c r="D105" s="35"/>
      <c r="E105" s="22"/>
      <c r="F105" s="13" t="n">
        <f aca="false">IFERROR(D105*E105,0)</f>
        <v>0</v>
      </c>
      <c r="G105" s="31"/>
      <c r="H105" s="14"/>
      <c r="L105" s="4" t="s">
        <v>647</v>
      </c>
    </row>
    <row r="106" customFormat="false" ht="15" hidden="false" customHeight="true" outlineLevel="0" collapsed="false">
      <c r="B106" s="42"/>
      <c r="C106" s="42"/>
      <c r="D106" s="35"/>
      <c r="E106" s="22"/>
      <c r="F106" s="13" t="n">
        <f aca="false">IFERROR(D106*E106,0)</f>
        <v>0</v>
      </c>
      <c r="G106" s="31"/>
      <c r="H106" s="14"/>
      <c r="L106" s="4" t="s">
        <v>648</v>
      </c>
    </row>
    <row r="107" customFormat="false" ht="15" hidden="false" customHeight="true" outlineLevel="0" collapsed="false">
      <c r="B107" s="42"/>
      <c r="C107" s="42"/>
      <c r="D107" s="35"/>
      <c r="E107" s="22"/>
      <c r="F107" s="13" t="n">
        <f aca="false">IFERROR(D107*E107,0)</f>
        <v>0</v>
      </c>
      <c r="G107" s="31"/>
      <c r="H107" s="14"/>
      <c r="L107" s="4" t="s">
        <v>649</v>
      </c>
    </row>
    <row r="108" customFormat="false" ht="15" hidden="false" customHeight="true" outlineLevel="0" collapsed="false">
      <c r="B108" s="42"/>
      <c r="C108" s="42"/>
      <c r="D108" s="35"/>
      <c r="E108" s="22"/>
      <c r="F108" s="13" t="n">
        <f aca="false">IFERROR(D108*E108,0)</f>
        <v>0</v>
      </c>
      <c r="G108" s="31"/>
      <c r="H108" s="14"/>
      <c r="L108" s="4" t="s">
        <v>650</v>
      </c>
    </row>
    <row r="109" customFormat="false" ht="15" hidden="false" customHeight="true" outlineLevel="0" collapsed="false">
      <c r="B109" s="42"/>
      <c r="C109" s="42"/>
      <c r="D109" s="35"/>
      <c r="E109" s="22"/>
      <c r="F109" s="13" t="n">
        <f aca="false">IFERROR(D109*E109,0)</f>
        <v>0</v>
      </c>
      <c r="G109" s="31"/>
      <c r="H109" s="14"/>
      <c r="L109" s="4" t="s">
        <v>651</v>
      </c>
    </row>
    <row r="110" customFormat="false" ht="15" hidden="false" customHeight="true" outlineLevel="0" collapsed="false">
      <c r="B110" s="42"/>
      <c r="C110" s="42"/>
      <c r="D110" s="35"/>
      <c r="E110" s="22"/>
      <c r="F110" s="13" t="n">
        <f aca="false">IFERROR(D110*E110,0)</f>
        <v>0</v>
      </c>
      <c r="G110" s="31"/>
      <c r="H110" s="14"/>
      <c r="L110" s="4" t="s">
        <v>652</v>
      </c>
    </row>
    <row r="111" customFormat="false" ht="15" hidden="false" customHeight="true" outlineLevel="0" collapsed="false">
      <c r="B111" s="42"/>
      <c r="C111" s="42"/>
      <c r="D111" s="35"/>
      <c r="E111" s="22"/>
      <c r="F111" s="13" t="n">
        <f aca="false">IFERROR(D111*E111,0)</f>
        <v>0</v>
      </c>
      <c r="G111" s="31"/>
      <c r="H111" s="14"/>
      <c r="L111" s="4" t="s">
        <v>653</v>
      </c>
    </row>
    <row r="112" customFormat="false" ht="15" hidden="false" customHeight="true" outlineLevel="0" collapsed="false">
      <c r="B112" s="42"/>
      <c r="C112" s="42"/>
      <c r="D112" s="35"/>
      <c r="E112" s="22"/>
      <c r="F112" s="13" t="n">
        <f aca="false">IFERROR(D112*E112,0)</f>
        <v>0</v>
      </c>
      <c r="G112" s="31"/>
      <c r="H112" s="14"/>
      <c r="L112" s="4" t="s">
        <v>654</v>
      </c>
    </row>
    <row r="113" customFormat="false" ht="15" hidden="false" customHeight="true" outlineLevel="0" collapsed="false">
      <c r="B113" s="42"/>
      <c r="C113" s="42"/>
      <c r="D113" s="35"/>
      <c r="E113" s="22"/>
      <c r="F113" s="13" t="n">
        <f aca="false">IFERROR(D113*E113,0)</f>
        <v>0</v>
      </c>
      <c r="G113" s="31"/>
      <c r="H113" s="14"/>
      <c r="L113" s="4" t="s">
        <v>655</v>
      </c>
    </row>
    <row r="114" customFormat="false" ht="15" hidden="false" customHeight="true" outlineLevel="0" collapsed="false">
      <c r="B114" s="42"/>
      <c r="C114" s="42"/>
      <c r="D114" s="35"/>
      <c r="E114" s="22"/>
      <c r="F114" s="13" t="n">
        <f aca="false">IFERROR(D114*E114,0)</f>
        <v>0</v>
      </c>
      <c r="G114" s="31"/>
      <c r="H114" s="14"/>
      <c r="L114" s="4" t="s">
        <v>656</v>
      </c>
    </row>
    <row r="115" customFormat="false" ht="15" hidden="false" customHeight="true" outlineLevel="0" collapsed="false">
      <c r="B115" s="42"/>
      <c r="C115" s="42"/>
      <c r="D115" s="35"/>
      <c r="E115" s="22"/>
      <c r="F115" s="13" t="n">
        <f aca="false">IFERROR(D115*E115,0)</f>
        <v>0</v>
      </c>
      <c r="G115" s="31"/>
      <c r="H115" s="14"/>
      <c r="L115" s="4" t="s">
        <v>657</v>
      </c>
    </row>
    <row r="116" customFormat="false" ht="15" hidden="false" customHeight="true" outlineLevel="0" collapsed="false">
      <c r="B116" s="42"/>
      <c r="C116" s="42"/>
      <c r="D116" s="35"/>
      <c r="E116" s="22"/>
      <c r="F116" s="13" t="n">
        <f aca="false">IFERROR(D116*E116,0)</f>
        <v>0</v>
      </c>
      <c r="G116" s="31"/>
      <c r="H116" s="14"/>
      <c r="L116" s="4" t="s">
        <v>658</v>
      </c>
    </row>
    <row r="117" customFormat="false" ht="15" hidden="false" customHeight="true" outlineLevel="0" collapsed="false">
      <c r="B117" s="42"/>
      <c r="C117" s="42"/>
      <c r="D117" s="35"/>
      <c r="E117" s="22"/>
      <c r="F117" s="13" t="n">
        <f aca="false">IFERROR(D117*E117,0)</f>
        <v>0</v>
      </c>
      <c r="G117" s="31"/>
      <c r="H117" s="14"/>
      <c r="L117" s="4" t="s">
        <v>659</v>
      </c>
    </row>
    <row r="118" customFormat="false" ht="15" hidden="false" customHeight="true" outlineLevel="0" collapsed="false">
      <c r="B118" s="42"/>
      <c r="C118" s="42"/>
      <c r="D118" s="35"/>
      <c r="E118" s="22"/>
      <c r="F118" s="13" t="n">
        <f aca="false">IFERROR(D118*E118,0)</f>
        <v>0</v>
      </c>
      <c r="G118" s="31"/>
      <c r="H118" s="14"/>
      <c r="L118" s="4" t="s">
        <v>660</v>
      </c>
    </row>
    <row r="119" customFormat="false" ht="15" hidden="false" customHeight="true" outlineLevel="0" collapsed="false">
      <c r="B119" s="42"/>
      <c r="C119" s="42"/>
      <c r="D119" s="35"/>
      <c r="E119" s="22"/>
      <c r="F119" s="13" t="n">
        <f aca="false">IFERROR(D119*E119,0)</f>
        <v>0</v>
      </c>
      <c r="G119" s="31"/>
      <c r="H119" s="14"/>
      <c r="L119" s="4" t="s">
        <v>661</v>
      </c>
    </row>
    <row r="120" customFormat="false" ht="15" hidden="false" customHeight="true" outlineLevel="0" collapsed="false">
      <c r="B120" s="42"/>
      <c r="C120" s="42"/>
      <c r="D120" s="35"/>
      <c r="E120" s="22"/>
      <c r="F120" s="13" t="n">
        <f aca="false">IFERROR(D120*E120,0)</f>
        <v>0</v>
      </c>
      <c r="G120" s="31"/>
      <c r="H120" s="14"/>
      <c r="L120" s="4" t="s">
        <v>662</v>
      </c>
    </row>
    <row r="121" customFormat="false" ht="15" hidden="false" customHeight="true" outlineLevel="0" collapsed="false">
      <c r="B121" s="42"/>
      <c r="C121" s="42"/>
      <c r="D121" s="35"/>
      <c r="E121" s="22"/>
      <c r="F121" s="13" t="n">
        <f aca="false">IFERROR(D121*E121,0)</f>
        <v>0</v>
      </c>
      <c r="G121" s="31"/>
      <c r="H121" s="14"/>
      <c r="L121" s="4" t="s">
        <v>663</v>
      </c>
    </row>
    <row r="122" customFormat="false" ht="15" hidden="false" customHeight="true" outlineLevel="0" collapsed="false">
      <c r="B122" s="42"/>
      <c r="C122" s="42"/>
      <c r="D122" s="35"/>
      <c r="E122" s="22"/>
      <c r="F122" s="13" t="n">
        <f aca="false">IFERROR(D122*E122,0)</f>
        <v>0</v>
      </c>
      <c r="G122" s="31"/>
      <c r="H122" s="14"/>
      <c r="L122" s="4" t="s">
        <v>664</v>
      </c>
    </row>
    <row r="123" customFormat="false" ht="15" hidden="false" customHeight="true" outlineLevel="0" collapsed="false">
      <c r="B123" s="42"/>
      <c r="C123" s="42"/>
      <c r="D123" s="35"/>
      <c r="E123" s="22"/>
      <c r="F123" s="13" t="n">
        <f aca="false">IFERROR(D123*E123,0)</f>
        <v>0</v>
      </c>
      <c r="G123" s="31"/>
      <c r="H123" s="14"/>
      <c r="L123" s="4" t="s">
        <v>665</v>
      </c>
    </row>
    <row r="124" customFormat="false" ht="15" hidden="false" customHeight="true" outlineLevel="0" collapsed="false">
      <c r="B124" s="42"/>
      <c r="C124" s="42"/>
      <c r="D124" s="35"/>
      <c r="E124" s="22"/>
      <c r="F124" s="13" t="n">
        <f aca="false">IFERROR(D124*E124,0)</f>
        <v>0</v>
      </c>
      <c r="G124" s="31"/>
      <c r="H124" s="14"/>
      <c r="L124" s="4" t="s">
        <v>666</v>
      </c>
    </row>
    <row r="125" customFormat="false" ht="15" hidden="false" customHeight="true" outlineLevel="0" collapsed="false">
      <c r="B125" s="42"/>
      <c r="C125" s="42"/>
      <c r="D125" s="35"/>
      <c r="E125" s="22"/>
      <c r="F125" s="13" t="n">
        <f aca="false">IFERROR(D125*E125,0)</f>
        <v>0</v>
      </c>
      <c r="G125" s="31"/>
      <c r="H125" s="14"/>
      <c r="L125" s="4" t="s">
        <v>667</v>
      </c>
    </row>
    <row r="126" customFormat="false" ht="15" hidden="false" customHeight="true" outlineLevel="0" collapsed="false">
      <c r="B126" s="42"/>
      <c r="C126" s="42"/>
      <c r="D126" s="35"/>
      <c r="E126" s="22"/>
      <c r="F126" s="13" t="n">
        <f aca="false">IFERROR(D126*E126,0)</f>
        <v>0</v>
      </c>
      <c r="G126" s="31"/>
      <c r="H126" s="14"/>
      <c r="L126" s="4" t="s">
        <v>668</v>
      </c>
    </row>
    <row r="127" customFormat="false" ht="15" hidden="false" customHeight="true" outlineLevel="0" collapsed="false">
      <c r="B127" s="42"/>
      <c r="C127" s="42"/>
      <c r="D127" s="35"/>
      <c r="E127" s="22"/>
      <c r="F127" s="13" t="n">
        <f aca="false">IFERROR(D127*E127,0)</f>
        <v>0</v>
      </c>
      <c r="G127" s="31"/>
      <c r="H127" s="14"/>
      <c r="L127" s="4" t="s">
        <v>669</v>
      </c>
    </row>
    <row r="128" customFormat="false" ht="15" hidden="false" customHeight="true" outlineLevel="0" collapsed="false">
      <c r="B128" s="42"/>
      <c r="C128" s="42"/>
      <c r="D128" s="35"/>
      <c r="E128" s="22"/>
      <c r="F128" s="13" t="n">
        <f aca="false">IFERROR(D128*E128,0)</f>
        <v>0</v>
      </c>
      <c r="G128" s="31"/>
      <c r="H128" s="14"/>
      <c r="L128" s="4" t="s">
        <v>670</v>
      </c>
    </row>
    <row r="129" customFormat="false" ht="15" hidden="false" customHeight="true" outlineLevel="0" collapsed="false">
      <c r="B129" s="42"/>
      <c r="C129" s="42"/>
      <c r="D129" s="35"/>
      <c r="E129" s="22"/>
      <c r="F129" s="13" t="n">
        <f aca="false">IFERROR(D129*E129,0)</f>
        <v>0</v>
      </c>
      <c r="G129" s="31"/>
      <c r="H129" s="14"/>
      <c r="L129" s="4" t="s">
        <v>671</v>
      </c>
    </row>
    <row r="130" customFormat="false" ht="15" hidden="false" customHeight="true" outlineLevel="0" collapsed="false">
      <c r="B130" s="42"/>
      <c r="C130" s="42"/>
      <c r="D130" s="35"/>
      <c r="E130" s="22"/>
      <c r="F130" s="13" t="n">
        <f aca="false">IFERROR(D130*E130,0)</f>
        <v>0</v>
      </c>
      <c r="G130" s="31"/>
      <c r="H130" s="14"/>
      <c r="L130" s="4" t="s">
        <v>672</v>
      </c>
    </row>
    <row r="131" customFormat="false" ht="15" hidden="false" customHeight="true" outlineLevel="0" collapsed="false">
      <c r="B131" s="42"/>
      <c r="C131" s="42"/>
      <c r="D131" s="35"/>
      <c r="E131" s="22"/>
      <c r="F131" s="13" t="n">
        <f aca="false">IFERROR(D131*E131,0)</f>
        <v>0</v>
      </c>
      <c r="G131" s="31"/>
      <c r="H131" s="14"/>
      <c r="L131" s="4" t="s">
        <v>673</v>
      </c>
    </row>
    <row r="132" customFormat="false" ht="15" hidden="false" customHeight="true" outlineLevel="0" collapsed="false">
      <c r="B132" s="42"/>
      <c r="C132" s="42"/>
      <c r="D132" s="35"/>
      <c r="E132" s="22"/>
      <c r="F132" s="13" t="n">
        <f aca="false">IFERROR(D132*E132,0)</f>
        <v>0</v>
      </c>
      <c r="G132" s="31"/>
      <c r="H132" s="14"/>
      <c r="L132" s="4" t="s">
        <v>674</v>
      </c>
    </row>
    <row r="133" customFormat="false" ht="15" hidden="false" customHeight="true" outlineLevel="0" collapsed="false">
      <c r="B133" s="42"/>
      <c r="C133" s="42"/>
      <c r="D133" s="35"/>
      <c r="E133" s="22"/>
      <c r="F133" s="13" t="n">
        <f aca="false">IFERROR(D133*E133,0)</f>
        <v>0</v>
      </c>
      <c r="G133" s="31"/>
      <c r="H133" s="14"/>
      <c r="L133" s="4" t="s">
        <v>675</v>
      </c>
    </row>
    <row r="134" customFormat="false" ht="15" hidden="false" customHeight="true" outlineLevel="0" collapsed="false">
      <c r="B134" s="42"/>
      <c r="C134" s="42"/>
      <c r="D134" s="35"/>
      <c r="E134" s="22"/>
      <c r="F134" s="13" t="n">
        <f aca="false">IFERROR(D134*E134,0)</f>
        <v>0</v>
      </c>
      <c r="G134" s="31"/>
      <c r="H134" s="14"/>
      <c r="L134" s="4" t="s">
        <v>676</v>
      </c>
    </row>
    <row r="135" customFormat="false" ht="15" hidden="false" customHeight="true" outlineLevel="0" collapsed="false">
      <c r="B135" s="42"/>
      <c r="C135" s="42"/>
      <c r="D135" s="35"/>
      <c r="E135" s="22"/>
      <c r="F135" s="13" t="n">
        <f aca="false">IFERROR(D135*E135,0)</f>
        <v>0</v>
      </c>
      <c r="G135" s="31"/>
      <c r="H135" s="14"/>
      <c r="L135" s="4" t="s">
        <v>677</v>
      </c>
    </row>
    <row r="136" customFormat="false" ht="15" hidden="false" customHeight="true" outlineLevel="0" collapsed="false">
      <c r="B136" s="42"/>
      <c r="C136" s="42"/>
      <c r="D136" s="35"/>
      <c r="E136" s="22"/>
      <c r="F136" s="13" t="n">
        <f aca="false">IFERROR(D136*E136,0)</f>
        <v>0</v>
      </c>
      <c r="G136" s="31"/>
      <c r="H136" s="14"/>
      <c r="L136" s="4" t="s">
        <v>678</v>
      </c>
    </row>
    <row r="137" customFormat="false" ht="15" hidden="false" customHeight="true" outlineLevel="0" collapsed="false">
      <c r="B137" s="42"/>
      <c r="C137" s="42"/>
      <c r="D137" s="35"/>
      <c r="E137" s="22"/>
      <c r="F137" s="13" t="n">
        <f aca="false">IFERROR(D137*E137,0)</f>
        <v>0</v>
      </c>
      <c r="G137" s="31"/>
      <c r="H137" s="14"/>
      <c r="L137" s="4" t="s">
        <v>679</v>
      </c>
    </row>
    <row r="138" customFormat="false" ht="15" hidden="false" customHeight="true" outlineLevel="0" collapsed="false">
      <c r="B138" s="42"/>
      <c r="C138" s="42"/>
      <c r="D138" s="35"/>
      <c r="E138" s="22"/>
      <c r="F138" s="13" t="n">
        <f aca="false">IFERROR(D138*E138,0)</f>
        <v>0</v>
      </c>
      <c r="G138" s="31"/>
      <c r="H138" s="14"/>
      <c r="L138" s="4" t="s">
        <v>680</v>
      </c>
    </row>
    <row r="139" customFormat="false" ht="15" hidden="false" customHeight="true" outlineLevel="0" collapsed="false">
      <c r="B139" s="42"/>
      <c r="C139" s="42"/>
      <c r="D139" s="35"/>
      <c r="E139" s="22"/>
      <c r="F139" s="13" t="n">
        <f aca="false">IFERROR(D139*E139,0)</f>
        <v>0</v>
      </c>
      <c r="G139" s="31"/>
      <c r="H139" s="14"/>
      <c r="L139" s="4" t="s">
        <v>681</v>
      </c>
    </row>
    <row r="140" customFormat="false" ht="15" hidden="false" customHeight="true" outlineLevel="0" collapsed="false">
      <c r="B140" s="42"/>
      <c r="C140" s="42"/>
      <c r="D140" s="35"/>
      <c r="E140" s="22"/>
      <c r="F140" s="13" t="n">
        <f aca="false">IFERROR(D140*E140,0)</f>
        <v>0</v>
      </c>
      <c r="G140" s="31"/>
      <c r="H140" s="14"/>
      <c r="L140" s="4" t="s">
        <v>682</v>
      </c>
    </row>
    <row r="141" customFormat="false" ht="15" hidden="false" customHeight="true" outlineLevel="0" collapsed="false">
      <c r="B141" s="42"/>
      <c r="C141" s="42"/>
      <c r="D141" s="35"/>
      <c r="E141" s="22"/>
      <c r="F141" s="13" t="n">
        <f aca="false">IFERROR(D141*E141,0)</f>
        <v>0</v>
      </c>
      <c r="G141" s="31"/>
      <c r="H141" s="14"/>
      <c r="L141" s="4" t="s">
        <v>683</v>
      </c>
    </row>
    <row r="142" customFormat="false" ht="15" hidden="false" customHeight="true" outlineLevel="0" collapsed="false">
      <c r="B142" s="42"/>
      <c r="C142" s="42"/>
      <c r="D142" s="35"/>
      <c r="E142" s="22"/>
      <c r="F142" s="13" t="n">
        <f aca="false">IFERROR(D142*E142,0)</f>
        <v>0</v>
      </c>
      <c r="G142" s="31"/>
      <c r="H142" s="14"/>
      <c r="L142" s="4" t="s">
        <v>684</v>
      </c>
    </row>
    <row r="143" customFormat="false" ht="15" hidden="false" customHeight="true" outlineLevel="0" collapsed="false">
      <c r="B143" s="42"/>
      <c r="C143" s="42"/>
      <c r="D143" s="35"/>
      <c r="E143" s="22"/>
      <c r="F143" s="13" t="n">
        <f aca="false">IFERROR(D143*E143,0)</f>
        <v>0</v>
      </c>
      <c r="G143" s="31"/>
      <c r="H143" s="14"/>
      <c r="L143" s="4" t="s">
        <v>685</v>
      </c>
    </row>
    <row r="144" customFormat="false" ht="15" hidden="false" customHeight="true" outlineLevel="0" collapsed="false">
      <c r="B144" s="42"/>
      <c r="C144" s="42"/>
      <c r="D144" s="35"/>
      <c r="E144" s="22"/>
      <c r="F144" s="13" t="n">
        <f aca="false">IFERROR(D144*E144,0)</f>
        <v>0</v>
      </c>
      <c r="G144" s="31"/>
      <c r="H144" s="14"/>
      <c r="L144" s="4" t="s">
        <v>686</v>
      </c>
    </row>
    <row r="145" customFormat="false" ht="15" hidden="false" customHeight="true" outlineLevel="0" collapsed="false">
      <c r="B145" s="42"/>
      <c r="C145" s="42"/>
      <c r="D145" s="35"/>
      <c r="E145" s="22"/>
      <c r="F145" s="13" t="n">
        <f aca="false">IFERROR(D145*E145,0)</f>
        <v>0</v>
      </c>
      <c r="G145" s="31"/>
      <c r="H145" s="14"/>
      <c r="L145" s="4" t="s">
        <v>687</v>
      </c>
    </row>
    <row r="146" customFormat="false" ht="15" hidden="false" customHeight="true" outlineLevel="0" collapsed="false">
      <c r="B146" s="42"/>
      <c r="C146" s="42"/>
      <c r="D146" s="35"/>
      <c r="E146" s="22"/>
      <c r="F146" s="13" t="n">
        <f aca="false">IFERROR(D146*E146,0)</f>
        <v>0</v>
      </c>
      <c r="G146" s="31"/>
      <c r="H146" s="14"/>
      <c r="L146" s="4" t="s">
        <v>688</v>
      </c>
    </row>
    <row r="147" customFormat="false" ht="15" hidden="false" customHeight="true" outlineLevel="0" collapsed="false">
      <c r="B147" s="42"/>
      <c r="C147" s="42"/>
      <c r="D147" s="35"/>
      <c r="E147" s="22"/>
      <c r="F147" s="13" t="n">
        <f aca="false">IFERROR(D147*E147,0)</f>
        <v>0</v>
      </c>
      <c r="G147" s="31"/>
      <c r="H147" s="14"/>
      <c r="L147" s="4" t="s">
        <v>689</v>
      </c>
    </row>
    <row r="148" customFormat="false" ht="15" hidden="false" customHeight="true" outlineLevel="0" collapsed="false">
      <c r="B148" s="42"/>
      <c r="C148" s="42"/>
      <c r="D148" s="35"/>
      <c r="E148" s="22"/>
      <c r="F148" s="13" t="n">
        <f aca="false">IFERROR(D148*E148,0)</f>
        <v>0</v>
      </c>
      <c r="G148" s="31"/>
      <c r="H148" s="14"/>
      <c r="L148" s="4" t="s">
        <v>690</v>
      </c>
    </row>
    <row r="149" customFormat="false" ht="15" hidden="false" customHeight="true" outlineLevel="0" collapsed="false">
      <c r="B149" s="42"/>
      <c r="C149" s="42"/>
      <c r="D149" s="35"/>
      <c r="E149" s="22"/>
      <c r="F149" s="13" t="n">
        <f aca="false">IFERROR(D149*E149,0)</f>
        <v>0</v>
      </c>
      <c r="G149" s="31"/>
      <c r="H149" s="14"/>
      <c r="L149" s="4" t="s">
        <v>691</v>
      </c>
    </row>
    <row r="150" customFormat="false" ht="15" hidden="false" customHeight="true" outlineLevel="0" collapsed="false">
      <c r="B150" s="42"/>
      <c r="C150" s="42"/>
      <c r="D150" s="35"/>
      <c r="E150" s="22"/>
      <c r="F150" s="13" t="n">
        <f aca="false">IFERROR(D150*E150,0)</f>
        <v>0</v>
      </c>
      <c r="G150" s="31"/>
      <c r="H150" s="14"/>
      <c r="L150" s="4" t="s">
        <v>692</v>
      </c>
    </row>
    <row r="151" customFormat="false" ht="15" hidden="false" customHeight="true" outlineLevel="0" collapsed="false">
      <c r="B151" s="42"/>
      <c r="C151" s="42"/>
      <c r="D151" s="35"/>
      <c r="E151" s="22"/>
      <c r="F151" s="13" t="n">
        <f aca="false">IFERROR(D151*E151,0)</f>
        <v>0</v>
      </c>
      <c r="G151" s="31"/>
      <c r="H151" s="14"/>
      <c r="L151" s="4" t="s">
        <v>693</v>
      </c>
    </row>
    <row r="152" customFormat="false" ht="15" hidden="false" customHeight="true" outlineLevel="0" collapsed="false">
      <c r="B152" s="42"/>
      <c r="C152" s="42"/>
      <c r="D152" s="35"/>
      <c r="E152" s="22"/>
      <c r="F152" s="13" t="n">
        <f aca="false">IFERROR(D152*E152,0)</f>
        <v>0</v>
      </c>
      <c r="G152" s="31"/>
      <c r="H152" s="14"/>
      <c r="L152" s="4" t="s">
        <v>694</v>
      </c>
    </row>
    <row r="153" customFormat="false" ht="15" hidden="false" customHeight="true" outlineLevel="0" collapsed="false">
      <c r="B153" s="42"/>
      <c r="C153" s="42"/>
      <c r="D153" s="35"/>
      <c r="E153" s="22"/>
      <c r="F153" s="13" t="n">
        <f aca="false">IFERROR(D153*E153,0)</f>
        <v>0</v>
      </c>
      <c r="G153" s="31"/>
      <c r="H153" s="14"/>
      <c r="L153" s="4" t="s">
        <v>695</v>
      </c>
    </row>
    <row r="154" customFormat="false" ht="15" hidden="false" customHeight="true" outlineLevel="0" collapsed="false">
      <c r="B154" s="42"/>
      <c r="C154" s="42"/>
      <c r="D154" s="35"/>
      <c r="E154" s="22"/>
      <c r="F154" s="13" t="n">
        <f aca="false">IFERROR(D154*E154,0)</f>
        <v>0</v>
      </c>
      <c r="G154" s="31"/>
      <c r="H154" s="14"/>
      <c r="L154" s="4" t="s">
        <v>696</v>
      </c>
    </row>
    <row r="155" customFormat="false" ht="15" hidden="false" customHeight="true" outlineLevel="0" collapsed="false">
      <c r="B155" s="42"/>
      <c r="C155" s="42"/>
      <c r="D155" s="35"/>
      <c r="E155" s="22"/>
      <c r="F155" s="13" t="n">
        <f aca="false">IFERROR(D155*E155,0)</f>
        <v>0</v>
      </c>
      <c r="G155" s="31"/>
      <c r="H155" s="14"/>
      <c r="L155" s="4" t="s">
        <v>697</v>
      </c>
    </row>
    <row r="156" customFormat="false" ht="15" hidden="false" customHeight="true" outlineLevel="0" collapsed="false">
      <c r="B156" s="42"/>
      <c r="C156" s="42"/>
      <c r="D156" s="35"/>
      <c r="E156" s="22"/>
      <c r="F156" s="13" t="n">
        <f aca="false">IFERROR(D156*E156,0)</f>
        <v>0</v>
      </c>
      <c r="G156" s="31"/>
      <c r="H156" s="14"/>
      <c r="L156" s="4" t="s">
        <v>698</v>
      </c>
    </row>
    <row r="157" customFormat="false" ht="15" hidden="false" customHeight="true" outlineLevel="0" collapsed="false">
      <c r="B157" s="42"/>
      <c r="C157" s="42"/>
      <c r="D157" s="35"/>
      <c r="E157" s="22"/>
      <c r="F157" s="13" t="n">
        <f aca="false">IFERROR(D157*E157,0)</f>
        <v>0</v>
      </c>
      <c r="G157" s="31"/>
      <c r="H157" s="14"/>
      <c r="L157" s="4" t="s">
        <v>699</v>
      </c>
    </row>
    <row r="158" customFormat="false" ht="15" hidden="false" customHeight="true" outlineLevel="0" collapsed="false">
      <c r="B158" s="42"/>
      <c r="C158" s="42"/>
      <c r="D158" s="35"/>
      <c r="E158" s="22"/>
      <c r="F158" s="13" t="n">
        <f aca="false">IFERROR(D158*E158,0)</f>
        <v>0</v>
      </c>
      <c r="G158" s="31"/>
      <c r="H158" s="14"/>
      <c r="L158" s="4" t="s">
        <v>700</v>
      </c>
    </row>
    <row r="159" customFormat="false" ht="15" hidden="false" customHeight="true" outlineLevel="0" collapsed="false">
      <c r="B159" s="42"/>
      <c r="C159" s="42"/>
      <c r="D159" s="35"/>
      <c r="E159" s="22"/>
      <c r="F159" s="13" t="n">
        <f aca="false">IFERROR(D159*E159,0)</f>
        <v>0</v>
      </c>
      <c r="G159" s="31"/>
      <c r="H159" s="14"/>
      <c r="L159" s="4" t="s">
        <v>701</v>
      </c>
    </row>
    <row r="160" customFormat="false" ht="15" hidden="false" customHeight="true" outlineLevel="0" collapsed="false">
      <c r="B160" s="42"/>
      <c r="C160" s="42"/>
      <c r="D160" s="35"/>
      <c r="E160" s="22"/>
      <c r="F160" s="13" t="n">
        <f aca="false">IFERROR(D160*E160,0)</f>
        <v>0</v>
      </c>
      <c r="G160" s="31"/>
      <c r="H160" s="14"/>
      <c r="L160" s="4" t="s">
        <v>702</v>
      </c>
    </row>
    <row r="161" customFormat="false" ht="15" hidden="false" customHeight="true" outlineLevel="0" collapsed="false">
      <c r="B161" s="42"/>
      <c r="C161" s="42"/>
      <c r="D161" s="35"/>
      <c r="E161" s="22"/>
      <c r="F161" s="13" t="n">
        <f aca="false">IFERROR(D161*E161,0)</f>
        <v>0</v>
      </c>
      <c r="G161" s="31"/>
      <c r="H161" s="14"/>
      <c r="L161" s="4" t="s">
        <v>703</v>
      </c>
    </row>
    <row r="162" customFormat="false" ht="15" hidden="false" customHeight="true" outlineLevel="0" collapsed="false">
      <c r="B162" s="42"/>
      <c r="C162" s="42"/>
      <c r="D162" s="35"/>
      <c r="E162" s="22"/>
      <c r="F162" s="13" t="n">
        <f aca="false">IFERROR(D162*E162,0)</f>
        <v>0</v>
      </c>
      <c r="G162" s="31"/>
      <c r="H162" s="14"/>
      <c r="L162" s="4" t="s">
        <v>704</v>
      </c>
    </row>
    <row r="163" customFormat="false" ht="15" hidden="false" customHeight="true" outlineLevel="0" collapsed="false">
      <c r="B163" s="42"/>
      <c r="C163" s="42"/>
      <c r="D163" s="35"/>
      <c r="E163" s="22"/>
      <c r="F163" s="13" t="n">
        <f aca="false">IFERROR(D163*E163,0)</f>
        <v>0</v>
      </c>
      <c r="G163" s="31"/>
      <c r="H163" s="14"/>
      <c r="L163" s="4" t="s">
        <v>705</v>
      </c>
    </row>
    <row r="164" customFormat="false" ht="15" hidden="false" customHeight="true" outlineLevel="0" collapsed="false">
      <c r="B164" s="42"/>
      <c r="C164" s="42"/>
      <c r="D164" s="35"/>
      <c r="E164" s="22"/>
      <c r="F164" s="13" t="n">
        <f aca="false">IFERROR(D164*E164,0)</f>
        <v>0</v>
      </c>
      <c r="G164" s="31"/>
      <c r="H164" s="14"/>
      <c r="L164" s="4" t="s">
        <v>706</v>
      </c>
    </row>
    <row r="165" customFormat="false" ht="15" hidden="false" customHeight="true" outlineLevel="0" collapsed="false">
      <c r="B165" s="42"/>
      <c r="C165" s="42"/>
      <c r="D165" s="35"/>
      <c r="E165" s="22"/>
      <c r="F165" s="13" t="n">
        <f aca="false">IFERROR(D165*E165,0)</f>
        <v>0</v>
      </c>
      <c r="G165" s="31"/>
      <c r="H165" s="14"/>
      <c r="L165" s="4" t="s">
        <v>707</v>
      </c>
    </row>
    <row r="166" customFormat="false" ht="15" hidden="false" customHeight="true" outlineLevel="0" collapsed="false">
      <c r="B166" s="42"/>
      <c r="C166" s="42"/>
      <c r="D166" s="35"/>
      <c r="E166" s="22"/>
      <c r="F166" s="13" t="n">
        <f aca="false">IFERROR(D166*E166,0)</f>
        <v>0</v>
      </c>
      <c r="G166" s="31"/>
      <c r="H166" s="14"/>
      <c r="L166" s="4" t="s">
        <v>708</v>
      </c>
    </row>
    <row r="167" customFormat="false" ht="15" hidden="false" customHeight="true" outlineLevel="0" collapsed="false">
      <c r="B167" s="42"/>
      <c r="C167" s="42"/>
      <c r="D167" s="35"/>
      <c r="E167" s="22"/>
      <c r="F167" s="13" t="n">
        <f aca="false">IFERROR(D167*E167,0)</f>
        <v>0</v>
      </c>
      <c r="G167" s="31"/>
      <c r="H167" s="14"/>
      <c r="L167" s="4" t="s">
        <v>709</v>
      </c>
    </row>
    <row r="168" customFormat="false" ht="15" hidden="false" customHeight="true" outlineLevel="0" collapsed="false">
      <c r="B168" s="42"/>
      <c r="C168" s="42"/>
      <c r="D168" s="35"/>
      <c r="E168" s="22"/>
      <c r="F168" s="13" t="n">
        <f aca="false">IFERROR(D168*E168,0)</f>
        <v>0</v>
      </c>
      <c r="G168" s="31"/>
      <c r="H168" s="14"/>
      <c r="L168" s="4" t="s">
        <v>710</v>
      </c>
    </row>
    <row r="169" customFormat="false" ht="15" hidden="false" customHeight="true" outlineLevel="0" collapsed="false">
      <c r="B169" s="42"/>
      <c r="C169" s="42"/>
      <c r="D169" s="35"/>
      <c r="E169" s="22"/>
      <c r="F169" s="13" t="n">
        <f aca="false">IFERROR(D169*E169,0)</f>
        <v>0</v>
      </c>
      <c r="G169" s="31"/>
      <c r="H169" s="14"/>
      <c r="L169" s="4" t="s">
        <v>711</v>
      </c>
    </row>
    <row r="170" customFormat="false" ht="15" hidden="false" customHeight="true" outlineLevel="0" collapsed="false">
      <c r="B170" s="42"/>
      <c r="C170" s="42"/>
      <c r="D170" s="35"/>
      <c r="E170" s="22"/>
      <c r="F170" s="13" t="n">
        <f aca="false">IFERROR(D170*E170,0)</f>
        <v>0</v>
      </c>
      <c r="G170" s="31"/>
      <c r="H170" s="14"/>
      <c r="L170" s="4" t="s">
        <v>712</v>
      </c>
    </row>
    <row r="171" customFormat="false" ht="15" hidden="false" customHeight="true" outlineLevel="0" collapsed="false">
      <c r="B171" s="42"/>
      <c r="C171" s="42"/>
      <c r="D171" s="35"/>
      <c r="E171" s="22"/>
      <c r="F171" s="13" t="n">
        <f aca="false">IFERROR(D171*E171,0)</f>
        <v>0</v>
      </c>
      <c r="G171" s="31"/>
      <c r="H171" s="14"/>
      <c r="L171" s="4" t="s">
        <v>713</v>
      </c>
    </row>
    <row r="172" customFormat="false" ht="15" hidden="false" customHeight="true" outlineLevel="0" collapsed="false">
      <c r="B172" s="42"/>
      <c r="C172" s="42"/>
      <c r="D172" s="35"/>
      <c r="E172" s="22"/>
      <c r="F172" s="13" t="n">
        <f aca="false">IFERROR(D172*E172,0)</f>
        <v>0</v>
      </c>
      <c r="G172" s="31"/>
      <c r="H172" s="14"/>
      <c r="L172" s="4" t="s">
        <v>714</v>
      </c>
    </row>
    <row r="173" customFormat="false" ht="15" hidden="false" customHeight="true" outlineLevel="0" collapsed="false">
      <c r="B173" s="42"/>
      <c r="C173" s="42"/>
      <c r="D173" s="35"/>
      <c r="E173" s="22"/>
      <c r="F173" s="13" t="n">
        <f aca="false">IFERROR(D173*E173,0)</f>
        <v>0</v>
      </c>
      <c r="G173" s="31"/>
      <c r="H173" s="14"/>
      <c r="L173" s="4" t="s">
        <v>715</v>
      </c>
    </row>
    <row r="174" customFormat="false" ht="15" hidden="false" customHeight="true" outlineLevel="0" collapsed="false">
      <c r="B174" s="42"/>
      <c r="C174" s="42"/>
      <c r="D174" s="35"/>
      <c r="E174" s="22"/>
      <c r="F174" s="13" t="n">
        <f aca="false">IFERROR(D174*E174,0)</f>
        <v>0</v>
      </c>
      <c r="G174" s="31"/>
      <c r="H174" s="14"/>
      <c r="L174" s="4" t="s">
        <v>716</v>
      </c>
    </row>
    <row r="175" customFormat="false" ht="15" hidden="false" customHeight="true" outlineLevel="0" collapsed="false">
      <c r="B175" s="42"/>
      <c r="C175" s="42"/>
      <c r="D175" s="35"/>
      <c r="E175" s="22"/>
      <c r="F175" s="13" t="n">
        <f aca="false">IFERROR(D175*E175,0)</f>
        <v>0</v>
      </c>
      <c r="G175" s="31"/>
      <c r="H175" s="14"/>
      <c r="L175" s="4" t="s">
        <v>717</v>
      </c>
    </row>
    <row r="176" customFormat="false" ht="15" hidden="false" customHeight="true" outlineLevel="0" collapsed="false">
      <c r="B176" s="42"/>
      <c r="C176" s="42"/>
      <c r="D176" s="35"/>
      <c r="E176" s="22"/>
      <c r="F176" s="13" t="n">
        <f aca="false">IFERROR(D176*E176,0)</f>
        <v>0</v>
      </c>
      <c r="G176" s="31"/>
      <c r="H176" s="14"/>
      <c r="L176" s="4" t="s">
        <v>718</v>
      </c>
    </row>
    <row r="177" customFormat="false" ht="15" hidden="false" customHeight="true" outlineLevel="0" collapsed="false">
      <c r="B177" s="42"/>
      <c r="C177" s="42"/>
      <c r="D177" s="35"/>
      <c r="E177" s="22"/>
      <c r="F177" s="13" t="n">
        <f aca="false">IFERROR(D177*E177,0)</f>
        <v>0</v>
      </c>
      <c r="G177" s="31"/>
      <c r="H177" s="14"/>
      <c r="L177" s="4" t="s">
        <v>719</v>
      </c>
    </row>
    <row r="178" customFormat="false" ht="15" hidden="false" customHeight="true" outlineLevel="0" collapsed="false">
      <c r="B178" s="42"/>
      <c r="C178" s="42"/>
      <c r="D178" s="35"/>
      <c r="E178" s="22"/>
      <c r="F178" s="13" t="n">
        <f aca="false">IFERROR(D178*E178,0)</f>
        <v>0</v>
      </c>
      <c r="G178" s="31"/>
      <c r="H178" s="14"/>
      <c r="L178" s="4" t="s">
        <v>720</v>
      </c>
    </row>
    <row r="179" customFormat="false" ht="15" hidden="false" customHeight="true" outlineLevel="0" collapsed="false">
      <c r="B179" s="42"/>
      <c r="C179" s="42"/>
      <c r="D179" s="35"/>
      <c r="E179" s="22"/>
      <c r="F179" s="13" t="n">
        <f aca="false">IFERROR(D179*E179,0)</f>
        <v>0</v>
      </c>
      <c r="G179" s="31"/>
      <c r="H179" s="14"/>
      <c r="L179" s="4" t="s">
        <v>721</v>
      </c>
    </row>
    <row r="180" customFormat="false" ht="15" hidden="false" customHeight="true" outlineLevel="0" collapsed="false">
      <c r="B180" s="42"/>
      <c r="C180" s="42"/>
      <c r="D180" s="35"/>
      <c r="E180" s="22"/>
      <c r="F180" s="13" t="n">
        <f aca="false">IFERROR(D180*E180,0)</f>
        <v>0</v>
      </c>
      <c r="G180" s="31"/>
      <c r="H180" s="14"/>
      <c r="L180" s="4" t="s">
        <v>722</v>
      </c>
    </row>
    <row r="181" customFormat="false" ht="15" hidden="false" customHeight="true" outlineLevel="0" collapsed="false">
      <c r="B181" s="42"/>
      <c r="C181" s="42"/>
      <c r="D181" s="35"/>
      <c r="E181" s="22"/>
      <c r="F181" s="13" t="n">
        <f aca="false">IFERROR(D181*E181,0)</f>
        <v>0</v>
      </c>
      <c r="G181" s="31"/>
      <c r="H181" s="14"/>
      <c r="L181" s="4" t="s">
        <v>723</v>
      </c>
    </row>
    <row r="182" customFormat="false" ht="15" hidden="false" customHeight="true" outlineLevel="0" collapsed="false">
      <c r="B182" s="42"/>
      <c r="C182" s="42"/>
      <c r="D182" s="35"/>
      <c r="E182" s="22"/>
      <c r="F182" s="13" t="n">
        <f aca="false">IFERROR(D182*E182,0)</f>
        <v>0</v>
      </c>
      <c r="G182" s="31"/>
      <c r="H182" s="14"/>
      <c r="L182" s="4" t="s">
        <v>724</v>
      </c>
    </row>
    <row r="183" customFormat="false" ht="15" hidden="false" customHeight="true" outlineLevel="0" collapsed="false">
      <c r="B183" s="42"/>
      <c r="C183" s="42"/>
      <c r="D183" s="35"/>
      <c r="E183" s="22"/>
      <c r="F183" s="13" t="n">
        <f aca="false">IFERROR(D183*E183,0)</f>
        <v>0</v>
      </c>
      <c r="G183" s="31"/>
      <c r="H183" s="14"/>
      <c r="L183" s="4" t="s">
        <v>725</v>
      </c>
    </row>
    <row r="184" customFormat="false" ht="15" hidden="false" customHeight="true" outlineLevel="0" collapsed="false">
      <c r="B184" s="42"/>
      <c r="C184" s="42"/>
      <c r="D184" s="35"/>
      <c r="E184" s="22"/>
      <c r="F184" s="13" t="n">
        <f aca="false">IFERROR(D184*E184,0)</f>
        <v>0</v>
      </c>
      <c r="G184" s="31"/>
      <c r="H184" s="14"/>
      <c r="L184" s="4" t="s">
        <v>726</v>
      </c>
    </row>
    <row r="185" customFormat="false" ht="15" hidden="false" customHeight="true" outlineLevel="0" collapsed="false">
      <c r="B185" s="42"/>
      <c r="C185" s="42"/>
      <c r="D185" s="35"/>
      <c r="E185" s="22"/>
      <c r="F185" s="13" t="n">
        <f aca="false">IFERROR(D185*E185,0)</f>
        <v>0</v>
      </c>
      <c r="G185" s="31"/>
      <c r="H185" s="14"/>
      <c r="L185" s="4" t="s">
        <v>727</v>
      </c>
    </row>
    <row r="186" customFormat="false" ht="15" hidden="false" customHeight="true" outlineLevel="0" collapsed="false">
      <c r="B186" s="42"/>
      <c r="C186" s="42"/>
      <c r="D186" s="35"/>
      <c r="E186" s="22"/>
      <c r="F186" s="13" t="n">
        <f aca="false">IFERROR(D186*E186,0)</f>
        <v>0</v>
      </c>
      <c r="G186" s="31"/>
      <c r="H186" s="14"/>
      <c r="L186" s="4" t="s">
        <v>728</v>
      </c>
    </row>
    <row r="187" customFormat="false" ht="15" hidden="false" customHeight="true" outlineLevel="0" collapsed="false">
      <c r="B187" s="42"/>
      <c r="C187" s="42"/>
      <c r="D187" s="35"/>
      <c r="E187" s="22"/>
      <c r="F187" s="13" t="n">
        <f aca="false">IFERROR(D187*E187,0)</f>
        <v>0</v>
      </c>
      <c r="G187" s="31"/>
      <c r="H187" s="14"/>
      <c r="L187" s="4" t="s">
        <v>729</v>
      </c>
    </row>
    <row r="188" customFormat="false" ht="15" hidden="false" customHeight="true" outlineLevel="0" collapsed="false">
      <c r="B188" s="42"/>
      <c r="C188" s="42"/>
      <c r="D188" s="35"/>
      <c r="E188" s="22"/>
      <c r="F188" s="13" t="n">
        <f aca="false">IFERROR(D188*E188,0)</f>
        <v>0</v>
      </c>
      <c r="G188" s="31"/>
      <c r="H188" s="14"/>
      <c r="L188" s="4" t="s">
        <v>730</v>
      </c>
    </row>
    <row r="189" customFormat="false" ht="15" hidden="false" customHeight="true" outlineLevel="0" collapsed="false">
      <c r="B189" s="42"/>
      <c r="C189" s="42"/>
      <c r="D189" s="35"/>
      <c r="E189" s="22"/>
      <c r="F189" s="13" t="n">
        <f aca="false">IFERROR(D189*E189,0)</f>
        <v>0</v>
      </c>
      <c r="G189" s="31"/>
      <c r="H189" s="14"/>
      <c r="L189" s="4" t="s">
        <v>731</v>
      </c>
    </row>
    <row r="190" customFormat="false" ht="15" hidden="false" customHeight="true" outlineLevel="0" collapsed="false">
      <c r="B190" s="42"/>
      <c r="C190" s="42"/>
      <c r="D190" s="35"/>
      <c r="E190" s="22"/>
      <c r="F190" s="13" t="n">
        <f aca="false">IFERROR(D190*E190,0)</f>
        <v>0</v>
      </c>
      <c r="G190" s="31"/>
      <c r="H190" s="14"/>
      <c r="L190" s="4" t="s">
        <v>732</v>
      </c>
    </row>
    <row r="191" customFormat="false" ht="15" hidden="false" customHeight="true" outlineLevel="0" collapsed="false">
      <c r="B191" s="42"/>
      <c r="C191" s="42"/>
      <c r="D191" s="35"/>
      <c r="E191" s="22"/>
      <c r="F191" s="13" t="n">
        <f aca="false">IFERROR(D191*E191,0)</f>
        <v>0</v>
      </c>
      <c r="G191" s="31"/>
      <c r="H191" s="14"/>
      <c r="L191" s="4" t="s">
        <v>733</v>
      </c>
    </row>
    <row r="192" customFormat="false" ht="15" hidden="false" customHeight="true" outlineLevel="0" collapsed="false">
      <c r="B192" s="42"/>
      <c r="C192" s="42"/>
      <c r="D192" s="35"/>
      <c r="E192" s="22"/>
      <c r="F192" s="13" t="n">
        <f aca="false">IFERROR(D192*E192,0)</f>
        <v>0</v>
      </c>
      <c r="G192" s="31"/>
      <c r="H192" s="14"/>
      <c r="L192" s="4" t="s">
        <v>734</v>
      </c>
    </row>
    <row r="193" customFormat="false" ht="15" hidden="false" customHeight="true" outlineLevel="0" collapsed="false">
      <c r="B193" s="42"/>
      <c r="C193" s="42"/>
      <c r="D193" s="35"/>
      <c r="E193" s="22"/>
      <c r="F193" s="13" t="n">
        <f aca="false">IFERROR(D193*E193,0)</f>
        <v>0</v>
      </c>
      <c r="G193" s="31"/>
      <c r="H193" s="14"/>
      <c r="L193" s="4" t="s">
        <v>735</v>
      </c>
    </row>
    <row r="194" customFormat="false" ht="15" hidden="false" customHeight="true" outlineLevel="0" collapsed="false">
      <c r="B194" s="42"/>
      <c r="C194" s="42"/>
      <c r="D194" s="35"/>
      <c r="E194" s="22"/>
      <c r="F194" s="13" t="n">
        <f aca="false">IFERROR(D194*E194,0)</f>
        <v>0</v>
      </c>
      <c r="G194" s="31"/>
      <c r="H194" s="14"/>
      <c r="L194" s="4" t="s">
        <v>736</v>
      </c>
    </row>
    <row r="195" customFormat="false" ht="15" hidden="false" customHeight="true" outlineLevel="0" collapsed="false">
      <c r="B195" s="42"/>
      <c r="C195" s="42"/>
      <c r="D195" s="35"/>
      <c r="E195" s="22"/>
      <c r="F195" s="13" t="n">
        <f aca="false">IFERROR(D195*E195,0)</f>
        <v>0</v>
      </c>
      <c r="G195" s="31"/>
      <c r="H195" s="14"/>
      <c r="L195" s="4" t="s">
        <v>737</v>
      </c>
    </row>
    <row r="196" customFormat="false" ht="15" hidden="false" customHeight="true" outlineLevel="0" collapsed="false">
      <c r="B196" s="42"/>
      <c r="C196" s="42"/>
      <c r="D196" s="35"/>
      <c r="E196" s="22"/>
      <c r="F196" s="13" t="n">
        <f aca="false">IFERROR(D196*E196,0)</f>
        <v>0</v>
      </c>
      <c r="G196" s="31"/>
      <c r="H196" s="14"/>
      <c r="L196" s="4" t="s">
        <v>738</v>
      </c>
    </row>
    <row r="197" customFormat="false" ht="15" hidden="false" customHeight="true" outlineLevel="0" collapsed="false">
      <c r="B197" s="42"/>
      <c r="C197" s="42"/>
      <c r="D197" s="35"/>
      <c r="E197" s="22"/>
      <c r="F197" s="13" t="n">
        <f aca="false">IFERROR(D197*E197,0)</f>
        <v>0</v>
      </c>
      <c r="G197" s="31"/>
      <c r="H197" s="14"/>
      <c r="L197" s="4" t="s">
        <v>739</v>
      </c>
    </row>
    <row r="198" customFormat="false" ht="15" hidden="false" customHeight="true" outlineLevel="0" collapsed="false">
      <c r="B198" s="42"/>
      <c r="C198" s="42"/>
      <c r="D198" s="35"/>
      <c r="E198" s="22"/>
      <c r="F198" s="13" t="n">
        <f aca="false">IFERROR(D198*E198,0)</f>
        <v>0</v>
      </c>
      <c r="G198" s="31"/>
      <c r="H198" s="14"/>
      <c r="L198" s="4" t="s">
        <v>740</v>
      </c>
    </row>
    <row r="199" customFormat="false" ht="15" hidden="false" customHeight="true" outlineLevel="0" collapsed="false">
      <c r="B199" s="42"/>
      <c r="C199" s="42"/>
      <c r="D199" s="35"/>
      <c r="E199" s="22"/>
      <c r="F199" s="13" t="n">
        <f aca="false">IFERROR(D199*E199,0)</f>
        <v>0</v>
      </c>
      <c r="G199" s="31"/>
      <c r="H199" s="14"/>
      <c r="L199" s="4" t="s">
        <v>741</v>
      </c>
    </row>
    <row r="200" customFormat="false" ht="15" hidden="false" customHeight="true" outlineLevel="0" collapsed="false">
      <c r="B200" s="42"/>
      <c r="C200" s="42"/>
      <c r="D200" s="35"/>
      <c r="E200" s="22"/>
      <c r="F200" s="13" t="n">
        <f aca="false">IFERROR(D200*E200,0)</f>
        <v>0</v>
      </c>
      <c r="G200" s="31"/>
      <c r="H200" s="14"/>
      <c r="L200" s="4" t="s">
        <v>742</v>
      </c>
    </row>
    <row r="201" customFormat="false" ht="15" hidden="false" customHeight="true" outlineLevel="0" collapsed="false">
      <c r="B201" s="42"/>
      <c r="C201" s="42"/>
      <c r="D201" s="35"/>
      <c r="E201" s="22"/>
      <c r="F201" s="13" t="n">
        <f aca="false">IFERROR(D201*E201,0)</f>
        <v>0</v>
      </c>
      <c r="G201" s="31"/>
      <c r="H201" s="14"/>
      <c r="L201" s="4" t="s">
        <v>743</v>
      </c>
    </row>
    <row r="202" customFormat="false" ht="15" hidden="false" customHeight="true" outlineLevel="0" collapsed="false">
      <c r="B202" s="42"/>
      <c r="C202" s="42"/>
      <c r="D202" s="35"/>
      <c r="E202" s="22"/>
      <c r="F202" s="13" t="n">
        <f aca="false">IFERROR(D202*E202,0)</f>
        <v>0</v>
      </c>
      <c r="G202" s="31"/>
      <c r="H202" s="14"/>
      <c r="L202" s="4" t="s">
        <v>744</v>
      </c>
    </row>
    <row r="203" customFormat="false" ht="15" hidden="false" customHeight="true" outlineLevel="0" collapsed="false">
      <c r="B203" s="42"/>
      <c r="C203" s="42"/>
      <c r="D203" s="35"/>
      <c r="E203" s="22"/>
      <c r="F203" s="13" t="n">
        <f aca="false">IFERROR(D203*E203,0)</f>
        <v>0</v>
      </c>
      <c r="G203" s="31"/>
      <c r="H203" s="14"/>
      <c r="L203" s="4" t="s">
        <v>745</v>
      </c>
    </row>
    <row r="204" customFormat="false" ht="15" hidden="false" customHeight="true" outlineLevel="0" collapsed="false">
      <c r="B204" s="42"/>
      <c r="C204" s="42"/>
      <c r="D204" s="35"/>
      <c r="E204" s="22"/>
      <c r="F204" s="13" t="n">
        <f aca="false">IFERROR(D204*E204,0)</f>
        <v>0</v>
      </c>
      <c r="G204" s="31"/>
      <c r="H204" s="14"/>
      <c r="L204" s="4" t="s">
        <v>746</v>
      </c>
    </row>
    <row r="205" customFormat="false" ht="15" hidden="false" customHeight="true" outlineLevel="0" collapsed="false">
      <c r="B205" s="42"/>
      <c r="C205" s="42"/>
      <c r="D205" s="35"/>
      <c r="E205" s="22"/>
      <c r="F205" s="13" t="n">
        <f aca="false">IFERROR(D205*E205,0)</f>
        <v>0</v>
      </c>
      <c r="G205" s="31"/>
      <c r="H205" s="14"/>
      <c r="L205" s="4" t="s">
        <v>747</v>
      </c>
    </row>
    <row r="206" customFormat="false" ht="15" hidden="false" customHeight="true" outlineLevel="0" collapsed="false">
      <c r="B206" s="42"/>
      <c r="C206" s="42"/>
      <c r="D206" s="35"/>
      <c r="E206" s="22"/>
      <c r="F206" s="13" t="n">
        <f aca="false">IFERROR(D206*E206,0)</f>
        <v>0</v>
      </c>
      <c r="G206" s="31"/>
      <c r="H206" s="14"/>
      <c r="L206" s="4" t="s">
        <v>748</v>
      </c>
    </row>
    <row r="207" customFormat="false" ht="15" hidden="false" customHeight="true" outlineLevel="0" collapsed="false">
      <c r="B207" s="42"/>
      <c r="C207" s="42"/>
      <c r="D207" s="35"/>
      <c r="E207" s="22"/>
      <c r="F207" s="13" t="n">
        <f aca="false">IFERROR(D207*E207,0)</f>
        <v>0</v>
      </c>
      <c r="G207" s="31"/>
      <c r="H207" s="14"/>
      <c r="L207" s="4" t="s">
        <v>749</v>
      </c>
    </row>
    <row r="208" customFormat="false" ht="15" hidden="false" customHeight="true" outlineLevel="0" collapsed="false">
      <c r="B208" s="42"/>
      <c r="C208" s="42"/>
      <c r="D208" s="35"/>
      <c r="E208" s="22"/>
      <c r="F208" s="13" t="n">
        <f aca="false">IFERROR(D208*E208,0)</f>
        <v>0</v>
      </c>
      <c r="G208" s="31"/>
      <c r="H208" s="14"/>
      <c r="L208" s="4" t="s">
        <v>750</v>
      </c>
    </row>
    <row r="209" customFormat="false" ht="15" hidden="false" customHeight="true" outlineLevel="0" collapsed="false">
      <c r="B209" s="42"/>
      <c r="C209" s="42"/>
      <c r="D209" s="35"/>
      <c r="E209" s="22"/>
      <c r="F209" s="13" t="n">
        <f aca="false">IFERROR(D209*E209,0)</f>
        <v>0</v>
      </c>
      <c r="G209" s="31"/>
      <c r="H209" s="14"/>
      <c r="L209" s="4" t="s">
        <v>751</v>
      </c>
    </row>
    <row r="210" customFormat="false" ht="15" hidden="false" customHeight="true" outlineLevel="0" collapsed="false">
      <c r="B210" s="42"/>
      <c r="C210" s="42"/>
      <c r="D210" s="35"/>
      <c r="E210" s="22"/>
      <c r="F210" s="13" t="n">
        <f aca="false">IFERROR(D210*E210,0)</f>
        <v>0</v>
      </c>
      <c r="G210" s="31"/>
      <c r="H210" s="14"/>
      <c r="L210" s="4" t="s">
        <v>752</v>
      </c>
    </row>
    <row r="211" customFormat="false" ht="15" hidden="false" customHeight="true" outlineLevel="0" collapsed="false">
      <c r="B211" s="42"/>
      <c r="C211" s="42"/>
      <c r="D211" s="35"/>
      <c r="E211" s="22"/>
      <c r="F211" s="13" t="n">
        <f aca="false">IFERROR(D211*E211,0)</f>
        <v>0</v>
      </c>
      <c r="G211" s="31"/>
      <c r="H211" s="14"/>
      <c r="L211" s="4" t="s">
        <v>753</v>
      </c>
    </row>
    <row r="212" customFormat="false" ht="15" hidden="false" customHeight="true" outlineLevel="0" collapsed="false">
      <c r="B212" s="42"/>
      <c r="C212" s="42"/>
      <c r="D212" s="35"/>
      <c r="E212" s="22"/>
      <c r="F212" s="13" t="n">
        <f aca="false">IFERROR(D212*E212,0)</f>
        <v>0</v>
      </c>
      <c r="G212" s="31"/>
      <c r="H212" s="14"/>
      <c r="L212" s="4" t="s">
        <v>754</v>
      </c>
    </row>
    <row r="213" customFormat="false" ht="15" hidden="false" customHeight="true" outlineLevel="0" collapsed="false">
      <c r="B213" s="42"/>
      <c r="C213" s="42"/>
      <c r="D213" s="35"/>
      <c r="E213" s="22"/>
      <c r="F213" s="13" t="n">
        <f aca="false">IFERROR(D213*E213,0)</f>
        <v>0</v>
      </c>
      <c r="G213" s="31"/>
      <c r="H213" s="14"/>
      <c r="L213" s="4" t="s">
        <v>755</v>
      </c>
    </row>
    <row r="214" customFormat="false" ht="15" hidden="false" customHeight="true" outlineLevel="0" collapsed="false">
      <c r="B214" s="42"/>
      <c r="C214" s="42"/>
      <c r="D214" s="35"/>
      <c r="E214" s="22"/>
      <c r="F214" s="13" t="n">
        <f aca="false">IFERROR(D214*E214,0)</f>
        <v>0</v>
      </c>
      <c r="G214" s="31"/>
      <c r="H214" s="14"/>
      <c r="L214" s="4" t="s">
        <v>756</v>
      </c>
    </row>
    <row r="215" customFormat="false" ht="15" hidden="false" customHeight="true" outlineLevel="0" collapsed="false">
      <c r="B215" s="42"/>
      <c r="C215" s="42"/>
      <c r="D215" s="35"/>
      <c r="E215" s="22"/>
      <c r="F215" s="13" t="n">
        <f aca="false">IFERROR(D215*E215,0)</f>
        <v>0</v>
      </c>
      <c r="G215" s="31"/>
      <c r="H215" s="14"/>
      <c r="L215" s="4" t="s">
        <v>757</v>
      </c>
    </row>
    <row r="216" customFormat="false" ht="15" hidden="false" customHeight="true" outlineLevel="0" collapsed="false">
      <c r="B216" s="42"/>
      <c r="C216" s="42"/>
      <c r="D216" s="35"/>
      <c r="E216" s="22"/>
      <c r="F216" s="13" t="n">
        <f aca="false">IFERROR(D216*E216,0)</f>
        <v>0</v>
      </c>
      <c r="G216" s="31"/>
      <c r="H216" s="14"/>
      <c r="L216" s="4" t="s">
        <v>758</v>
      </c>
    </row>
    <row r="217" customFormat="false" ht="15" hidden="false" customHeight="true" outlineLevel="0" collapsed="false">
      <c r="B217" s="42"/>
      <c r="C217" s="42"/>
      <c r="D217" s="35"/>
      <c r="E217" s="22"/>
      <c r="F217" s="13" t="n">
        <f aca="false">IFERROR(D217*E217,0)</f>
        <v>0</v>
      </c>
      <c r="G217" s="31"/>
      <c r="H217" s="14"/>
      <c r="L217" s="4" t="s">
        <v>759</v>
      </c>
    </row>
    <row r="218" customFormat="false" ht="15" hidden="false" customHeight="true" outlineLevel="0" collapsed="false">
      <c r="B218" s="42"/>
      <c r="C218" s="42"/>
      <c r="D218" s="35"/>
      <c r="E218" s="22"/>
      <c r="F218" s="13" t="n">
        <f aca="false">IFERROR(D218*E218,0)</f>
        <v>0</v>
      </c>
      <c r="G218" s="31"/>
      <c r="H218" s="14"/>
      <c r="L218" s="4" t="s">
        <v>760</v>
      </c>
    </row>
    <row r="219" customFormat="false" ht="15" hidden="false" customHeight="true" outlineLevel="0" collapsed="false">
      <c r="B219" s="42"/>
      <c r="C219" s="42"/>
      <c r="D219" s="35"/>
      <c r="E219" s="22"/>
      <c r="F219" s="13" t="n">
        <f aca="false">IFERROR(D219*E219,0)</f>
        <v>0</v>
      </c>
      <c r="G219" s="31"/>
      <c r="H219" s="14"/>
      <c r="L219" s="4" t="s">
        <v>761</v>
      </c>
    </row>
    <row r="220" customFormat="false" ht="15" hidden="false" customHeight="true" outlineLevel="0" collapsed="false">
      <c r="B220" s="42"/>
      <c r="C220" s="42"/>
      <c r="D220" s="35"/>
      <c r="E220" s="22"/>
      <c r="F220" s="13" t="n">
        <f aca="false">IFERROR(D220*E220,0)</f>
        <v>0</v>
      </c>
      <c r="G220" s="31"/>
      <c r="H220" s="14"/>
      <c r="L220" s="4" t="s">
        <v>762</v>
      </c>
    </row>
    <row r="221" customFormat="false" ht="15" hidden="false" customHeight="true" outlineLevel="0" collapsed="false">
      <c r="B221" s="42"/>
      <c r="C221" s="42"/>
      <c r="D221" s="35"/>
      <c r="E221" s="22"/>
      <c r="F221" s="13" t="n">
        <f aca="false">IFERROR(D221*E221,0)</f>
        <v>0</v>
      </c>
      <c r="G221" s="31"/>
      <c r="H221" s="14"/>
      <c r="L221" s="4" t="s">
        <v>763</v>
      </c>
    </row>
    <row r="222" customFormat="false" ht="15" hidden="false" customHeight="true" outlineLevel="0" collapsed="false">
      <c r="B222" s="42"/>
      <c r="C222" s="42"/>
      <c r="D222" s="35"/>
      <c r="E222" s="22"/>
      <c r="F222" s="13" t="n">
        <f aca="false">IFERROR(D222*E222,0)</f>
        <v>0</v>
      </c>
      <c r="G222" s="31"/>
      <c r="H222" s="14"/>
      <c r="L222" s="4" t="s">
        <v>764</v>
      </c>
    </row>
    <row r="223" customFormat="false" ht="15" hidden="false" customHeight="true" outlineLevel="0" collapsed="false">
      <c r="B223" s="42"/>
      <c r="C223" s="42"/>
      <c r="D223" s="35"/>
      <c r="E223" s="22"/>
      <c r="F223" s="13" t="n">
        <f aca="false">IFERROR(D223*E223,0)</f>
        <v>0</v>
      </c>
      <c r="G223" s="31"/>
      <c r="H223" s="14"/>
      <c r="L223" s="4" t="s">
        <v>765</v>
      </c>
    </row>
    <row r="224" customFormat="false" ht="15" hidden="false" customHeight="true" outlineLevel="0" collapsed="false">
      <c r="B224" s="42"/>
      <c r="C224" s="42"/>
      <c r="D224" s="35"/>
      <c r="E224" s="22"/>
      <c r="F224" s="13" t="n">
        <f aca="false">IFERROR(D224*E224,0)</f>
        <v>0</v>
      </c>
      <c r="G224" s="31"/>
      <c r="H224" s="14"/>
      <c r="L224" s="4" t="s">
        <v>766</v>
      </c>
    </row>
    <row r="225" customFormat="false" ht="15" hidden="false" customHeight="true" outlineLevel="0" collapsed="false">
      <c r="B225" s="42"/>
      <c r="C225" s="42"/>
      <c r="D225" s="35"/>
      <c r="E225" s="22"/>
      <c r="F225" s="13" t="n">
        <f aca="false">IFERROR(D225*E225,0)</f>
        <v>0</v>
      </c>
      <c r="G225" s="31"/>
      <c r="H225" s="14"/>
      <c r="L225" s="4" t="s">
        <v>767</v>
      </c>
    </row>
    <row r="226" customFormat="false" ht="15" hidden="false" customHeight="true" outlineLevel="0" collapsed="false">
      <c r="B226" s="42"/>
      <c r="C226" s="42"/>
      <c r="D226" s="35"/>
      <c r="E226" s="22"/>
      <c r="F226" s="13" t="n">
        <f aca="false">IFERROR(D226*E226,0)</f>
        <v>0</v>
      </c>
      <c r="G226" s="31"/>
      <c r="H226" s="14"/>
      <c r="L226" s="4" t="s">
        <v>768</v>
      </c>
    </row>
    <row r="227" customFormat="false" ht="15" hidden="false" customHeight="true" outlineLevel="0" collapsed="false">
      <c r="B227" s="42"/>
      <c r="C227" s="42"/>
      <c r="D227" s="35"/>
      <c r="E227" s="22"/>
      <c r="F227" s="13" t="n">
        <f aca="false">IFERROR(D227*E227,0)</f>
        <v>0</v>
      </c>
      <c r="G227" s="31"/>
      <c r="H227" s="14"/>
      <c r="L227" s="4" t="s">
        <v>769</v>
      </c>
    </row>
    <row r="228" customFormat="false" ht="15" hidden="false" customHeight="true" outlineLevel="0" collapsed="false">
      <c r="B228" s="42"/>
      <c r="C228" s="42"/>
      <c r="D228" s="35"/>
      <c r="E228" s="22"/>
      <c r="F228" s="13" t="n">
        <f aca="false">IFERROR(D228*E228,0)</f>
        <v>0</v>
      </c>
      <c r="G228" s="31"/>
      <c r="H228" s="14"/>
      <c r="L228" s="4" t="s">
        <v>770</v>
      </c>
    </row>
    <row r="229" customFormat="false" ht="15" hidden="false" customHeight="true" outlineLevel="0" collapsed="false">
      <c r="B229" s="42"/>
      <c r="C229" s="42"/>
      <c r="D229" s="35"/>
      <c r="E229" s="22"/>
      <c r="F229" s="13" t="n">
        <f aca="false">IFERROR(D229*E229,0)</f>
        <v>0</v>
      </c>
      <c r="G229" s="31"/>
      <c r="H229" s="14"/>
      <c r="L229" s="4" t="s">
        <v>771</v>
      </c>
    </row>
    <row r="230" customFormat="false" ht="15" hidden="false" customHeight="true" outlineLevel="0" collapsed="false">
      <c r="B230" s="42"/>
      <c r="C230" s="42"/>
      <c r="D230" s="35"/>
      <c r="E230" s="22"/>
      <c r="F230" s="13" t="n">
        <f aca="false">IFERROR(D230*E230,0)</f>
        <v>0</v>
      </c>
      <c r="G230" s="31"/>
      <c r="H230" s="14"/>
      <c r="L230" s="4" t="s">
        <v>772</v>
      </c>
    </row>
    <row r="231" customFormat="false" ht="15" hidden="false" customHeight="true" outlineLevel="0" collapsed="false">
      <c r="B231" s="42"/>
      <c r="C231" s="42"/>
      <c r="D231" s="35"/>
      <c r="E231" s="22"/>
      <c r="F231" s="13" t="n">
        <f aca="false">IFERROR(D231*E231,0)</f>
        <v>0</v>
      </c>
      <c r="G231" s="31"/>
      <c r="H231" s="14"/>
      <c r="L231" s="4" t="s">
        <v>773</v>
      </c>
    </row>
    <row r="232" customFormat="false" ht="15" hidden="false" customHeight="true" outlineLevel="0" collapsed="false">
      <c r="B232" s="42"/>
      <c r="C232" s="42"/>
      <c r="D232" s="35"/>
      <c r="E232" s="22"/>
      <c r="F232" s="13" t="n">
        <f aca="false">IFERROR(D232*E232,0)</f>
        <v>0</v>
      </c>
      <c r="G232" s="31"/>
      <c r="H232" s="14"/>
      <c r="L232" s="4" t="s">
        <v>774</v>
      </c>
    </row>
    <row r="233" customFormat="false" ht="15" hidden="false" customHeight="true" outlineLevel="0" collapsed="false">
      <c r="B233" s="42"/>
      <c r="C233" s="42"/>
      <c r="D233" s="35"/>
      <c r="E233" s="22"/>
      <c r="F233" s="13" t="n">
        <f aca="false">IFERROR(D233*E233,0)</f>
        <v>0</v>
      </c>
      <c r="G233" s="31"/>
      <c r="H233" s="14"/>
      <c r="L233" s="4" t="s">
        <v>775</v>
      </c>
    </row>
    <row r="234" customFormat="false" ht="15" hidden="false" customHeight="true" outlineLevel="0" collapsed="false">
      <c r="B234" s="42"/>
      <c r="C234" s="42"/>
      <c r="D234" s="35"/>
      <c r="E234" s="22"/>
      <c r="F234" s="13" t="n">
        <f aca="false">IFERROR(D234*E234,0)</f>
        <v>0</v>
      </c>
      <c r="G234" s="31"/>
      <c r="H234" s="14"/>
      <c r="L234" s="4" t="s">
        <v>776</v>
      </c>
    </row>
    <row r="235" customFormat="false" ht="15" hidden="false" customHeight="true" outlineLevel="0" collapsed="false">
      <c r="B235" s="42"/>
      <c r="C235" s="42"/>
      <c r="D235" s="35"/>
      <c r="E235" s="22"/>
      <c r="F235" s="13" t="n">
        <f aca="false">IFERROR(D235*E235,0)</f>
        <v>0</v>
      </c>
      <c r="G235" s="31"/>
      <c r="H235" s="14"/>
      <c r="L235" s="4" t="s">
        <v>777</v>
      </c>
    </row>
    <row r="236" customFormat="false" ht="15" hidden="false" customHeight="true" outlineLevel="0" collapsed="false">
      <c r="B236" s="42"/>
      <c r="C236" s="42"/>
      <c r="D236" s="35"/>
      <c r="E236" s="22"/>
      <c r="F236" s="13" t="n">
        <f aca="false">IFERROR(D236*E236,0)</f>
        <v>0</v>
      </c>
      <c r="G236" s="31"/>
      <c r="H236" s="14"/>
      <c r="L236" s="4" t="s">
        <v>778</v>
      </c>
    </row>
    <row r="237" customFormat="false" ht="15" hidden="false" customHeight="true" outlineLevel="0" collapsed="false">
      <c r="B237" s="42"/>
      <c r="C237" s="42"/>
      <c r="D237" s="35"/>
      <c r="E237" s="22"/>
      <c r="F237" s="13" t="n">
        <f aca="false">IFERROR(D237*E237,0)</f>
        <v>0</v>
      </c>
      <c r="G237" s="31"/>
      <c r="H237" s="14"/>
      <c r="L237" s="4" t="s">
        <v>779</v>
      </c>
    </row>
    <row r="238" customFormat="false" ht="15" hidden="false" customHeight="true" outlineLevel="0" collapsed="false">
      <c r="B238" s="42"/>
      <c r="C238" s="42"/>
      <c r="D238" s="35"/>
      <c r="E238" s="22"/>
      <c r="F238" s="13" t="n">
        <f aca="false">IFERROR(D238*E238,0)</f>
        <v>0</v>
      </c>
      <c r="G238" s="31"/>
      <c r="H238" s="14"/>
      <c r="L238" s="4" t="s">
        <v>780</v>
      </c>
    </row>
    <row r="239" customFormat="false" ht="15" hidden="false" customHeight="true" outlineLevel="0" collapsed="false">
      <c r="B239" s="42"/>
      <c r="C239" s="42"/>
      <c r="D239" s="35"/>
      <c r="E239" s="22"/>
      <c r="F239" s="13" t="n">
        <f aca="false">IFERROR(D239*E239,0)</f>
        <v>0</v>
      </c>
      <c r="G239" s="31"/>
      <c r="H239" s="14"/>
      <c r="L239" s="4" t="s">
        <v>781</v>
      </c>
    </row>
    <row r="240" customFormat="false" ht="15" hidden="false" customHeight="true" outlineLevel="0" collapsed="false">
      <c r="B240" s="42"/>
      <c r="C240" s="42"/>
      <c r="D240" s="35"/>
      <c r="E240" s="22"/>
      <c r="F240" s="13" t="n">
        <f aca="false">IFERROR(D240*E240,0)</f>
        <v>0</v>
      </c>
      <c r="G240" s="31"/>
      <c r="H240" s="14"/>
      <c r="L240" s="4" t="s">
        <v>782</v>
      </c>
    </row>
    <row r="241" customFormat="false" ht="15" hidden="false" customHeight="true" outlineLevel="0" collapsed="false">
      <c r="B241" s="42"/>
      <c r="C241" s="42"/>
      <c r="D241" s="35"/>
      <c r="E241" s="22"/>
      <c r="F241" s="13" t="n">
        <f aca="false">IFERROR(D241*E241,0)</f>
        <v>0</v>
      </c>
      <c r="G241" s="31"/>
      <c r="H241" s="14"/>
      <c r="L241" s="4" t="s">
        <v>783</v>
      </c>
    </row>
    <row r="242" customFormat="false" ht="15" hidden="false" customHeight="true" outlineLevel="0" collapsed="false">
      <c r="B242" s="42"/>
      <c r="C242" s="42"/>
      <c r="D242" s="35"/>
      <c r="E242" s="22"/>
      <c r="F242" s="13" t="n">
        <f aca="false">IFERROR(D242*E242,0)</f>
        <v>0</v>
      </c>
      <c r="G242" s="31"/>
      <c r="H242" s="14"/>
      <c r="L242" s="4" t="s">
        <v>784</v>
      </c>
    </row>
    <row r="243" customFormat="false" ht="15" hidden="false" customHeight="true" outlineLevel="0" collapsed="false">
      <c r="B243" s="42"/>
      <c r="C243" s="42"/>
      <c r="D243" s="35"/>
      <c r="E243" s="22"/>
      <c r="F243" s="13" t="n">
        <f aca="false">IFERROR(D243*E243,0)</f>
        <v>0</v>
      </c>
      <c r="G243" s="31"/>
      <c r="H243" s="14"/>
      <c r="L243" s="4" t="s">
        <v>785</v>
      </c>
    </row>
    <row r="244" customFormat="false" ht="15" hidden="false" customHeight="true" outlineLevel="0" collapsed="false">
      <c r="B244" s="42"/>
      <c r="C244" s="42"/>
      <c r="D244" s="35"/>
      <c r="E244" s="22"/>
      <c r="F244" s="13" t="n">
        <f aca="false">IFERROR(D244*E244,0)</f>
        <v>0</v>
      </c>
      <c r="G244" s="31"/>
      <c r="H244" s="14"/>
      <c r="L244" s="4" t="s">
        <v>786</v>
      </c>
    </row>
    <row r="245" customFormat="false" ht="15" hidden="false" customHeight="true" outlineLevel="0" collapsed="false">
      <c r="B245" s="42"/>
      <c r="C245" s="42"/>
      <c r="D245" s="35"/>
      <c r="E245" s="22"/>
      <c r="F245" s="13" t="n">
        <f aca="false">IFERROR(D245*E245,0)</f>
        <v>0</v>
      </c>
      <c r="G245" s="31"/>
      <c r="H245" s="14"/>
      <c r="L245" s="4" t="s">
        <v>787</v>
      </c>
    </row>
    <row r="246" customFormat="false" ht="15" hidden="false" customHeight="true" outlineLevel="0" collapsed="false">
      <c r="B246" s="42"/>
      <c r="C246" s="42"/>
      <c r="D246" s="35"/>
      <c r="E246" s="22"/>
      <c r="F246" s="13" t="n">
        <f aca="false">IFERROR(D246*E246,0)</f>
        <v>0</v>
      </c>
      <c r="G246" s="31"/>
      <c r="H246" s="14"/>
      <c r="L246" s="4" t="s">
        <v>788</v>
      </c>
    </row>
    <row r="247" customFormat="false" ht="15" hidden="false" customHeight="true" outlineLevel="0" collapsed="false">
      <c r="B247" s="42"/>
      <c r="C247" s="42"/>
      <c r="D247" s="35"/>
      <c r="E247" s="22"/>
      <c r="F247" s="13" t="n">
        <f aca="false">IFERROR(D247*E247,0)</f>
        <v>0</v>
      </c>
      <c r="G247" s="31"/>
      <c r="H247" s="14"/>
      <c r="L247" s="4" t="s">
        <v>789</v>
      </c>
    </row>
    <row r="248" customFormat="false" ht="15" hidden="false" customHeight="true" outlineLevel="0" collapsed="false">
      <c r="B248" s="42"/>
      <c r="C248" s="42"/>
      <c r="D248" s="35"/>
      <c r="E248" s="22"/>
      <c r="F248" s="13" t="n">
        <f aca="false">IFERROR(D248*E248,0)</f>
        <v>0</v>
      </c>
      <c r="G248" s="31"/>
      <c r="H248" s="14"/>
      <c r="L248" s="4" t="s">
        <v>790</v>
      </c>
    </row>
    <row r="249" customFormat="false" ht="15" hidden="false" customHeight="true" outlineLevel="0" collapsed="false">
      <c r="B249" s="42"/>
      <c r="C249" s="42"/>
      <c r="D249" s="35"/>
      <c r="E249" s="22"/>
      <c r="F249" s="13" t="n">
        <f aca="false">IFERROR(D249*E249,0)</f>
        <v>0</v>
      </c>
      <c r="G249" s="31"/>
      <c r="H249" s="14"/>
      <c r="L249" s="4" t="s">
        <v>791</v>
      </c>
    </row>
    <row r="250" customFormat="false" ht="15" hidden="false" customHeight="true" outlineLevel="0" collapsed="false">
      <c r="B250" s="42"/>
      <c r="C250" s="42"/>
      <c r="D250" s="35"/>
      <c r="E250" s="22"/>
      <c r="F250" s="13" t="n">
        <f aca="false">IFERROR(D250*E250,0)</f>
        <v>0</v>
      </c>
      <c r="G250" s="31"/>
      <c r="H250" s="14"/>
      <c r="L250" s="4" t="s">
        <v>792</v>
      </c>
    </row>
    <row r="251" customFormat="false" ht="15" hidden="false" customHeight="true" outlineLevel="0" collapsed="false">
      <c r="B251" s="42"/>
      <c r="C251" s="42"/>
      <c r="D251" s="35"/>
      <c r="E251" s="22"/>
      <c r="F251" s="13" t="n">
        <f aca="false">IFERROR(D251*E251,0)</f>
        <v>0</v>
      </c>
      <c r="G251" s="31"/>
      <c r="H251" s="14"/>
      <c r="L251" s="4" t="s">
        <v>793</v>
      </c>
    </row>
    <row r="252" customFormat="false" ht="15" hidden="false" customHeight="true" outlineLevel="0" collapsed="false">
      <c r="B252" s="42"/>
      <c r="C252" s="42"/>
      <c r="D252" s="35"/>
      <c r="E252" s="22"/>
      <c r="F252" s="13" t="n">
        <f aca="false">IFERROR(D252*E252,0)</f>
        <v>0</v>
      </c>
      <c r="G252" s="31"/>
      <c r="H252" s="14"/>
      <c r="L252" s="4" t="s">
        <v>794</v>
      </c>
    </row>
    <row r="253" customFormat="false" ht="15" hidden="false" customHeight="true" outlineLevel="0" collapsed="false">
      <c r="B253" s="42"/>
      <c r="C253" s="42"/>
      <c r="D253" s="35"/>
      <c r="E253" s="22"/>
      <c r="F253" s="13" t="n">
        <f aca="false">IFERROR(D253*E253,0)</f>
        <v>0</v>
      </c>
      <c r="G253" s="31"/>
      <c r="H253" s="14"/>
      <c r="L253" s="4" t="s">
        <v>795</v>
      </c>
    </row>
    <row r="254" customFormat="false" ht="15" hidden="false" customHeight="true" outlineLevel="0" collapsed="false">
      <c r="B254" s="42"/>
      <c r="C254" s="42"/>
      <c r="D254" s="35"/>
      <c r="E254" s="22"/>
      <c r="F254" s="13" t="n">
        <f aca="false">IFERROR(D254*E254,0)</f>
        <v>0</v>
      </c>
      <c r="G254" s="31"/>
      <c r="H254" s="14"/>
      <c r="L254" s="4" t="s">
        <v>796</v>
      </c>
    </row>
    <row r="255" customFormat="false" ht="15" hidden="false" customHeight="true" outlineLevel="0" collapsed="false">
      <c r="B255" s="42"/>
      <c r="C255" s="42"/>
      <c r="D255" s="35"/>
      <c r="E255" s="22"/>
      <c r="F255" s="13" t="n">
        <f aca="false">IFERROR(D255*E255,0)</f>
        <v>0</v>
      </c>
      <c r="G255" s="31"/>
      <c r="H255" s="14"/>
      <c r="L255" s="4" t="s">
        <v>797</v>
      </c>
    </row>
    <row r="256" customFormat="false" ht="15" hidden="false" customHeight="true" outlineLevel="0" collapsed="false">
      <c r="B256" s="42"/>
      <c r="C256" s="42"/>
      <c r="D256" s="35"/>
      <c r="E256" s="22"/>
      <c r="F256" s="13" t="n">
        <f aca="false">IFERROR(D256*E256,0)</f>
        <v>0</v>
      </c>
      <c r="G256" s="31"/>
      <c r="H256" s="14"/>
      <c r="L256" s="4" t="s">
        <v>798</v>
      </c>
    </row>
    <row r="257" customFormat="false" ht="15" hidden="false" customHeight="true" outlineLevel="0" collapsed="false">
      <c r="B257" s="42"/>
      <c r="C257" s="42"/>
      <c r="D257" s="35"/>
      <c r="E257" s="22"/>
      <c r="F257" s="13" t="n">
        <f aca="false">IFERROR(D257*E257,0)</f>
        <v>0</v>
      </c>
      <c r="G257" s="31"/>
      <c r="H257" s="14"/>
      <c r="L257" s="4" t="s">
        <v>799</v>
      </c>
    </row>
    <row r="258" customFormat="false" ht="15" hidden="false" customHeight="true" outlineLevel="0" collapsed="false">
      <c r="B258" s="42"/>
      <c r="C258" s="42"/>
      <c r="D258" s="35"/>
      <c r="E258" s="22"/>
      <c r="F258" s="13" t="n">
        <f aca="false">IFERROR(D258*E258,0)</f>
        <v>0</v>
      </c>
      <c r="G258" s="31"/>
      <c r="H258" s="14"/>
      <c r="L258" s="4" t="s">
        <v>800</v>
      </c>
    </row>
    <row r="259" customFormat="false" ht="15" hidden="false" customHeight="true" outlineLevel="0" collapsed="false">
      <c r="B259" s="42"/>
      <c r="C259" s="42"/>
      <c r="D259" s="35"/>
      <c r="E259" s="22"/>
      <c r="F259" s="13" t="n">
        <f aca="false">IFERROR(D259*E259,0)</f>
        <v>0</v>
      </c>
      <c r="G259" s="31"/>
      <c r="H259" s="14"/>
      <c r="L259" s="4" t="s">
        <v>801</v>
      </c>
    </row>
    <row r="260" customFormat="false" ht="15" hidden="false" customHeight="true" outlineLevel="0" collapsed="false">
      <c r="B260" s="42"/>
      <c r="C260" s="42"/>
      <c r="D260" s="35"/>
      <c r="E260" s="22"/>
      <c r="F260" s="13" t="n">
        <f aca="false">IFERROR(D260*E260,0)</f>
        <v>0</v>
      </c>
      <c r="G260" s="31"/>
      <c r="H260" s="14"/>
      <c r="L260" s="4" t="s">
        <v>802</v>
      </c>
    </row>
    <row r="261" customFormat="false" ht="15" hidden="false" customHeight="true" outlineLevel="0" collapsed="false">
      <c r="B261" s="42"/>
      <c r="C261" s="42"/>
      <c r="D261" s="35"/>
      <c r="E261" s="22"/>
      <c r="F261" s="13" t="n">
        <f aca="false">IFERROR(D261*E261,0)</f>
        <v>0</v>
      </c>
      <c r="G261" s="31"/>
      <c r="H261" s="14"/>
      <c r="L261" s="4" t="s">
        <v>803</v>
      </c>
    </row>
    <row r="262" customFormat="false" ht="15" hidden="false" customHeight="true" outlineLevel="0" collapsed="false">
      <c r="B262" s="42"/>
      <c r="C262" s="42"/>
      <c r="D262" s="35"/>
      <c r="E262" s="22"/>
      <c r="F262" s="13" t="n">
        <f aca="false">IFERROR(D262*E262,0)</f>
        <v>0</v>
      </c>
      <c r="G262" s="31"/>
      <c r="H262" s="14"/>
      <c r="L262" s="4" t="s">
        <v>804</v>
      </c>
    </row>
    <row r="263" customFormat="false" ht="15" hidden="false" customHeight="true" outlineLevel="0" collapsed="false">
      <c r="B263" s="42"/>
      <c r="C263" s="42"/>
      <c r="D263" s="35"/>
      <c r="E263" s="22"/>
      <c r="F263" s="13" t="n">
        <f aca="false">IFERROR(D263*E263,0)</f>
        <v>0</v>
      </c>
      <c r="G263" s="31"/>
      <c r="H263" s="14"/>
      <c r="L263" s="4" t="s">
        <v>805</v>
      </c>
    </row>
    <row r="264" customFormat="false" ht="15" hidden="false" customHeight="true" outlineLevel="0" collapsed="false">
      <c r="B264" s="42"/>
      <c r="C264" s="42"/>
      <c r="D264" s="35"/>
      <c r="E264" s="22"/>
      <c r="F264" s="13" t="n">
        <f aca="false">IFERROR(D264*E264,0)</f>
        <v>0</v>
      </c>
      <c r="G264" s="31"/>
      <c r="H264" s="14"/>
      <c r="L264" s="4" t="s">
        <v>806</v>
      </c>
    </row>
    <row r="265" customFormat="false" ht="15" hidden="false" customHeight="true" outlineLevel="0" collapsed="false">
      <c r="B265" s="42"/>
      <c r="C265" s="42"/>
      <c r="D265" s="35"/>
      <c r="E265" s="22"/>
      <c r="F265" s="13" t="n">
        <f aca="false">IFERROR(D265*E265,0)</f>
        <v>0</v>
      </c>
      <c r="G265" s="31"/>
      <c r="H265" s="14"/>
      <c r="L265" s="4" t="s">
        <v>807</v>
      </c>
    </row>
    <row r="266" customFormat="false" ht="15" hidden="false" customHeight="true" outlineLevel="0" collapsed="false">
      <c r="B266" s="42"/>
      <c r="C266" s="42"/>
      <c r="D266" s="35"/>
      <c r="E266" s="22"/>
      <c r="F266" s="13" t="n">
        <f aca="false">IFERROR(D266*E266,0)</f>
        <v>0</v>
      </c>
      <c r="G266" s="31"/>
      <c r="H266" s="14"/>
      <c r="L266" s="4" t="s">
        <v>808</v>
      </c>
    </row>
    <row r="267" customFormat="false" ht="15" hidden="false" customHeight="true" outlineLevel="0" collapsed="false">
      <c r="B267" s="42"/>
      <c r="C267" s="42"/>
      <c r="D267" s="35"/>
      <c r="E267" s="22"/>
      <c r="F267" s="13" t="n">
        <f aca="false">IFERROR(D267*E267,0)</f>
        <v>0</v>
      </c>
      <c r="G267" s="31"/>
      <c r="H267" s="14"/>
      <c r="L267" s="4" t="s">
        <v>809</v>
      </c>
    </row>
    <row r="268" customFormat="false" ht="15" hidden="false" customHeight="true" outlineLevel="0" collapsed="false">
      <c r="B268" s="42"/>
      <c r="C268" s="42"/>
      <c r="D268" s="35"/>
      <c r="E268" s="22"/>
      <c r="F268" s="13" t="n">
        <f aca="false">IFERROR(D268*E268,0)</f>
        <v>0</v>
      </c>
      <c r="G268" s="31"/>
      <c r="H268" s="14"/>
      <c r="L268" s="4" t="s">
        <v>810</v>
      </c>
    </row>
    <row r="269" customFormat="false" ht="15" hidden="false" customHeight="true" outlineLevel="0" collapsed="false">
      <c r="B269" s="42"/>
      <c r="C269" s="42"/>
      <c r="D269" s="35"/>
      <c r="E269" s="22"/>
      <c r="F269" s="13" t="n">
        <f aca="false">IFERROR(D269*E269,0)</f>
        <v>0</v>
      </c>
      <c r="G269" s="31"/>
      <c r="H269" s="14"/>
      <c r="L269" s="4" t="s">
        <v>811</v>
      </c>
    </row>
    <row r="270" customFormat="false" ht="15" hidden="false" customHeight="true" outlineLevel="0" collapsed="false">
      <c r="B270" s="42"/>
      <c r="C270" s="42"/>
      <c r="D270" s="35"/>
      <c r="E270" s="22"/>
      <c r="F270" s="13" t="n">
        <f aca="false">IFERROR(D270*E270,0)</f>
        <v>0</v>
      </c>
      <c r="G270" s="31"/>
      <c r="H270" s="14"/>
      <c r="L270" s="4" t="s">
        <v>812</v>
      </c>
    </row>
    <row r="271" customFormat="false" ht="15" hidden="false" customHeight="true" outlineLevel="0" collapsed="false">
      <c r="B271" s="42"/>
      <c r="C271" s="42"/>
      <c r="D271" s="35"/>
      <c r="E271" s="22"/>
      <c r="F271" s="13" t="n">
        <f aca="false">IFERROR(D271*E271,0)</f>
        <v>0</v>
      </c>
      <c r="G271" s="31"/>
      <c r="H271" s="14"/>
      <c r="L271" s="4" t="s">
        <v>813</v>
      </c>
    </row>
    <row r="272" customFormat="false" ht="15" hidden="false" customHeight="true" outlineLevel="0" collapsed="false">
      <c r="B272" s="42"/>
      <c r="C272" s="42"/>
      <c r="D272" s="35"/>
      <c r="E272" s="22"/>
      <c r="F272" s="13" t="n">
        <f aca="false">IFERROR(D272*E272,0)</f>
        <v>0</v>
      </c>
      <c r="G272" s="31"/>
      <c r="H272" s="14"/>
      <c r="L272" s="4" t="s">
        <v>814</v>
      </c>
    </row>
    <row r="273" customFormat="false" ht="15" hidden="false" customHeight="true" outlineLevel="0" collapsed="false">
      <c r="B273" s="42"/>
      <c r="C273" s="42"/>
      <c r="D273" s="35"/>
      <c r="E273" s="22"/>
      <c r="F273" s="13" t="n">
        <f aca="false">IFERROR(D273*E273,0)</f>
        <v>0</v>
      </c>
      <c r="G273" s="31"/>
      <c r="H273" s="14"/>
      <c r="L273" s="4" t="s">
        <v>815</v>
      </c>
    </row>
    <row r="274" customFormat="false" ht="15" hidden="false" customHeight="true" outlineLevel="0" collapsed="false">
      <c r="B274" s="42"/>
      <c r="C274" s="42"/>
      <c r="D274" s="35"/>
      <c r="E274" s="22"/>
      <c r="F274" s="13" t="n">
        <f aca="false">IFERROR(D274*E274,0)</f>
        <v>0</v>
      </c>
      <c r="G274" s="31"/>
      <c r="H274" s="14"/>
      <c r="L274" s="4" t="s">
        <v>816</v>
      </c>
    </row>
    <row r="275" customFormat="false" ht="15" hidden="false" customHeight="true" outlineLevel="0" collapsed="false">
      <c r="B275" s="42"/>
      <c r="C275" s="42"/>
      <c r="D275" s="35"/>
      <c r="E275" s="22"/>
      <c r="F275" s="13" t="n">
        <f aca="false">IFERROR(D275*E275,0)</f>
        <v>0</v>
      </c>
      <c r="G275" s="31"/>
      <c r="H275" s="14"/>
      <c r="L275" s="4" t="s">
        <v>817</v>
      </c>
    </row>
    <row r="276" customFormat="false" ht="15" hidden="false" customHeight="true" outlineLevel="0" collapsed="false">
      <c r="B276" s="42"/>
      <c r="C276" s="42"/>
      <c r="D276" s="35"/>
      <c r="E276" s="22"/>
      <c r="F276" s="13" t="n">
        <f aca="false">IFERROR(D276*E276,0)</f>
        <v>0</v>
      </c>
      <c r="G276" s="31"/>
      <c r="H276" s="14"/>
      <c r="L276" s="4" t="s">
        <v>818</v>
      </c>
    </row>
    <row r="277" customFormat="false" ht="15" hidden="false" customHeight="true" outlineLevel="0" collapsed="false">
      <c r="B277" s="42"/>
      <c r="C277" s="42"/>
      <c r="D277" s="35"/>
      <c r="E277" s="22"/>
      <c r="F277" s="13" t="n">
        <f aca="false">IFERROR(D277*E277,0)</f>
        <v>0</v>
      </c>
      <c r="G277" s="31"/>
      <c r="H277" s="14"/>
      <c r="L277" s="4" t="s">
        <v>819</v>
      </c>
    </row>
    <row r="278" customFormat="false" ht="15" hidden="false" customHeight="true" outlineLevel="0" collapsed="false">
      <c r="B278" s="42"/>
      <c r="C278" s="42"/>
      <c r="D278" s="35"/>
      <c r="E278" s="22"/>
      <c r="F278" s="13" t="n">
        <f aca="false">IFERROR(D278*E278,0)</f>
        <v>0</v>
      </c>
      <c r="G278" s="31"/>
      <c r="H278" s="14"/>
      <c r="L278" s="4" t="s">
        <v>820</v>
      </c>
    </row>
    <row r="279" customFormat="false" ht="15" hidden="false" customHeight="true" outlineLevel="0" collapsed="false">
      <c r="B279" s="42"/>
      <c r="C279" s="42"/>
      <c r="D279" s="35"/>
      <c r="E279" s="22"/>
      <c r="F279" s="13" t="n">
        <f aca="false">IFERROR(D279*E279,0)</f>
        <v>0</v>
      </c>
      <c r="G279" s="31"/>
      <c r="H279" s="14"/>
      <c r="L279" s="4" t="s">
        <v>821</v>
      </c>
    </row>
    <row r="280" customFormat="false" ht="15" hidden="false" customHeight="true" outlineLevel="0" collapsed="false">
      <c r="B280" s="42"/>
      <c r="C280" s="42"/>
      <c r="D280" s="35"/>
      <c r="E280" s="22"/>
      <c r="F280" s="13" t="n">
        <f aca="false">IFERROR(D280*E280,0)</f>
        <v>0</v>
      </c>
      <c r="G280" s="31"/>
      <c r="H280" s="14"/>
      <c r="L280" s="4" t="s">
        <v>822</v>
      </c>
    </row>
    <row r="281" customFormat="false" ht="15" hidden="false" customHeight="true" outlineLevel="0" collapsed="false">
      <c r="B281" s="42"/>
      <c r="C281" s="42"/>
      <c r="D281" s="35"/>
      <c r="E281" s="22"/>
      <c r="F281" s="13" t="n">
        <f aca="false">IFERROR(D281*E281,0)</f>
        <v>0</v>
      </c>
      <c r="G281" s="31"/>
      <c r="H281" s="14"/>
      <c r="L281" s="4" t="s">
        <v>823</v>
      </c>
    </row>
    <row r="282" customFormat="false" ht="15" hidden="false" customHeight="true" outlineLevel="0" collapsed="false">
      <c r="B282" s="42"/>
      <c r="C282" s="42"/>
      <c r="D282" s="35"/>
      <c r="E282" s="22"/>
      <c r="F282" s="13" t="n">
        <f aca="false">IFERROR(D282*E282,0)</f>
        <v>0</v>
      </c>
      <c r="G282" s="31"/>
      <c r="H282" s="14"/>
      <c r="L282" s="4" t="s">
        <v>824</v>
      </c>
    </row>
    <row r="283" customFormat="false" ht="15" hidden="false" customHeight="true" outlineLevel="0" collapsed="false">
      <c r="B283" s="42"/>
      <c r="C283" s="42"/>
      <c r="D283" s="35"/>
      <c r="E283" s="22"/>
      <c r="F283" s="13" t="n">
        <f aca="false">IFERROR(D283*E283,0)</f>
        <v>0</v>
      </c>
      <c r="G283" s="31"/>
      <c r="H283" s="14"/>
      <c r="L283" s="4" t="s">
        <v>825</v>
      </c>
    </row>
    <row r="284" customFormat="false" ht="15" hidden="false" customHeight="true" outlineLevel="0" collapsed="false">
      <c r="B284" s="42"/>
      <c r="C284" s="42"/>
      <c r="D284" s="35"/>
      <c r="E284" s="22"/>
      <c r="F284" s="13" t="n">
        <f aca="false">IFERROR(D284*E284,0)</f>
        <v>0</v>
      </c>
      <c r="G284" s="31"/>
      <c r="H284" s="14"/>
      <c r="L284" s="4" t="s">
        <v>826</v>
      </c>
    </row>
    <row r="285" customFormat="false" ht="15" hidden="false" customHeight="true" outlineLevel="0" collapsed="false">
      <c r="B285" s="42"/>
      <c r="C285" s="42"/>
      <c r="D285" s="35"/>
      <c r="E285" s="22"/>
      <c r="F285" s="13" t="n">
        <f aca="false">IFERROR(D285*E285,0)</f>
        <v>0</v>
      </c>
      <c r="G285" s="31"/>
      <c r="H285" s="14"/>
      <c r="L285" s="4" t="s">
        <v>827</v>
      </c>
    </row>
    <row r="286" customFormat="false" ht="15" hidden="false" customHeight="true" outlineLevel="0" collapsed="false">
      <c r="B286" s="42"/>
      <c r="C286" s="42"/>
      <c r="D286" s="35"/>
      <c r="E286" s="22"/>
      <c r="F286" s="13" t="n">
        <f aca="false">IFERROR(D286*E286,0)</f>
        <v>0</v>
      </c>
      <c r="G286" s="31"/>
      <c r="H286" s="14"/>
      <c r="L286" s="4" t="s">
        <v>828</v>
      </c>
    </row>
    <row r="287" customFormat="false" ht="15" hidden="false" customHeight="true" outlineLevel="0" collapsed="false">
      <c r="B287" s="42"/>
      <c r="C287" s="42"/>
      <c r="D287" s="35"/>
      <c r="E287" s="22"/>
      <c r="F287" s="13" t="n">
        <f aca="false">IFERROR(D287*E287,0)</f>
        <v>0</v>
      </c>
      <c r="G287" s="31"/>
      <c r="H287" s="14"/>
      <c r="L287" s="4" t="s">
        <v>829</v>
      </c>
    </row>
    <row r="288" customFormat="false" ht="15" hidden="false" customHeight="true" outlineLevel="0" collapsed="false">
      <c r="B288" s="42"/>
      <c r="C288" s="42"/>
      <c r="D288" s="35"/>
      <c r="E288" s="22"/>
      <c r="F288" s="13" t="n">
        <f aca="false">IFERROR(D288*E288,0)</f>
        <v>0</v>
      </c>
      <c r="G288" s="31"/>
      <c r="H288" s="14"/>
      <c r="L288" s="4" t="s">
        <v>830</v>
      </c>
    </row>
    <row r="289" customFormat="false" ht="15" hidden="false" customHeight="true" outlineLevel="0" collapsed="false">
      <c r="B289" s="42"/>
      <c r="C289" s="42"/>
      <c r="D289" s="35"/>
      <c r="E289" s="22"/>
      <c r="F289" s="13" t="n">
        <f aca="false">IFERROR(D289*E289,0)</f>
        <v>0</v>
      </c>
      <c r="G289" s="31"/>
      <c r="H289" s="14"/>
      <c r="L289" s="4" t="s">
        <v>831</v>
      </c>
    </row>
    <row r="290" customFormat="false" ht="15" hidden="false" customHeight="true" outlineLevel="0" collapsed="false">
      <c r="B290" s="42"/>
      <c r="C290" s="42"/>
      <c r="D290" s="35"/>
      <c r="E290" s="22"/>
      <c r="F290" s="13" t="n">
        <f aca="false">IFERROR(D290*E290,0)</f>
        <v>0</v>
      </c>
      <c r="G290" s="31"/>
      <c r="H290" s="14"/>
      <c r="L290" s="4" t="s">
        <v>832</v>
      </c>
    </row>
    <row r="291" customFormat="false" ht="15" hidden="false" customHeight="true" outlineLevel="0" collapsed="false">
      <c r="B291" s="42"/>
      <c r="C291" s="42"/>
      <c r="D291" s="35"/>
      <c r="E291" s="22"/>
      <c r="F291" s="13" t="n">
        <f aca="false">IFERROR(D291*E291,0)</f>
        <v>0</v>
      </c>
      <c r="G291" s="31"/>
      <c r="H291" s="14"/>
      <c r="L291" s="4" t="s">
        <v>833</v>
      </c>
    </row>
    <row r="292" customFormat="false" ht="15" hidden="false" customHeight="true" outlineLevel="0" collapsed="false">
      <c r="B292" s="42"/>
      <c r="C292" s="42"/>
      <c r="D292" s="35"/>
      <c r="E292" s="22"/>
      <c r="F292" s="13" t="n">
        <f aca="false">IFERROR(D292*E292,0)</f>
        <v>0</v>
      </c>
      <c r="G292" s="31"/>
      <c r="H292" s="14"/>
      <c r="L292" s="4" t="s">
        <v>834</v>
      </c>
    </row>
    <row r="293" customFormat="false" ht="15" hidden="false" customHeight="true" outlineLevel="0" collapsed="false">
      <c r="B293" s="42"/>
      <c r="C293" s="42"/>
      <c r="D293" s="35"/>
      <c r="E293" s="22"/>
      <c r="F293" s="13" t="n">
        <f aca="false">IFERROR(D293*E293,0)</f>
        <v>0</v>
      </c>
      <c r="G293" s="31"/>
      <c r="H293" s="14"/>
      <c r="L293" s="4" t="s">
        <v>835</v>
      </c>
    </row>
    <row r="294" customFormat="false" ht="15" hidden="false" customHeight="true" outlineLevel="0" collapsed="false">
      <c r="B294" s="42"/>
      <c r="C294" s="42"/>
      <c r="D294" s="35"/>
      <c r="E294" s="22"/>
      <c r="F294" s="13" t="n">
        <f aca="false">IFERROR(D294*E294,0)</f>
        <v>0</v>
      </c>
      <c r="G294" s="31"/>
      <c r="H294" s="14"/>
      <c r="L294" s="4" t="s">
        <v>836</v>
      </c>
    </row>
    <row r="295" customFormat="false" ht="15" hidden="false" customHeight="true" outlineLevel="0" collapsed="false">
      <c r="B295" s="42"/>
      <c r="C295" s="42"/>
      <c r="D295" s="35"/>
      <c r="E295" s="22"/>
      <c r="F295" s="13" t="n">
        <f aca="false">IFERROR(D295*E295,0)</f>
        <v>0</v>
      </c>
      <c r="G295" s="31"/>
      <c r="H295" s="14"/>
      <c r="L295" s="4" t="s">
        <v>837</v>
      </c>
    </row>
    <row r="296" customFormat="false" ht="15" hidden="false" customHeight="true" outlineLevel="0" collapsed="false">
      <c r="B296" s="42"/>
      <c r="C296" s="42"/>
      <c r="D296" s="35"/>
      <c r="E296" s="22"/>
      <c r="F296" s="13" t="n">
        <f aca="false">IFERROR(D296*E296,0)</f>
        <v>0</v>
      </c>
      <c r="G296" s="31"/>
      <c r="H296" s="14"/>
      <c r="L296" s="4" t="s">
        <v>838</v>
      </c>
    </row>
    <row r="297" customFormat="false" ht="15" hidden="false" customHeight="true" outlineLevel="0" collapsed="false">
      <c r="B297" s="42"/>
      <c r="C297" s="42"/>
      <c r="D297" s="35"/>
      <c r="E297" s="22"/>
      <c r="F297" s="13" t="n">
        <f aca="false">IFERROR(D297*E297,0)</f>
        <v>0</v>
      </c>
      <c r="G297" s="31"/>
      <c r="H297" s="14"/>
      <c r="L297" s="4" t="s">
        <v>839</v>
      </c>
    </row>
    <row r="298" customFormat="false" ht="15" hidden="false" customHeight="true" outlineLevel="0" collapsed="false">
      <c r="B298" s="42"/>
      <c r="C298" s="42"/>
      <c r="D298" s="35"/>
      <c r="E298" s="22"/>
      <c r="F298" s="13" t="n">
        <f aca="false">IFERROR(D298*E298,0)</f>
        <v>0</v>
      </c>
      <c r="G298" s="31"/>
      <c r="H298" s="14"/>
      <c r="L298" s="4" t="s">
        <v>840</v>
      </c>
    </row>
    <row r="299" customFormat="false" ht="15" hidden="false" customHeight="true" outlineLevel="0" collapsed="false">
      <c r="B299" s="42"/>
      <c r="C299" s="42"/>
      <c r="D299" s="35"/>
      <c r="E299" s="22"/>
      <c r="F299" s="13" t="n">
        <f aca="false">IFERROR(D299*E299,0)</f>
        <v>0</v>
      </c>
      <c r="G299" s="31"/>
      <c r="H299" s="14"/>
      <c r="L299" s="4" t="s">
        <v>841</v>
      </c>
    </row>
    <row r="300" customFormat="false" ht="15" hidden="false" customHeight="true" outlineLevel="0" collapsed="false">
      <c r="B300" s="42"/>
      <c r="C300" s="42"/>
      <c r="D300" s="35"/>
      <c r="E300" s="22"/>
      <c r="F300" s="13" t="n">
        <f aca="false">IFERROR(D300*E300,0)</f>
        <v>0</v>
      </c>
      <c r="G300" s="31"/>
      <c r="H300" s="14"/>
      <c r="L300" s="4" t="s">
        <v>842</v>
      </c>
    </row>
    <row r="301" customFormat="false" ht="15" hidden="false" customHeight="true" outlineLevel="0" collapsed="false">
      <c r="B301" s="42"/>
      <c r="C301" s="42"/>
      <c r="D301" s="35"/>
      <c r="E301" s="22"/>
      <c r="F301" s="13" t="n">
        <f aca="false">IFERROR(D301*E301,0)</f>
        <v>0</v>
      </c>
      <c r="G301" s="31"/>
      <c r="H301" s="14"/>
      <c r="L301" s="4" t="s">
        <v>843</v>
      </c>
    </row>
    <row r="302" customFormat="false" ht="15" hidden="false" customHeight="true" outlineLevel="0" collapsed="false">
      <c r="B302" s="42"/>
      <c r="C302" s="42"/>
      <c r="D302" s="35"/>
      <c r="E302" s="22"/>
      <c r="F302" s="13" t="n">
        <f aca="false">IFERROR(D302*E302,0)</f>
        <v>0</v>
      </c>
      <c r="G302" s="31"/>
      <c r="H302" s="14"/>
      <c r="L302" s="4" t="s">
        <v>844</v>
      </c>
    </row>
    <row r="303" customFormat="false" ht="15" hidden="false" customHeight="true" outlineLevel="0" collapsed="false">
      <c r="B303" s="42"/>
      <c r="C303" s="42"/>
      <c r="D303" s="35"/>
      <c r="E303" s="22"/>
      <c r="F303" s="13" t="n">
        <f aca="false">IFERROR(D303*E303,0)</f>
        <v>0</v>
      </c>
      <c r="G303" s="31"/>
      <c r="H303" s="14"/>
      <c r="L303" s="4" t="s">
        <v>845</v>
      </c>
    </row>
    <row r="304" customFormat="false" ht="15" hidden="false" customHeight="true" outlineLevel="0" collapsed="false">
      <c r="B304" s="42"/>
      <c r="C304" s="42"/>
      <c r="D304" s="35"/>
      <c r="E304" s="22"/>
      <c r="F304" s="13" t="n">
        <f aca="false">IFERROR(D304*E304,0)</f>
        <v>0</v>
      </c>
      <c r="G304" s="31"/>
      <c r="H304" s="14"/>
      <c r="L304" s="4" t="s">
        <v>846</v>
      </c>
    </row>
    <row r="305" customFormat="false" ht="15" hidden="false" customHeight="true" outlineLevel="0" collapsed="false">
      <c r="B305" s="42"/>
      <c r="C305" s="42"/>
      <c r="D305" s="35"/>
      <c r="E305" s="22"/>
      <c r="F305" s="13" t="n">
        <f aca="false">IFERROR(D305*E305,0)</f>
        <v>0</v>
      </c>
      <c r="G305" s="31"/>
      <c r="H305" s="14"/>
      <c r="L305" s="4" t="s">
        <v>847</v>
      </c>
    </row>
    <row r="306" customFormat="false" ht="15" hidden="false" customHeight="true" outlineLevel="0" collapsed="false">
      <c r="B306" s="42"/>
      <c r="C306" s="42"/>
      <c r="D306" s="35"/>
      <c r="E306" s="22"/>
      <c r="F306" s="13" t="n">
        <f aca="false">IFERROR(D306*E306,0)</f>
        <v>0</v>
      </c>
      <c r="G306" s="31"/>
      <c r="H306" s="14"/>
      <c r="L306" s="4" t="s">
        <v>848</v>
      </c>
    </row>
    <row r="307" customFormat="false" ht="15" hidden="false" customHeight="true" outlineLevel="0" collapsed="false">
      <c r="B307" s="42"/>
      <c r="C307" s="42"/>
      <c r="D307" s="35"/>
      <c r="E307" s="22"/>
      <c r="F307" s="13" t="n">
        <f aca="false">IFERROR(D307*E307,0)</f>
        <v>0</v>
      </c>
      <c r="G307" s="31"/>
      <c r="H307" s="14"/>
      <c r="L307" s="4" t="s">
        <v>849</v>
      </c>
    </row>
    <row r="308" customFormat="false" ht="15" hidden="false" customHeight="true" outlineLevel="0" collapsed="false">
      <c r="B308" s="42"/>
      <c r="C308" s="42"/>
      <c r="D308" s="35"/>
      <c r="E308" s="22"/>
      <c r="F308" s="13" t="n">
        <f aca="false">IFERROR(D308*E308,0)</f>
        <v>0</v>
      </c>
      <c r="G308" s="31"/>
      <c r="H308" s="14"/>
      <c r="L308" s="4" t="s">
        <v>850</v>
      </c>
    </row>
    <row r="309" customFormat="false" ht="15" hidden="false" customHeight="true" outlineLevel="0" collapsed="false">
      <c r="B309" s="42"/>
      <c r="C309" s="42"/>
      <c r="D309" s="35"/>
      <c r="E309" s="22"/>
      <c r="F309" s="13" t="n">
        <f aca="false">IFERROR(D309*E309,0)</f>
        <v>0</v>
      </c>
      <c r="G309" s="31"/>
      <c r="H309" s="14"/>
      <c r="L309" s="4" t="s">
        <v>851</v>
      </c>
    </row>
    <row r="310" customFormat="false" ht="15" hidden="false" customHeight="true" outlineLevel="0" collapsed="false">
      <c r="B310" s="42"/>
      <c r="C310" s="42"/>
      <c r="D310" s="35"/>
      <c r="E310" s="22"/>
      <c r="F310" s="13" t="n">
        <f aca="false">IFERROR(D310*E310,0)</f>
        <v>0</v>
      </c>
      <c r="G310" s="31"/>
      <c r="H310" s="14"/>
      <c r="L310" s="4" t="s">
        <v>852</v>
      </c>
    </row>
    <row r="311" customFormat="false" ht="15" hidden="false" customHeight="true" outlineLevel="0" collapsed="false">
      <c r="B311" s="42"/>
      <c r="C311" s="42"/>
      <c r="D311" s="35"/>
      <c r="E311" s="22"/>
      <c r="F311" s="13" t="n">
        <f aca="false">IFERROR(D311*E311,0)</f>
        <v>0</v>
      </c>
      <c r="G311" s="31"/>
      <c r="H311" s="14"/>
      <c r="L311" s="4" t="s">
        <v>853</v>
      </c>
    </row>
    <row r="312" customFormat="false" ht="15" hidden="false" customHeight="true" outlineLevel="0" collapsed="false">
      <c r="B312" s="42"/>
      <c r="C312" s="42"/>
      <c r="D312" s="35"/>
      <c r="E312" s="22"/>
      <c r="F312" s="13" t="n">
        <f aca="false">IFERROR(D312*E312,0)</f>
        <v>0</v>
      </c>
      <c r="G312" s="31"/>
      <c r="H312" s="14"/>
      <c r="L312" s="4" t="s">
        <v>854</v>
      </c>
    </row>
    <row r="313" customFormat="false" ht="15" hidden="false" customHeight="true" outlineLevel="0" collapsed="false">
      <c r="B313" s="42"/>
      <c r="C313" s="42"/>
      <c r="D313" s="35"/>
      <c r="E313" s="22"/>
      <c r="F313" s="13" t="n">
        <f aca="false">IFERROR(D313*E313,0)</f>
        <v>0</v>
      </c>
      <c r="G313" s="31"/>
      <c r="H313" s="14"/>
      <c r="L313" s="4" t="s">
        <v>855</v>
      </c>
    </row>
    <row r="314" customFormat="false" ht="15" hidden="false" customHeight="true" outlineLevel="0" collapsed="false">
      <c r="B314" s="42"/>
      <c r="C314" s="42"/>
      <c r="D314" s="35"/>
      <c r="E314" s="22"/>
      <c r="F314" s="13" t="n">
        <f aca="false">IFERROR(D314*E314,0)</f>
        <v>0</v>
      </c>
      <c r="G314" s="31"/>
      <c r="H314" s="14"/>
      <c r="L314" s="4" t="s">
        <v>856</v>
      </c>
    </row>
    <row r="315" customFormat="false" ht="15" hidden="false" customHeight="true" outlineLevel="0" collapsed="false">
      <c r="B315" s="42"/>
      <c r="C315" s="42"/>
      <c r="D315" s="35"/>
      <c r="E315" s="22"/>
      <c r="F315" s="13" t="n">
        <f aca="false">IFERROR(D315*E315,0)</f>
        <v>0</v>
      </c>
      <c r="G315" s="31"/>
      <c r="H315" s="14"/>
      <c r="L315" s="4" t="s">
        <v>857</v>
      </c>
    </row>
    <row r="316" customFormat="false" ht="15" hidden="false" customHeight="true" outlineLevel="0" collapsed="false">
      <c r="B316" s="42"/>
      <c r="C316" s="42"/>
      <c r="D316" s="35"/>
      <c r="E316" s="22"/>
      <c r="F316" s="13" t="n">
        <f aca="false">IFERROR(D316*E316,0)</f>
        <v>0</v>
      </c>
      <c r="G316" s="31"/>
      <c r="H316" s="14"/>
      <c r="L316" s="4" t="s">
        <v>858</v>
      </c>
    </row>
    <row r="317" customFormat="false" ht="15" hidden="false" customHeight="true" outlineLevel="0" collapsed="false">
      <c r="B317" s="42"/>
      <c r="C317" s="42"/>
      <c r="D317" s="35"/>
      <c r="E317" s="22"/>
      <c r="F317" s="13" t="n">
        <f aca="false">IFERROR(D317*E317,0)</f>
        <v>0</v>
      </c>
      <c r="G317" s="31"/>
      <c r="H317" s="14"/>
      <c r="L317" s="4" t="s">
        <v>859</v>
      </c>
    </row>
    <row r="318" customFormat="false" ht="15" hidden="false" customHeight="true" outlineLevel="0" collapsed="false">
      <c r="B318" s="42"/>
      <c r="C318" s="42"/>
      <c r="D318" s="35"/>
      <c r="E318" s="22"/>
      <c r="F318" s="13" t="n">
        <f aca="false">IFERROR(D318*E318,0)</f>
        <v>0</v>
      </c>
      <c r="G318" s="31"/>
      <c r="H318" s="14"/>
      <c r="L318" s="4" t="s">
        <v>860</v>
      </c>
    </row>
    <row r="319" customFormat="false" ht="15" hidden="false" customHeight="true" outlineLevel="0" collapsed="false">
      <c r="B319" s="42"/>
      <c r="C319" s="42"/>
      <c r="D319" s="35"/>
      <c r="E319" s="22"/>
      <c r="F319" s="13" t="n">
        <f aca="false">IFERROR(D319*E319,0)</f>
        <v>0</v>
      </c>
      <c r="G319" s="31"/>
      <c r="H319" s="14"/>
    </row>
    <row r="320" customFormat="false" ht="15" hidden="false" customHeight="true" outlineLevel="0" collapsed="false">
      <c r="B320" s="42"/>
      <c r="C320" s="42"/>
      <c r="D320" s="35"/>
      <c r="E320" s="22"/>
      <c r="F320" s="13" t="n">
        <f aca="false">IFERROR(D320*E320,0)</f>
        <v>0</v>
      </c>
      <c r="G320" s="31"/>
      <c r="H320" s="14"/>
    </row>
    <row r="321" customFormat="false" ht="15" hidden="false" customHeight="true" outlineLevel="0" collapsed="false">
      <c r="B321" s="42"/>
      <c r="C321" s="42"/>
      <c r="D321" s="35"/>
      <c r="E321" s="22"/>
      <c r="F321" s="13" t="n">
        <f aca="false">IFERROR(D321*E321,0)</f>
        <v>0</v>
      </c>
      <c r="G321" s="31"/>
      <c r="H321" s="14"/>
    </row>
    <row r="322" customFormat="false" ht="15" hidden="false" customHeight="true" outlineLevel="0" collapsed="false">
      <c r="B322" s="42"/>
      <c r="C322" s="42"/>
      <c r="D322" s="35"/>
      <c r="E322" s="22"/>
      <c r="F322" s="13" t="n">
        <f aca="false">IFERROR(D322*E322,0)</f>
        <v>0</v>
      </c>
      <c r="G322" s="31"/>
      <c r="H322" s="14"/>
    </row>
    <row r="323" customFormat="false" ht="15" hidden="false" customHeight="true" outlineLevel="0" collapsed="false">
      <c r="B323" s="42"/>
      <c r="C323" s="42"/>
      <c r="D323" s="35"/>
      <c r="E323" s="22"/>
      <c r="F323" s="13" t="n">
        <f aca="false">IFERROR(D323*E323,0)</f>
        <v>0</v>
      </c>
      <c r="G323" s="31"/>
      <c r="H323" s="14"/>
    </row>
    <row r="324" customFormat="false" ht="15" hidden="false" customHeight="true" outlineLevel="0" collapsed="false">
      <c r="B324" s="42"/>
      <c r="C324" s="42"/>
      <c r="D324" s="35"/>
      <c r="E324" s="22"/>
      <c r="F324" s="13" t="n">
        <f aca="false">IFERROR(D324*E324,0)</f>
        <v>0</v>
      </c>
      <c r="G324" s="31"/>
      <c r="H324" s="14"/>
    </row>
    <row r="325" customFormat="false" ht="15" hidden="false" customHeight="true" outlineLevel="0" collapsed="false">
      <c r="B325" s="42"/>
      <c r="C325" s="42"/>
      <c r="D325" s="35"/>
      <c r="E325" s="22"/>
      <c r="F325" s="13" t="n">
        <f aca="false">IFERROR(D325*E325,0)</f>
        <v>0</v>
      </c>
      <c r="G325" s="31"/>
      <c r="H325" s="14"/>
    </row>
    <row r="326" customFormat="false" ht="15" hidden="false" customHeight="true" outlineLevel="0" collapsed="false">
      <c r="B326" s="42"/>
      <c r="C326" s="42"/>
      <c r="D326" s="35"/>
      <c r="E326" s="22"/>
      <c r="F326" s="13" t="n">
        <f aca="false">IFERROR(D326*E326,0)</f>
        <v>0</v>
      </c>
      <c r="G326" s="31"/>
      <c r="H326" s="14"/>
    </row>
    <row r="327" customFormat="false" ht="15" hidden="false" customHeight="true" outlineLevel="0" collapsed="false">
      <c r="B327" s="42"/>
      <c r="C327" s="42"/>
      <c r="D327" s="35"/>
      <c r="E327" s="22"/>
      <c r="F327" s="13" t="n">
        <f aca="false">IFERROR(D327*E327,0)</f>
        <v>0</v>
      </c>
      <c r="G327" s="31"/>
      <c r="H327" s="14"/>
    </row>
    <row r="328" customFormat="false" ht="15" hidden="false" customHeight="true" outlineLevel="0" collapsed="false">
      <c r="B328" s="42"/>
      <c r="C328" s="42"/>
      <c r="D328" s="35"/>
      <c r="E328" s="22"/>
      <c r="F328" s="13" t="n">
        <f aca="false">IFERROR(D328*E328,0)</f>
        <v>0</v>
      </c>
      <c r="G328" s="31"/>
      <c r="H328" s="14"/>
    </row>
    <row r="329" customFormat="false" ht="15" hidden="false" customHeight="true" outlineLevel="0" collapsed="false">
      <c r="B329" s="42"/>
      <c r="C329" s="42"/>
      <c r="D329" s="35"/>
      <c r="E329" s="22"/>
      <c r="F329" s="13" t="n">
        <f aca="false">IFERROR(D329*E329,0)</f>
        <v>0</v>
      </c>
      <c r="G329" s="31"/>
      <c r="H329" s="14"/>
    </row>
    <row r="330" customFormat="false" ht="15" hidden="false" customHeight="true" outlineLevel="0" collapsed="false">
      <c r="B330" s="42"/>
      <c r="C330" s="42"/>
      <c r="D330" s="35"/>
      <c r="E330" s="22"/>
      <c r="F330" s="13" t="n">
        <f aca="false">IFERROR(D330*E330,0)</f>
        <v>0</v>
      </c>
      <c r="G330" s="31"/>
      <c r="H330" s="14"/>
    </row>
    <row r="331" customFormat="false" ht="15" hidden="false" customHeight="true" outlineLevel="0" collapsed="false">
      <c r="B331" s="42"/>
      <c r="C331" s="42"/>
      <c r="D331" s="35"/>
      <c r="E331" s="22"/>
      <c r="F331" s="13" t="n">
        <f aca="false">IFERROR(D331*E331,0)</f>
        <v>0</v>
      </c>
      <c r="G331" s="31"/>
      <c r="H331" s="14"/>
    </row>
    <row r="332" customFormat="false" ht="15" hidden="false" customHeight="true" outlineLevel="0" collapsed="false">
      <c r="B332" s="42"/>
      <c r="C332" s="42"/>
      <c r="D332" s="35"/>
      <c r="E332" s="22"/>
      <c r="F332" s="13" t="n">
        <f aca="false">IFERROR(D332*E332,0)</f>
        <v>0</v>
      </c>
      <c r="G332" s="31"/>
      <c r="H332" s="14"/>
    </row>
    <row r="333" customFormat="false" ht="15" hidden="false" customHeight="true" outlineLevel="0" collapsed="false">
      <c r="B333" s="42"/>
      <c r="C333" s="42"/>
      <c r="D333" s="35"/>
      <c r="E333" s="22"/>
      <c r="F333" s="13" t="n">
        <f aca="false">IFERROR(D333*E333,0)</f>
        <v>0</v>
      </c>
      <c r="G333" s="31"/>
      <c r="H333" s="14"/>
    </row>
    <row r="334" customFormat="false" ht="15" hidden="false" customHeight="true" outlineLevel="0" collapsed="false">
      <c r="B334" s="42"/>
      <c r="C334" s="42"/>
      <c r="D334" s="35"/>
      <c r="E334" s="22"/>
      <c r="F334" s="13" t="n">
        <f aca="false">IFERROR(D334*E334,0)</f>
        <v>0</v>
      </c>
      <c r="G334" s="31"/>
      <c r="H334" s="14"/>
    </row>
    <row r="335" customFormat="false" ht="15" hidden="false" customHeight="true" outlineLevel="0" collapsed="false">
      <c r="B335" s="42"/>
      <c r="C335" s="42"/>
      <c r="D335" s="35"/>
      <c r="E335" s="22"/>
      <c r="F335" s="13" t="n">
        <f aca="false">IFERROR(D335*E335,0)</f>
        <v>0</v>
      </c>
      <c r="G335" s="31"/>
      <c r="H335" s="14"/>
    </row>
    <row r="336" customFormat="false" ht="15" hidden="false" customHeight="true" outlineLevel="0" collapsed="false">
      <c r="B336" s="42"/>
      <c r="C336" s="42"/>
      <c r="D336" s="35"/>
      <c r="E336" s="22"/>
      <c r="F336" s="13" t="n">
        <f aca="false">IFERROR(D336*E336,0)</f>
        <v>0</v>
      </c>
      <c r="G336" s="31"/>
      <c r="H336" s="14"/>
    </row>
    <row r="337" customFormat="false" ht="15" hidden="false" customHeight="true" outlineLevel="0" collapsed="false">
      <c r="B337" s="42"/>
      <c r="C337" s="42"/>
      <c r="D337" s="35"/>
      <c r="E337" s="22"/>
      <c r="F337" s="13" t="n">
        <f aca="false">IFERROR(D337*E337,0)</f>
        <v>0</v>
      </c>
      <c r="G337" s="31"/>
      <c r="H337" s="14"/>
    </row>
    <row r="338" customFormat="false" ht="15" hidden="false" customHeight="true" outlineLevel="0" collapsed="false">
      <c r="B338" s="42"/>
      <c r="C338" s="42"/>
      <c r="D338" s="35"/>
      <c r="E338" s="22"/>
      <c r="F338" s="13" t="n">
        <f aca="false">IFERROR(D338*E338,0)</f>
        <v>0</v>
      </c>
      <c r="G338" s="31"/>
      <c r="H338" s="14"/>
    </row>
    <row r="339" customFormat="false" ht="15" hidden="false" customHeight="true" outlineLevel="0" collapsed="false">
      <c r="B339" s="42"/>
      <c r="C339" s="42"/>
      <c r="D339" s="35"/>
      <c r="E339" s="22"/>
      <c r="F339" s="13" t="n">
        <f aca="false">IFERROR(D339*E339,0)</f>
        <v>0</v>
      </c>
      <c r="G339" s="31"/>
      <c r="H339" s="14"/>
    </row>
    <row r="340" customFormat="false" ht="15" hidden="false" customHeight="true" outlineLevel="0" collapsed="false">
      <c r="B340" s="42"/>
      <c r="C340" s="42"/>
      <c r="D340" s="35"/>
      <c r="E340" s="22"/>
      <c r="F340" s="13" t="n">
        <f aca="false">IFERROR(D340*E340,0)</f>
        <v>0</v>
      </c>
      <c r="G340" s="31"/>
      <c r="H340" s="14"/>
    </row>
    <row r="341" customFormat="false" ht="15" hidden="false" customHeight="true" outlineLevel="0" collapsed="false">
      <c r="B341" s="42"/>
      <c r="C341" s="42"/>
      <c r="D341" s="35"/>
      <c r="E341" s="22"/>
      <c r="F341" s="13" t="n">
        <f aca="false">IFERROR(D341*E341,0)</f>
        <v>0</v>
      </c>
      <c r="G341" s="31"/>
      <c r="H341" s="14"/>
    </row>
    <row r="342" customFormat="false" ht="15" hidden="false" customHeight="true" outlineLevel="0" collapsed="false">
      <c r="B342" s="42"/>
      <c r="C342" s="42"/>
      <c r="D342" s="35"/>
      <c r="E342" s="22"/>
      <c r="F342" s="13" t="n">
        <f aca="false">IFERROR(D342*E342,0)</f>
        <v>0</v>
      </c>
      <c r="G342" s="31"/>
      <c r="H342" s="14"/>
    </row>
    <row r="343" customFormat="false" ht="15" hidden="false" customHeight="true" outlineLevel="0" collapsed="false">
      <c r="B343" s="42"/>
      <c r="C343" s="42"/>
      <c r="D343" s="35"/>
      <c r="E343" s="22"/>
      <c r="F343" s="13" t="n">
        <f aca="false">IFERROR(D343*E343,0)</f>
        <v>0</v>
      </c>
      <c r="G343" s="31"/>
      <c r="H343" s="14"/>
    </row>
    <row r="344" customFormat="false" ht="15" hidden="false" customHeight="true" outlineLevel="0" collapsed="false">
      <c r="B344" s="42"/>
      <c r="C344" s="42"/>
      <c r="D344" s="35"/>
      <c r="E344" s="22"/>
      <c r="F344" s="13" t="n">
        <f aca="false">IFERROR(D344*E344,0)</f>
        <v>0</v>
      </c>
      <c r="G344" s="31"/>
      <c r="H344" s="14"/>
    </row>
    <row r="345" customFormat="false" ht="15" hidden="false" customHeight="true" outlineLevel="0" collapsed="false">
      <c r="B345" s="42"/>
      <c r="C345" s="42"/>
      <c r="D345" s="35"/>
      <c r="E345" s="22"/>
      <c r="F345" s="13" t="n">
        <f aca="false">IFERROR(D345*E345,0)</f>
        <v>0</v>
      </c>
      <c r="G345" s="31"/>
      <c r="H345" s="14"/>
    </row>
    <row r="346" customFormat="false" ht="15" hidden="false" customHeight="true" outlineLevel="0" collapsed="false">
      <c r="B346" s="42"/>
      <c r="C346" s="42"/>
      <c r="D346" s="35"/>
      <c r="E346" s="22"/>
      <c r="F346" s="13" t="n">
        <f aca="false">IFERROR(D346*E346,0)</f>
        <v>0</v>
      </c>
      <c r="G346" s="31"/>
      <c r="H346" s="14"/>
    </row>
    <row r="347" customFormat="false" ht="15" hidden="false" customHeight="true" outlineLevel="0" collapsed="false">
      <c r="B347" s="42"/>
      <c r="C347" s="42"/>
      <c r="D347" s="35"/>
      <c r="E347" s="22"/>
      <c r="F347" s="13" t="n">
        <f aca="false">IFERROR(D347*E347,0)</f>
        <v>0</v>
      </c>
      <c r="G347" s="31"/>
      <c r="H347" s="14"/>
    </row>
    <row r="348" customFormat="false" ht="15" hidden="false" customHeight="true" outlineLevel="0" collapsed="false">
      <c r="B348" s="42"/>
      <c r="C348" s="42"/>
      <c r="D348" s="35"/>
      <c r="E348" s="22"/>
      <c r="F348" s="13" t="n">
        <f aca="false">IFERROR(D348*E348,0)</f>
        <v>0</v>
      </c>
      <c r="G348" s="31"/>
      <c r="H348" s="14"/>
    </row>
    <row r="349" customFormat="false" ht="15" hidden="false" customHeight="true" outlineLevel="0" collapsed="false">
      <c r="B349" s="42"/>
      <c r="C349" s="42"/>
      <c r="D349" s="35"/>
      <c r="E349" s="22"/>
      <c r="F349" s="13" t="n">
        <f aca="false">IFERROR(D349*E349,0)</f>
        <v>0</v>
      </c>
      <c r="G349" s="31"/>
      <c r="H349" s="14"/>
    </row>
    <row r="350" customFormat="false" ht="15" hidden="false" customHeight="true" outlineLevel="0" collapsed="false">
      <c r="B350" s="42"/>
      <c r="C350" s="42"/>
      <c r="D350" s="35"/>
      <c r="E350" s="22"/>
      <c r="F350" s="13" t="n">
        <f aca="false">IFERROR(D350*E350,0)</f>
        <v>0</v>
      </c>
      <c r="G350" s="31"/>
      <c r="H350" s="14"/>
    </row>
    <row r="351" customFormat="false" ht="15" hidden="false" customHeight="true" outlineLevel="0" collapsed="false">
      <c r="B351" s="42"/>
      <c r="C351" s="42"/>
      <c r="D351" s="35"/>
      <c r="E351" s="22"/>
      <c r="F351" s="13" t="n">
        <f aca="false">IFERROR(D351*E351,0)</f>
        <v>0</v>
      </c>
      <c r="G351" s="31"/>
      <c r="H351" s="14"/>
    </row>
    <row r="352" customFormat="false" ht="15" hidden="false" customHeight="true" outlineLevel="0" collapsed="false">
      <c r="B352" s="42"/>
      <c r="C352" s="42"/>
      <c r="D352" s="35"/>
      <c r="E352" s="22"/>
      <c r="F352" s="13" t="n">
        <f aca="false">IFERROR(D352*E352,0)</f>
        <v>0</v>
      </c>
      <c r="G352" s="31"/>
      <c r="H352" s="14"/>
    </row>
    <row r="353" customFormat="false" ht="15" hidden="false" customHeight="true" outlineLevel="0" collapsed="false">
      <c r="B353" s="42"/>
      <c r="C353" s="42"/>
      <c r="D353" s="35"/>
      <c r="E353" s="22"/>
      <c r="F353" s="13" t="n">
        <f aca="false">IFERROR(D353*E353,0)</f>
        <v>0</v>
      </c>
      <c r="G353" s="31"/>
      <c r="H353" s="14"/>
    </row>
    <row r="354" customFormat="false" ht="15" hidden="false" customHeight="true" outlineLevel="0" collapsed="false">
      <c r="B354" s="42"/>
      <c r="C354" s="42"/>
      <c r="D354" s="35"/>
      <c r="E354" s="22"/>
      <c r="F354" s="13" t="n">
        <f aca="false">IFERROR(D354*E354,0)</f>
        <v>0</v>
      </c>
      <c r="G354" s="31"/>
      <c r="H354" s="14"/>
    </row>
    <row r="355" customFormat="false" ht="15" hidden="false" customHeight="true" outlineLevel="0" collapsed="false">
      <c r="B355" s="42"/>
      <c r="C355" s="42"/>
      <c r="D355" s="35"/>
      <c r="E355" s="22"/>
      <c r="F355" s="13" t="n">
        <f aca="false">IFERROR(D355*E355,0)</f>
        <v>0</v>
      </c>
      <c r="G355" s="31"/>
      <c r="H355" s="14"/>
    </row>
    <row r="356" customFormat="false" ht="15" hidden="false" customHeight="true" outlineLevel="0" collapsed="false">
      <c r="B356" s="42"/>
      <c r="C356" s="42"/>
      <c r="D356" s="35"/>
      <c r="E356" s="22"/>
      <c r="F356" s="13" t="n">
        <f aca="false">IFERROR(D356*E356,0)</f>
        <v>0</v>
      </c>
      <c r="G356" s="31"/>
      <c r="H356" s="14"/>
    </row>
    <row r="357" customFormat="false" ht="15" hidden="false" customHeight="true" outlineLevel="0" collapsed="false">
      <c r="B357" s="42"/>
      <c r="C357" s="42"/>
      <c r="D357" s="35"/>
      <c r="E357" s="22"/>
      <c r="F357" s="13" t="n">
        <f aca="false">IFERROR(D357*E357,0)</f>
        <v>0</v>
      </c>
      <c r="G357" s="31"/>
      <c r="H357" s="14"/>
    </row>
    <row r="358" customFormat="false" ht="15" hidden="false" customHeight="true" outlineLevel="0" collapsed="false">
      <c r="B358" s="42"/>
      <c r="C358" s="42"/>
      <c r="D358" s="35"/>
      <c r="E358" s="22"/>
      <c r="F358" s="13" t="n">
        <f aca="false">IFERROR(D358*E358,0)</f>
        <v>0</v>
      </c>
      <c r="G358" s="31"/>
      <c r="H358" s="14"/>
    </row>
    <row r="359" customFormat="false" ht="15" hidden="false" customHeight="true" outlineLevel="0" collapsed="false">
      <c r="B359" s="42"/>
      <c r="C359" s="42"/>
      <c r="D359" s="35"/>
      <c r="E359" s="22"/>
      <c r="F359" s="13" t="n">
        <f aca="false">IFERROR(D359*E359,0)</f>
        <v>0</v>
      </c>
      <c r="G359" s="31"/>
      <c r="H359" s="14"/>
    </row>
    <row r="360" customFormat="false" ht="15" hidden="false" customHeight="true" outlineLevel="0" collapsed="false">
      <c r="B360" s="42"/>
      <c r="C360" s="42"/>
      <c r="D360" s="35"/>
      <c r="E360" s="22"/>
      <c r="F360" s="13" t="n">
        <f aca="false">IFERROR(D360*E360,0)</f>
        <v>0</v>
      </c>
      <c r="G360" s="31"/>
      <c r="H360" s="14"/>
    </row>
    <row r="361" customFormat="false" ht="15" hidden="false" customHeight="true" outlineLevel="0" collapsed="false">
      <c r="B361" s="42"/>
      <c r="C361" s="42"/>
      <c r="D361" s="35"/>
      <c r="E361" s="22"/>
      <c r="F361" s="13" t="n">
        <f aca="false">IFERROR(D361*E361,0)</f>
        <v>0</v>
      </c>
      <c r="G361" s="31"/>
      <c r="H361" s="14"/>
    </row>
    <row r="362" customFormat="false" ht="15" hidden="false" customHeight="true" outlineLevel="0" collapsed="false">
      <c r="B362" s="42"/>
      <c r="C362" s="42"/>
      <c r="D362" s="35"/>
      <c r="E362" s="22"/>
      <c r="F362" s="13" t="n">
        <f aca="false">IFERROR(D362*E362,0)</f>
        <v>0</v>
      </c>
      <c r="G362" s="31"/>
      <c r="H362" s="14"/>
    </row>
    <row r="363" customFormat="false" ht="15" hidden="false" customHeight="true" outlineLevel="0" collapsed="false">
      <c r="B363" s="42"/>
      <c r="C363" s="42"/>
      <c r="D363" s="35"/>
      <c r="E363" s="22"/>
      <c r="F363" s="13" t="n">
        <f aca="false">IFERROR(D363*E363,0)</f>
        <v>0</v>
      </c>
      <c r="G363" s="31"/>
      <c r="H363" s="14"/>
    </row>
    <row r="364" customFormat="false" ht="15" hidden="false" customHeight="true" outlineLevel="0" collapsed="false">
      <c r="B364" s="42"/>
      <c r="C364" s="42"/>
      <c r="D364" s="35"/>
      <c r="E364" s="22"/>
      <c r="F364" s="13" t="n">
        <f aca="false">IFERROR(D364*E364,0)</f>
        <v>0</v>
      </c>
      <c r="G364" s="31"/>
      <c r="H364" s="14"/>
    </row>
    <row r="365" customFormat="false" ht="15" hidden="false" customHeight="true" outlineLevel="0" collapsed="false">
      <c r="B365" s="42"/>
      <c r="C365" s="42"/>
      <c r="D365" s="35"/>
      <c r="E365" s="22"/>
      <c r="F365" s="13" t="n">
        <f aca="false">IFERROR(D365*E365,0)</f>
        <v>0</v>
      </c>
      <c r="G365" s="31"/>
      <c r="H365" s="14"/>
    </row>
    <row r="366" customFormat="false" ht="15" hidden="false" customHeight="true" outlineLevel="0" collapsed="false">
      <c r="B366" s="42"/>
      <c r="C366" s="42"/>
      <c r="D366" s="35"/>
      <c r="E366" s="22"/>
      <c r="F366" s="13" t="n">
        <f aca="false">IFERROR(D366*E366,0)</f>
        <v>0</v>
      </c>
      <c r="G366" s="31"/>
      <c r="H366" s="14"/>
    </row>
    <row r="367" customFormat="false" ht="15" hidden="false" customHeight="true" outlineLevel="0" collapsed="false">
      <c r="B367" s="42"/>
      <c r="C367" s="42"/>
      <c r="D367" s="35"/>
      <c r="E367" s="22"/>
      <c r="F367" s="13" t="n">
        <f aca="false">IFERROR(D367*E367,0)</f>
        <v>0</v>
      </c>
      <c r="G367" s="31"/>
      <c r="H367" s="14"/>
    </row>
    <row r="368" customFormat="false" ht="15" hidden="false" customHeight="true" outlineLevel="0" collapsed="false">
      <c r="B368" s="42"/>
      <c r="C368" s="42"/>
      <c r="D368" s="35"/>
      <c r="E368" s="22"/>
      <c r="F368" s="13" t="n">
        <f aca="false">IFERROR(D368*E368,0)</f>
        <v>0</v>
      </c>
      <c r="G368" s="31"/>
      <c r="H368" s="14"/>
    </row>
    <row r="369" customFormat="false" ht="15" hidden="false" customHeight="true" outlineLevel="0" collapsed="false">
      <c r="B369" s="42"/>
      <c r="C369" s="42"/>
      <c r="D369" s="35"/>
      <c r="E369" s="22"/>
      <c r="F369" s="13" t="n">
        <f aca="false">IFERROR(D369*E369,0)</f>
        <v>0</v>
      </c>
      <c r="G369" s="31"/>
      <c r="H369" s="14"/>
    </row>
    <row r="370" customFormat="false" ht="15" hidden="false" customHeight="true" outlineLevel="0" collapsed="false">
      <c r="B370" s="42"/>
      <c r="C370" s="42"/>
      <c r="D370" s="35"/>
      <c r="E370" s="22"/>
      <c r="F370" s="13" t="n">
        <f aca="false">IFERROR(D370*E370,0)</f>
        <v>0</v>
      </c>
      <c r="G370" s="31"/>
      <c r="H370" s="14"/>
    </row>
    <row r="371" customFormat="false" ht="15" hidden="false" customHeight="true" outlineLevel="0" collapsed="false">
      <c r="B371" s="42"/>
      <c r="C371" s="42"/>
      <c r="D371" s="35"/>
      <c r="E371" s="22"/>
      <c r="F371" s="13" t="n">
        <f aca="false">IFERROR(D371*E371,0)</f>
        <v>0</v>
      </c>
      <c r="G371" s="31"/>
      <c r="H371" s="14"/>
    </row>
    <row r="372" customFormat="false" ht="15" hidden="false" customHeight="true" outlineLevel="0" collapsed="false">
      <c r="B372" s="42"/>
      <c r="C372" s="42"/>
      <c r="D372" s="35"/>
      <c r="E372" s="22"/>
      <c r="F372" s="13" t="n">
        <f aca="false">IFERROR(D372*E372,0)</f>
        <v>0</v>
      </c>
      <c r="G372" s="31"/>
      <c r="H372" s="14"/>
    </row>
    <row r="373" customFormat="false" ht="15" hidden="false" customHeight="true" outlineLevel="0" collapsed="false">
      <c r="B373" s="42"/>
      <c r="C373" s="42"/>
      <c r="D373" s="35"/>
      <c r="E373" s="22"/>
      <c r="F373" s="13" t="n">
        <f aca="false">IFERROR(D373*E373,0)</f>
        <v>0</v>
      </c>
      <c r="G373" s="31"/>
      <c r="H373" s="14"/>
    </row>
    <row r="374" customFormat="false" ht="15" hidden="false" customHeight="true" outlineLevel="0" collapsed="false">
      <c r="B374" s="42"/>
      <c r="C374" s="42"/>
      <c r="D374" s="35"/>
      <c r="E374" s="22"/>
      <c r="F374" s="13" t="n">
        <f aca="false">IFERROR(D374*E374,0)</f>
        <v>0</v>
      </c>
      <c r="G374" s="31"/>
      <c r="H374" s="14"/>
    </row>
    <row r="375" customFormat="false" ht="15" hidden="false" customHeight="true" outlineLevel="0" collapsed="false">
      <c r="B375" s="42"/>
      <c r="C375" s="42"/>
      <c r="D375" s="35"/>
      <c r="E375" s="22"/>
      <c r="F375" s="13" t="n">
        <f aca="false">IFERROR(D375*E375,0)</f>
        <v>0</v>
      </c>
      <c r="G375" s="31"/>
      <c r="H375" s="14"/>
    </row>
    <row r="376" customFormat="false" ht="15" hidden="false" customHeight="true" outlineLevel="0" collapsed="false">
      <c r="B376" s="42"/>
      <c r="C376" s="42"/>
      <c r="D376" s="35"/>
      <c r="E376" s="22"/>
      <c r="F376" s="13" t="n">
        <f aca="false">IFERROR(D376*E376,0)</f>
        <v>0</v>
      </c>
      <c r="G376" s="31"/>
      <c r="H376" s="14"/>
    </row>
    <row r="377" customFormat="false" ht="15" hidden="false" customHeight="true" outlineLevel="0" collapsed="false">
      <c r="B377" s="42"/>
      <c r="C377" s="42"/>
      <c r="D377" s="35"/>
      <c r="E377" s="22"/>
      <c r="F377" s="13" t="n">
        <f aca="false">IFERROR(D377*E377,0)</f>
        <v>0</v>
      </c>
      <c r="G377" s="31"/>
      <c r="H377" s="14"/>
    </row>
    <row r="378" customFormat="false" ht="15" hidden="false" customHeight="true" outlineLevel="0" collapsed="false">
      <c r="B378" s="42"/>
      <c r="C378" s="42"/>
      <c r="D378" s="35"/>
      <c r="E378" s="22"/>
      <c r="F378" s="13" t="n">
        <f aca="false">IFERROR(D378*E378,0)</f>
        <v>0</v>
      </c>
      <c r="G378" s="31"/>
      <c r="H378" s="14"/>
    </row>
    <row r="379" customFormat="false" ht="15" hidden="false" customHeight="true" outlineLevel="0" collapsed="false">
      <c r="B379" s="42"/>
      <c r="C379" s="42"/>
      <c r="D379" s="35"/>
      <c r="E379" s="22"/>
      <c r="F379" s="13" t="n">
        <f aca="false">IFERROR(D379*E379,0)</f>
        <v>0</v>
      </c>
      <c r="G379" s="31"/>
      <c r="H379" s="14"/>
    </row>
    <row r="380" customFormat="false" ht="15" hidden="false" customHeight="true" outlineLevel="0" collapsed="false">
      <c r="B380" s="42"/>
      <c r="C380" s="42"/>
      <c r="D380" s="35"/>
      <c r="E380" s="22"/>
      <c r="F380" s="13" t="n">
        <f aca="false">IFERROR(D380*E380,0)</f>
        <v>0</v>
      </c>
      <c r="G380" s="31"/>
      <c r="H380" s="14"/>
    </row>
    <row r="381" customFormat="false" ht="15" hidden="false" customHeight="true" outlineLevel="0" collapsed="false">
      <c r="B381" s="42"/>
      <c r="C381" s="42"/>
      <c r="D381" s="35"/>
      <c r="E381" s="22"/>
      <c r="F381" s="13" t="n">
        <f aca="false">IFERROR(D381*E381,0)</f>
        <v>0</v>
      </c>
      <c r="G381" s="31"/>
      <c r="H381" s="14"/>
    </row>
    <row r="382" customFormat="false" ht="15" hidden="false" customHeight="true" outlineLevel="0" collapsed="false">
      <c r="B382" s="42"/>
      <c r="C382" s="42"/>
      <c r="D382" s="35"/>
      <c r="E382" s="22"/>
      <c r="F382" s="13" t="n">
        <f aca="false">IFERROR(D382*E382,0)</f>
        <v>0</v>
      </c>
      <c r="G382" s="31"/>
      <c r="H382" s="14"/>
    </row>
    <row r="383" customFormat="false" ht="15" hidden="false" customHeight="true" outlineLevel="0" collapsed="false">
      <c r="B383" s="42"/>
      <c r="C383" s="42"/>
      <c r="D383" s="35"/>
      <c r="E383" s="22"/>
      <c r="F383" s="13" t="n">
        <f aca="false">IFERROR(D383*E383,0)</f>
        <v>0</v>
      </c>
      <c r="G383" s="31"/>
      <c r="H383" s="14"/>
    </row>
    <row r="384" customFormat="false" ht="15" hidden="false" customHeight="true" outlineLevel="0" collapsed="false">
      <c r="B384" s="42"/>
      <c r="C384" s="42"/>
      <c r="D384" s="35"/>
      <c r="E384" s="22"/>
      <c r="F384" s="13" t="n">
        <f aca="false">IFERROR(D384*E384,0)</f>
        <v>0</v>
      </c>
      <c r="G384" s="31"/>
      <c r="H384" s="14"/>
    </row>
    <row r="385" customFormat="false" ht="15" hidden="false" customHeight="true" outlineLevel="0" collapsed="false">
      <c r="B385" s="42"/>
      <c r="C385" s="42"/>
      <c r="D385" s="35"/>
      <c r="E385" s="22"/>
      <c r="F385" s="13" t="n">
        <f aca="false">IFERROR(D385*E385,0)</f>
        <v>0</v>
      </c>
      <c r="G385" s="31"/>
      <c r="H385" s="14"/>
    </row>
    <row r="386" customFormat="false" ht="15" hidden="false" customHeight="true" outlineLevel="0" collapsed="false">
      <c r="B386" s="42"/>
      <c r="C386" s="42"/>
      <c r="D386" s="35"/>
      <c r="E386" s="22"/>
      <c r="F386" s="13" t="n">
        <f aca="false">IFERROR(D386*E386,0)</f>
        <v>0</v>
      </c>
      <c r="G386" s="31"/>
      <c r="H386" s="14"/>
    </row>
    <row r="387" customFormat="false" ht="15" hidden="false" customHeight="true" outlineLevel="0" collapsed="false">
      <c r="B387" s="42"/>
      <c r="C387" s="42"/>
      <c r="D387" s="35"/>
      <c r="E387" s="22"/>
      <c r="F387" s="13" t="n">
        <f aca="false">IFERROR(D387*E387,0)</f>
        <v>0</v>
      </c>
      <c r="G387" s="31"/>
      <c r="H387" s="14"/>
    </row>
    <row r="388" customFormat="false" ht="15" hidden="false" customHeight="true" outlineLevel="0" collapsed="false">
      <c r="B388" s="42"/>
      <c r="C388" s="42"/>
      <c r="D388" s="35"/>
      <c r="E388" s="22"/>
      <c r="F388" s="13" t="n">
        <f aca="false">IFERROR(D388*E388,0)</f>
        <v>0</v>
      </c>
      <c r="G388" s="31"/>
      <c r="H388" s="14"/>
    </row>
    <row r="389" customFormat="false" ht="15" hidden="false" customHeight="true" outlineLevel="0" collapsed="false">
      <c r="B389" s="42"/>
      <c r="C389" s="42"/>
      <c r="D389" s="35"/>
      <c r="E389" s="22"/>
      <c r="F389" s="13" t="n">
        <f aca="false">IFERROR(D389*E389,0)</f>
        <v>0</v>
      </c>
      <c r="G389" s="31"/>
      <c r="H389" s="14"/>
    </row>
    <row r="390" customFormat="false" ht="15" hidden="false" customHeight="true" outlineLevel="0" collapsed="false">
      <c r="B390" s="42"/>
      <c r="C390" s="42"/>
      <c r="D390" s="35"/>
      <c r="E390" s="22"/>
      <c r="F390" s="13" t="n">
        <f aca="false">IFERROR(D390*E390,0)</f>
        <v>0</v>
      </c>
      <c r="G390" s="31"/>
      <c r="H390" s="14"/>
    </row>
    <row r="391" customFormat="false" ht="15" hidden="false" customHeight="true" outlineLevel="0" collapsed="false">
      <c r="B391" s="42"/>
      <c r="C391" s="42"/>
      <c r="D391" s="35"/>
      <c r="E391" s="22"/>
      <c r="F391" s="13" t="n">
        <f aca="false">IFERROR(D391*E391,0)</f>
        <v>0</v>
      </c>
      <c r="G391" s="31"/>
      <c r="H391" s="14"/>
    </row>
    <row r="392" customFormat="false" ht="15" hidden="false" customHeight="true" outlineLevel="0" collapsed="false">
      <c r="B392" s="42"/>
      <c r="C392" s="42"/>
      <c r="D392" s="35"/>
      <c r="E392" s="22"/>
      <c r="F392" s="13" t="n">
        <f aca="false">IFERROR(D392*E392,0)</f>
        <v>0</v>
      </c>
      <c r="G392" s="31"/>
      <c r="H392" s="14"/>
    </row>
    <row r="393" customFormat="false" ht="15" hidden="false" customHeight="true" outlineLevel="0" collapsed="false">
      <c r="B393" s="42"/>
      <c r="C393" s="42"/>
      <c r="D393" s="35"/>
      <c r="E393" s="22"/>
      <c r="F393" s="13" t="n">
        <f aca="false">IFERROR(D393*E393,0)</f>
        <v>0</v>
      </c>
      <c r="G393" s="31"/>
      <c r="H393" s="14"/>
    </row>
    <row r="394" customFormat="false" ht="15" hidden="false" customHeight="true" outlineLevel="0" collapsed="false">
      <c r="B394" s="42"/>
      <c r="C394" s="42"/>
      <c r="D394" s="35"/>
      <c r="E394" s="22"/>
      <c r="F394" s="13" t="n">
        <f aca="false">IFERROR(D394*E394,0)</f>
        <v>0</v>
      </c>
      <c r="G394" s="31"/>
      <c r="H394" s="14"/>
    </row>
    <row r="395" customFormat="false" ht="15" hidden="false" customHeight="true" outlineLevel="0" collapsed="false">
      <c r="B395" s="42"/>
      <c r="C395" s="42"/>
      <c r="D395" s="35"/>
      <c r="E395" s="22"/>
      <c r="F395" s="13" t="n">
        <f aca="false">IFERROR(D395*E395,0)</f>
        <v>0</v>
      </c>
      <c r="G395" s="31"/>
      <c r="H395" s="14"/>
    </row>
    <row r="396" customFormat="false" ht="15" hidden="false" customHeight="true" outlineLevel="0" collapsed="false">
      <c r="B396" s="42"/>
      <c r="C396" s="42"/>
      <c r="D396" s="35"/>
      <c r="E396" s="22"/>
      <c r="F396" s="13" t="n">
        <f aca="false">IFERROR(D396*E396,0)</f>
        <v>0</v>
      </c>
      <c r="G396" s="31"/>
      <c r="H396" s="14"/>
    </row>
    <row r="397" customFormat="false" ht="15" hidden="false" customHeight="true" outlineLevel="0" collapsed="false">
      <c r="B397" s="42"/>
      <c r="C397" s="42"/>
      <c r="D397" s="35"/>
      <c r="E397" s="22"/>
      <c r="F397" s="13" t="n">
        <f aca="false">IFERROR(D397*E397,0)</f>
        <v>0</v>
      </c>
      <c r="G397" s="31"/>
      <c r="H397" s="14"/>
    </row>
    <row r="398" customFormat="false" ht="15" hidden="false" customHeight="true" outlineLevel="0" collapsed="false">
      <c r="B398" s="42"/>
      <c r="C398" s="42"/>
      <c r="D398" s="35"/>
      <c r="E398" s="22"/>
      <c r="F398" s="13" t="n">
        <f aca="false">IFERROR(D398*E398,0)</f>
        <v>0</v>
      </c>
      <c r="G398" s="31"/>
      <c r="H398" s="14"/>
    </row>
    <row r="399" customFormat="false" ht="15" hidden="false" customHeight="true" outlineLevel="0" collapsed="false">
      <c r="B399" s="42"/>
      <c r="C399" s="42"/>
      <c r="D399" s="35"/>
      <c r="E399" s="22"/>
      <c r="F399" s="13" t="n">
        <f aca="false">IFERROR(D399*E399,0)</f>
        <v>0</v>
      </c>
      <c r="G399" s="31"/>
      <c r="H399" s="14"/>
    </row>
    <row r="400" customFormat="false" ht="15" hidden="false" customHeight="true" outlineLevel="0" collapsed="false">
      <c r="B400" s="42"/>
      <c r="C400" s="42"/>
      <c r="D400" s="35"/>
      <c r="E400" s="22"/>
      <c r="F400" s="13" t="n">
        <f aca="false">IFERROR(D400*E400,0)</f>
        <v>0</v>
      </c>
      <c r="G400" s="31"/>
      <c r="H400" s="14"/>
    </row>
    <row r="401" customFormat="false" ht="15" hidden="false" customHeight="true" outlineLevel="0" collapsed="false">
      <c r="B401" s="42"/>
      <c r="C401" s="42"/>
      <c r="D401" s="35"/>
      <c r="E401" s="22"/>
      <c r="F401" s="13" t="n">
        <f aca="false">IFERROR(D401*E401,0)</f>
        <v>0</v>
      </c>
      <c r="G401" s="31"/>
      <c r="H401" s="14"/>
    </row>
    <row r="402" customFormat="false" ht="15" hidden="false" customHeight="true" outlineLevel="0" collapsed="false">
      <c r="B402" s="42"/>
      <c r="C402" s="42"/>
      <c r="D402" s="35"/>
      <c r="E402" s="22"/>
      <c r="F402" s="13" t="n">
        <f aca="false">IFERROR(D402*E402,0)</f>
        <v>0</v>
      </c>
      <c r="G402" s="31"/>
      <c r="H402" s="14"/>
    </row>
    <row r="403" customFormat="false" ht="15" hidden="false" customHeight="true" outlineLevel="0" collapsed="false">
      <c r="B403" s="42"/>
      <c r="C403" s="42"/>
      <c r="D403" s="35"/>
      <c r="E403" s="22"/>
      <c r="F403" s="13" t="n">
        <f aca="false">IFERROR(D403*E403,0)</f>
        <v>0</v>
      </c>
      <c r="G403" s="31"/>
      <c r="H403" s="14"/>
    </row>
    <row r="404" customFormat="false" ht="15" hidden="false" customHeight="true" outlineLevel="0" collapsed="false">
      <c r="B404" s="42"/>
      <c r="C404" s="42"/>
      <c r="D404" s="35"/>
      <c r="E404" s="22"/>
      <c r="F404" s="13" t="n">
        <f aca="false">IFERROR(D404*E404,0)</f>
        <v>0</v>
      </c>
      <c r="G404" s="31"/>
      <c r="H404" s="14"/>
    </row>
    <row r="405" customFormat="false" ht="15" hidden="false" customHeight="true" outlineLevel="0" collapsed="false">
      <c r="B405" s="42"/>
      <c r="C405" s="42"/>
      <c r="D405" s="35"/>
      <c r="E405" s="22"/>
      <c r="F405" s="13" t="n">
        <f aca="false">IFERROR(D405*E405,0)</f>
        <v>0</v>
      </c>
      <c r="G405" s="31"/>
      <c r="H405" s="14"/>
    </row>
    <row r="406" customFormat="false" ht="15" hidden="false" customHeight="true" outlineLevel="0" collapsed="false">
      <c r="B406" s="42"/>
      <c r="C406" s="42"/>
      <c r="D406" s="35"/>
      <c r="E406" s="22"/>
      <c r="F406" s="13" t="n">
        <f aca="false">IFERROR(D406*E406,0)</f>
        <v>0</v>
      </c>
      <c r="G406" s="31"/>
      <c r="H406" s="14"/>
    </row>
    <row r="407" customFormat="false" ht="15" hidden="false" customHeight="true" outlineLevel="0" collapsed="false">
      <c r="B407" s="42"/>
      <c r="C407" s="42"/>
      <c r="D407" s="35"/>
      <c r="E407" s="22"/>
      <c r="F407" s="13" t="n">
        <f aca="false">IFERROR(D407*E407,0)</f>
        <v>0</v>
      </c>
      <c r="G407" s="31"/>
      <c r="H407" s="14"/>
    </row>
    <row r="408" customFormat="false" ht="15" hidden="false" customHeight="true" outlineLevel="0" collapsed="false">
      <c r="B408" s="42"/>
      <c r="C408" s="42"/>
      <c r="D408" s="35"/>
      <c r="E408" s="22"/>
      <c r="F408" s="13" t="n">
        <f aca="false">IFERROR(D408*E408,0)</f>
        <v>0</v>
      </c>
      <c r="G408" s="31"/>
      <c r="H408" s="14"/>
    </row>
    <row r="409" customFormat="false" ht="15" hidden="false" customHeight="true" outlineLevel="0" collapsed="false">
      <c r="B409" s="42"/>
      <c r="C409" s="42"/>
      <c r="D409" s="35"/>
      <c r="E409" s="22"/>
      <c r="F409" s="13" t="n">
        <f aca="false">IFERROR(D409*E409,0)</f>
        <v>0</v>
      </c>
      <c r="G409" s="31"/>
      <c r="H409" s="14"/>
    </row>
    <row r="410" customFormat="false" ht="15" hidden="false" customHeight="true" outlineLevel="0" collapsed="false">
      <c r="B410" s="42"/>
      <c r="C410" s="42"/>
      <c r="D410" s="35"/>
      <c r="E410" s="22"/>
      <c r="F410" s="13" t="n">
        <f aca="false">IFERROR(D410*E410,0)</f>
        <v>0</v>
      </c>
      <c r="G410" s="31"/>
      <c r="H410" s="14"/>
    </row>
    <row r="411" customFormat="false" ht="15" hidden="false" customHeight="true" outlineLevel="0" collapsed="false">
      <c r="B411" s="42"/>
      <c r="C411" s="42"/>
      <c r="D411" s="35"/>
      <c r="E411" s="22"/>
      <c r="F411" s="13" t="n">
        <f aca="false">IFERROR(D411*E411,0)</f>
        <v>0</v>
      </c>
      <c r="G411" s="31"/>
      <c r="H411" s="14"/>
    </row>
    <row r="412" customFormat="false" ht="15" hidden="false" customHeight="true" outlineLevel="0" collapsed="false">
      <c r="B412" s="42"/>
      <c r="C412" s="42"/>
      <c r="D412" s="35"/>
      <c r="E412" s="22"/>
      <c r="F412" s="13" t="n">
        <f aca="false">IFERROR(D412*E412,0)</f>
        <v>0</v>
      </c>
      <c r="G412" s="31"/>
      <c r="H412" s="14"/>
    </row>
    <row r="413" customFormat="false" ht="15" hidden="false" customHeight="true" outlineLevel="0" collapsed="false">
      <c r="B413" s="42"/>
      <c r="C413" s="42"/>
      <c r="D413" s="35"/>
      <c r="E413" s="22"/>
      <c r="F413" s="13" t="n">
        <f aca="false">IFERROR(D413*E413,0)</f>
        <v>0</v>
      </c>
      <c r="G413" s="31"/>
      <c r="H413" s="14"/>
    </row>
    <row r="414" customFormat="false" ht="15" hidden="false" customHeight="true" outlineLevel="0" collapsed="false">
      <c r="B414" s="42"/>
      <c r="C414" s="42"/>
      <c r="D414" s="35"/>
      <c r="E414" s="22"/>
      <c r="F414" s="13" t="n">
        <f aca="false">IFERROR(D414*E414,0)</f>
        <v>0</v>
      </c>
      <c r="G414" s="31"/>
      <c r="H414" s="14"/>
    </row>
    <row r="415" customFormat="false" ht="15" hidden="false" customHeight="true" outlineLevel="0" collapsed="false">
      <c r="B415" s="42"/>
      <c r="C415" s="42"/>
      <c r="D415" s="35"/>
      <c r="E415" s="22"/>
      <c r="F415" s="13" t="n">
        <f aca="false">IFERROR(D415*E415,0)</f>
        <v>0</v>
      </c>
      <c r="G415" s="31"/>
      <c r="H415" s="14"/>
    </row>
    <row r="416" customFormat="false" ht="15" hidden="false" customHeight="true" outlineLevel="0" collapsed="false">
      <c r="B416" s="42"/>
      <c r="C416" s="42"/>
      <c r="D416" s="35"/>
      <c r="E416" s="22"/>
      <c r="F416" s="13" t="n">
        <f aca="false">IFERROR(D416*E416,0)</f>
        <v>0</v>
      </c>
      <c r="G416" s="31"/>
      <c r="H416" s="14"/>
    </row>
    <row r="417" customFormat="false" ht="15" hidden="false" customHeight="true" outlineLevel="0" collapsed="false">
      <c r="B417" s="42"/>
      <c r="C417" s="42"/>
      <c r="D417" s="35"/>
      <c r="E417" s="22"/>
      <c r="F417" s="13" t="n">
        <f aca="false">IFERROR(D417*E417,0)</f>
        <v>0</v>
      </c>
      <c r="G417" s="31"/>
      <c r="H417" s="14"/>
    </row>
    <row r="418" customFormat="false" ht="15" hidden="false" customHeight="true" outlineLevel="0" collapsed="false">
      <c r="B418" s="42"/>
      <c r="C418" s="42"/>
      <c r="D418" s="35"/>
      <c r="E418" s="22"/>
      <c r="F418" s="13" t="n">
        <f aca="false">IFERROR(D418*E418,0)</f>
        <v>0</v>
      </c>
      <c r="G418" s="31"/>
      <c r="H418" s="14"/>
    </row>
    <row r="419" customFormat="false" ht="15" hidden="false" customHeight="true" outlineLevel="0" collapsed="false">
      <c r="B419" s="42"/>
      <c r="C419" s="42"/>
      <c r="D419" s="35"/>
      <c r="E419" s="22"/>
      <c r="F419" s="13" t="n">
        <f aca="false">IFERROR(D419*E419,0)</f>
        <v>0</v>
      </c>
      <c r="G419" s="31"/>
      <c r="H419" s="14"/>
    </row>
    <row r="420" customFormat="false" ht="15" hidden="false" customHeight="true" outlineLevel="0" collapsed="false">
      <c r="B420" s="42"/>
      <c r="C420" s="42"/>
      <c r="D420" s="35"/>
      <c r="E420" s="22"/>
      <c r="F420" s="13" t="n">
        <f aca="false">IFERROR(D420*E420,0)</f>
        <v>0</v>
      </c>
      <c r="G420" s="31"/>
      <c r="H420" s="14"/>
    </row>
    <row r="421" customFormat="false" ht="15" hidden="false" customHeight="true" outlineLevel="0" collapsed="false">
      <c r="B421" s="42"/>
      <c r="C421" s="42"/>
      <c r="D421" s="35"/>
      <c r="E421" s="22"/>
      <c r="F421" s="13" t="n">
        <f aca="false">IFERROR(D421*E421,0)</f>
        <v>0</v>
      </c>
      <c r="G421" s="31"/>
      <c r="H421" s="14"/>
    </row>
    <row r="422" customFormat="false" ht="15" hidden="false" customHeight="true" outlineLevel="0" collapsed="false">
      <c r="B422" s="42"/>
      <c r="C422" s="42"/>
      <c r="D422" s="35"/>
      <c r="E422" s="22"/>
      <c r="F422" s="13" t="n">
        <f aca="false">IFERROR(D422*E422,0)</f>
        <v>0</v>
      </c>
      <c r="G422" s="31"/>
      <c r="H422" s="14"/>
    </row>
    <row r="423" customFormat="false" ht="15" hidden="false" customHeight="true" outlineLevel="0" collapsed="false">
      <c r="B423" s="42"/>
      <c r="C423" s="42"/>
      <c r="D423" s="35"/>
      <c r="E423" s="22"/>
      <c r="F423" s="13" t="n">
        <f aca="false">IFERROR(D423*E423,0)</f>
        <v>0</v>
      </c>
      <c r="G423" s="31"/>
      <c r="H423" s="14"/>
    </row>
    <row r="424" customFormat="false" ht="15" hidden="false" customHeight="true" outlineLevel="0" collapsed="false">
      <c r="B424" s="42"/>
      <c r="C424" s="42"/>
      <c r="D424" s="35"/>
      <c r="E424" s="22"/>
      <c r="F424" s="13" t="n">
        <f aca="false">IFERROR(D424*E424,0)</f>
        <v>0</v>
      </c>
      <c r="G424" s="31"/>
      <c r="H424" s="14"/>
    </row>
    <row r="425" customFormat="false" ht="15" hidden="false" customHeight="true" outlineLevel="0" collapsed="false">
      <c r="B425" s="42"/>
      <c r="C425" s="42"/>
      <c r="D425" s="35"/>
      <c r="E425" s="22"/>
      <c r="F425" s="13" t="n">
        <f aca="false">IFERROR(D425*E425,0)</f>
        <v>0</v>
      </c>
      <c r="G425" s="31"/>
      <c r="H425" s="14"/>
    </row>
    <row r="426" customFormat="false" ht="15" hidden="false" customHeight="true" outlineLevel="0" collapsed="false">
      <c r="B426" s="42"/>
      <c r="C426" s="42"/>
      <c r="D426" s="35"/>
      <c r="E426" s="22"/>
      <c r="F426" s="13" t="n">
        <f aca="false">IFERROR(D426*E426,0)</f>
        <v>0</v>
      </c>
      <c r="G426" s="31"/>
      <c r="H426" s="14"/>
    </row>
    <row r="427" customFormat="false" ht="15" hidden="false" customHeight="true" outlineLevel="0" collapsed="false">
      <c r="B427" s="42"/>
      <c r="C427" s="42"/>
      <c r="D427" s="35"/>
      <c r="E427" s="22"/>
      <c r="F427" s="13" t="n">
        <f aca="false">IFERROR(D427*E427,0)</f>
        <v>0</v>
      </c>
      <c r="G427" s="31"/>
      <c r="H427" s="14"/>
    </row>
    <row r="428" customFormat="false" ht="15" hidden="false" customHeight="true" outlineLevel="0" collapsed="false">
      <c r="B428" s="42"/>
      <c r="C428" s="42"/>
      <c r="D428" s="35"/>
      <c r="E428" s="22"/>
      <c r="F428" s="13" t="n">
        <f aca="false">IFERROR(D428*E428,0)</f>
        <v>0</v>
      </c>
      <c r="G428" s="31"/>
      <c r="H428" s="14"/>
    </row>
    <row r="429" customFormat="false" ht="15" hidden="false" customHeight="true" outlineLevel="0" collapsed="false">
      <c r="B429" s="42"/>
      <c r="C429" s="42"/>
      <c r="D429" s="35"/>
      <c r="E429" s="22"/>
      <c r="F429" s="13" t="n">
        <f aca="false">IFERROR(D429*E429,0)</f>
        <v>0</v>
      </c>
      <c r="G429" s="31"/>
      <c r="H429" s="14"/>
    </row>
    <row r="430" customFormat="false" ht="15" hidden="false" customHeight="true" outlineLevel="0" collapsed="false">
      <c r="B430" s="42"/>
      <c r="C430" s="42"/>
      <c r="D430" s="35"/>
      <c r="E430" s="22"/>
      <c r="F430" s="13" t="n">
        <f aca="false">IFERROR(D430*E430,0)</f>
        <v>0</v>
      </c>
      <c r="G430" s="31"/>
      <c r="H430" s="14"/>
    </row>
    <row r="431" customFormat="false" ht="15" hidden="false" customHeight="true" outlineLevel="0" collapsed="false">
      <c r="B431" s="42"/>
      <c r="C431" s="42"/>
      <c r="D431" s="35"/>
      <c r="E431" s="22"/>
      <c r="F431" s="13" t="n">
        <f aca="false">IFERROR(D431*E431,0)</f>
        <v>0</v>
      </c>
      <c r="G431" s="31"/>
      <c r="H431" s="14"/>
    </row>
    <row r="432" customFormat="false" ht="15" hidden="false" customHeight="true" outlineLevel="0" collapsed="false">
      <c r="B432" s="42"/>
      <c r="C432" s="42"/>
      <c r="D432" s="35"/>
      <c r="E432" s="22"/>
      <c r="F432" s="13" t="n">
        <f aca="false">IFERROR(D432*E432,0)</f>
        <v>0</v>
      </c>
      <c r="G432" s="31"/>
      <c r="H432" s="14"/>
    </row>
    <row r="433" customFormat="false" ht="15" hidden="false" customHeight="true" outlineLevel="0" collapsed="false">
      <c r="B433" s="42"/>
      <c r="C433" s="42"/>
      <c r="D433" s="35"/>
      <c r="E433" s="22"/>
      <c r="F433" s="13" t="n">
        <f aca="false">IFERROR(D433*E433,0)</f>
        <v>0</v>
      </c>
      <c r="G433" s="31"/>
      <c r="H433" s="14"/>
    </row>
    <row r="434" customFormat="false" ht="15" hidden="false" customHeight="true" outlineLevel="0" collapsed="false">
      <c r="B434" s="42"/>
      <c r="C434" s="42"/>
      <c r="D434" s="35"/>
      <c r="E434" s="22"/>
      <c r="F434" s="13" t="n">
        <f aca="false">IFERROR(D434*E434,0)</f>
        <v>0</v>
      </c>
      <c r="G434" s="31"/>
      <c r="H434" s="14"/>
    </row>
    <row r="435" customFormat="false" ht="15" hidden="false" customHeight="true" outlineLevel="0" collapsed="false">
      <c r="B435" s="42"/>
      <c r="C435" s="42"/>
      <c r="D435" s="35"/>
      <c r="E435" s="22"/>
      <c r="F435" s="13" t="n">
        <f aca="false">IFERROR(D435*E435,0)</f>
        <v>0</v>
      </c>
      <c r="G435" s="31"/>
      <c r="H435" s="14"/>
    </row>
    <row r="436" customFormat="false" ht="15" hidden="false" customHeight="true" outlineLevel="0" collapsed="false">
      <c r="B436" s="42"/>
      <c r="C436" s="42"/>
      <c r="D436" s="35"/>
      <c r="E436" s="22"/>
      <c r="F436" s="13" t="n">
        <f aca="false">IFERROR(D436*E436,0)</f>
        <v>0</v>
      </c>
      <c r="G436" s="31"/>
      <c r="H436" s="14"/>
    </row>
    <row r="437" customFormat="false" ht="15" hidden="false" customHeight="true" outlineLevel="0" collapsed="false">
      <c r="B437" s="42"/>
      <c r="C437" s="42"/>
      <c r="D437" s="35"/>
      <c r="E437" s="22"/>
      <c r="F437" s="13" t="n">
        <f aca="false">IFERROR(D437*E437,0)</f>
        <v>0</v>
      </c>
      <c r="G437" s="31"/>
      <c r="H437" s="14"/>
    </row>
    <row r="438" customFormat="false" ht="15" hidden="false" customHeight="true" outlineLevel="0" collapsed="false">
      <c r="B438" s="42"/>
      <c r="C438" s="42"/>
      <c r="D438" s="35"/>
      <c r="E438" s="22"/>
      <c r="F438" s="13" t="n">
        <f aca="false">IFERROR(D438*E438,0)</f>
        <v>0</v>
      </c>
      <c r="G438" s="31"/>
      <c r="H438" s="14"/>
    </row>
    <row r="439" customFormat="false" ht="15" hidden="false" customHeight="true" outlineLevel="0" collapsed="false">
      <c r="B439" s="42"/>
      <c r="C439" s="42"/>
      <c r="D439" s="35"/>
      <c r="E439" s="22"/>
      <c r="F439" s="13" t="n">
        <f aca="false">IFERROR(D439*E439,0)</f>
        <v>0</v>
      </c>
      <c r="G439" s="31"/>
      <c r="H439" s="14"/>
    </row>
    <row r="440" customFormat="false" ht="15" hidden="false" customHeight="true" outlineLevel="0" collapsed="false">
      <c r="B440" s="42"/>
      <c r="C440" s="42"/>
      <c r="D440" s="35"/>
      <c r="E440" s="22"/>
      <c r="F440" s="13" t="n">
        <f aca="false">IFERROR(D440*E440,0)</f>
        <v>0</v>
      </c>
      <c r="G440" s="31"/>
      <c r="H440" s="14"/>
    </row>
    <row r="441" customFormat="false" ht="15" hidden="false" customHeight="true" outlineLevel="0" collapsed="false">
      <c r="B441" s="42"/>
      <c r="C441" s="42"/>
      <c r="D441" s="35"/>
      <c r="E441" s="22"/>
      <c r="F441" s="13" t="n">
        <f aca="false">IFERROR(D441*E441,0)</f>
        <v>0</v>
      </c>
      <c r="G441" s="31"/>
      <c r="H441" s="14"/>
    </row>
    <row r="442" customFormat="false" ht="15" hidden="false" customHeight="true" outlineLevel="0" collapsed="false">
      <c r="B442" s="42"/>
      <c r="C442" s="42"/>
      <c r="D442" s="35"/>
      <c r="E442" s="22"/>
      <c r="F442" s="13" t="n">
        <f aca="false">IFERROR(D442*E442,0)</f>
        <v>0</v>
      </c>
      <c r="G442" s="31"/>
      <c r="H442" s="14"/>
    </row>
    <row r="443" customFormat="false" ht="15" hidden="false" customHeight="true" outlineLevel="0" collapsed="false">
      <c r="B443" s="42"/>
      <c r="C443" s="42"/>
      <c r="D443" s="35"/>
      <c r="E443" s="22"/>
      <c r="F443" s="13" t="n">
        <f aca="false">IFERROR(D443*E443,0)</f>
        <v>0</v>
      </c>
      <c r="G443" s="31"/>
      <c r="H443" s="14"/>
    </row>
    <row r="444" customFormat="false" ht="15" hidden="false" customHeight="true" outlineLevel="0" collapsed="false">
      <c r="B444" s="42"/>
      <c r="C444" s="42"/>
      <c r="D444" s="35"/>
      <c r="E444" s="22"/>
      <c r="F444" s="13" t="n">
        <f aca="false">IFERROR(D444*E444,0)</f>
        <v>0</v>
      </c>
      <c r="G444" s="31"/>
      <c r="H444" s="14"/>
    </row>
    <row r="445" customFormat="false" ht="15" hidden="false" customHeight="true" outlineLevel="0" collapsed="false">
      <c r="B445" s="42"/>
      <c r="C445" s="42"/>
      <c r="D445" s="35"/>
      <c r="E445" s="22"/>
      <c r="F445" s="13" t="n">
        <f aca="false">IFERROR(D445*E445,0)</f>
        <v>0</v>
      </c>
      <c r="G445" s="31"/>
      <c r="H445" s="14"/>
    </row>
    <row r="446" customFormat="false" ht="15" hidden="false" customHeight="true" outlineLevel="0" collapsed="false">
      <c r="B446" s="42"/>
      <c r="C446" s="42"/>
      <c r="D446" s="35"/>
      <c r="E446" s="22"/>
      <c r="F446" s="13" t="n">
        <f aca="false">IFERROR(D446*E446,0)</f>
        <v>0</v>
      </c>
      <c r="G446" s="31"/>
      <c r="H446" s="14"/>
    </row>
    <row r="447" customFormat="false" ht="15" hidden="false" customHeight="true" outlineLevel="0" collapsed="false">
      <c r="B447" s="42"/>
      <c r="C447" s="42"/>
      <c r="D447" s="35"/>
      <c r="E447" s="22"/>
      <c r="F447" s="13" t="n">
        <f aca="false">IFERROR(D447*E447,0)</f>
        <v>0</v>
      </c>
      <c r="G447" s="31"/>
      <c r="H447" s="14"/>
    </row>
    <row r="448" customFormat="false" ht="15" hidden="false" customHeight="true" outlineLevel="0" collapsed="false">
      <c r="B448" s="42"/>
      <c r="C448" s="42"/>
      <c r="D448" s="35"/>
      <c r="E448" s="22"/>
      <c r="F448" s="13" t="n">
        <f aca="false">IFERROR(D448*E448,0)</f>
        <v>0</v>
      </c>
      <c r="G448" s="31"/>
      <c r="H448" s="14"/>
    </row>
    <row r="449" customFormat="false" ht="15" hidden="false" customHeight="true" outlineLevel="0" collapsed="false">
      <c r="B449" s="42"/>
      <c r="C449" s="42"/>
      <c r="D449" s="35"/>
      <c r="E449" s="22"/>
      <c r="F449" s="13" t="n">
        <f aca="false">IFERROR(D449*E449,0)</f>
        <v>0</v>
      </c>
      <c r="G449" s="31"/>
      <c r="H449" s="14"/>
    </row>
    <row r="450" customFormat="false" ht="15" hidden="false" customHeight="true" outlineLevel="0" collapsed="false">
      <c r="B450" s="42"/>
      <c r="C450" s="42"/>
      <c r="D450" s="35"/>
      <c r="E450" s="22"/>
      <c r="F450" s="13" t="n">
        <f aca="false">IFERROR(D450*E450,0)</f>
        <v>0</v>
      </c>
      <c r="G450" s="31"/>
      <c r="H450" s="14"/>
    </row>
    <row r="451" customFormat="false" ht="15" hidden="false" customHeight="true" outlineLevel="0" collapsed="false">
      <c r="B451" s="42"/>
      <c r="C451" s="42"/>
      <c r="D451" s="35"/>
      <c r="E451" s="22"/>
      <c r="F451" s="13" t="n">
        <f aca="false">IFERROR(D451*E451,0)</f>
        <v>0</v>
      </c>
      <c r="G451" s="31"/>
      <c r="H451" s="14"/>
    </row>
    <row r="452" customFormat="false" ht="15" hidden="false" customHeight="true" outlineLevel="0" collapsed="false">
      <c r="B452" s="42"/>
      <c r="C452" s="42"/>
      <c r="D452" s="35"/>
      <c r="E452" s="22"/>
      <c r="F452" s="13" t="n">
        <f aca="false">IFERROR(D452*E452,0)</f>
        <v>0</v>
      </c>
      <c r="G452" s="31"/>
      <c r="H452" s="14"/>
    </row>
    <row r="453" customFormat="false" ht="15" hidden="false" customHeight="true" outlineLevel="0" collapsed="false">
      <c r="B453" s="42"/>
      <c r="C453" s="42"/>
      <c r="D453" s="35"/>
      <c r="E453" s="22"/>
      <c r="F453" s="13" t="n">
        <f aca="false">IFERROR(D453*E453,0)</f>
        <v>0</v>
      </c>
      <c r="G453" s="31"/>
      <c r="H453" s="14"/>
    </row>
    <row r="454" customFormat="false" ht="15" hidden="false" customHeight="true" outlineLevel="0" collapsed="false">
      <c r="B454" s="42"/>
      <c r="C454" s="42"/>
      <c r="D454" s="35"/>
      <c r="E454" s="22"/>
      <c r="F454" s="13" t="n">
        <f aca="false">IFERROR(D454*E454,0)</f>
        <v>0</v>
      </c>
      <c r="G454" s="31"/>
      <c r="H454" s="14"/>
    </row>
    <row r="455" customFormat="false" ht="15" hidden="false" customHeight="true" outlineLevel="0" collapsed="false">
      <c r="B455" s="42"/>
      <c r="C455" s="42"/>
      <c r="D455" s="35"/>
      <c r="E455" s="22"/>
      <c r="F455" s="13" t="n">
        <f aca="false">IFERROR(D455*E455,0)</f>
        <v>0</v>
      </c>
      <c r="G455" s="31"/>
      <c r="H455" s="14"/>
    </row>
    <row r="456" customFormat="false" ht="15" hidden="false" customHeight="true" outlineLevel="0" collapsed="false">
      <c r="B456" s="42"/>
      <c r="C456" s="42"/>
      <c r="D456" s="35"/>
      <c r="E456" s="22"/>
      <c r="F456" s="13" t="n">
        <f aca="false">IFERROR(D456*E456,0)</f>
        <v>0</v>
      </c>
      <c r="G456" s="31"/>
      <c r="H456" s="14"/>
    </row>
    <row r="457" customFormat="false" ht="15" hidden="false" customHeight="true" outlineLevel="0" collapsed="false">
      <c r="B457" s="42"/>
      <c r="C457" s="42"/>
      <c r="D457" s="35"/>
      <c r="E457" s="22"/>
      <c r="F457" s="13" t="n">
        <f aca="false">IFERROR(D457*E457,0)</f>
        <v>0</v>
      </c>
      <c r="G457" s="31"/>
      <c r="H457" s="14"/>
    </row>
    <row r="458" customFormat="false" ht="15" hidden="false" customHeight="true" outlineLevel="0" collapsed="false">
      <c r="B458" s="42"/>
      <c r="C458" s="42"/>
      <c r="D458" s="35"/>
      <c r="E458" s="22"/>
      <c r="F458" s="13" t="n">
        <f aca="false">IFERROR(D458*E458,0)</f>
        <v>0</v>
      </c>
      <c r="G458" s="31"/>
      <c r="H458" s="14"/>
    </row>
    <row r="459" customFormat="false" ht="15" hidden="false" customHeight="true" outlineLevel="0" collapsed="false">
      <c r="B459" s="42"/>
      <c r="C459" s="42"/>
      <c r="D459" s="35"/>
      <c r="E459" s="22"/>
      <c r="F459" s="13" t="n">
        <f aca="false">IFERROR(D459*E459,0)</f>
        <v>0</v>
      </c>
      <c r="G459" s="31"/>
      <c r="H459" s="14"/>
    </row>
    <row r="460" customFormat="false" ht="15" hidden="false" customHeight="true" outlineLevel="0" collapsed="false">
      <c r="B460" s="42"/>
      <c r="C460" s="42"/>
      <c r="D460" s="35"/>
      <c r="E460" s="22"/>
      <c r="F460" s="13" t="n">
        <f aca="false">IFERROR(D460*E460,0)</f>
        <v>0</v>
      </c>
      <c r="G460" s="31"/>
      <c r="H460" s="14"/>
    </row>
    <row r="461" customFormat="false" ht="15" hidden="false" customHeight="true" outlineLevel="0" collapsed="false">
      <c r="B461" s="42"/>
      <c r="C461" s="42"/>
      <c r="D461" s="35"/>
      <c r="E461" s="22"/>
      <c r="F461" s="13" t="n">
        <f aca="false">IFERROR(D461*E461,0)</f>
        <v>0</v>
      </c>
      <c r="G461" s="31"/>
      <c r="H461" s="14"/>
    </row>
    <row r="462" customFormat="false" ht="15" hidden="false" customHeight="true" outlineLevel="0" collapsed="false">
      <c r="B462" s="42"/>
      <c r="C462" s="42"/>
      <c r="D462" s="35"/>
      <c r="E462" s="22"/>
      <c r="F462" s="13" t="n">
        <f aca="false">IFERROR(D462*E462,0)</f>
        <v>0</v>
      </c>
      <c r="G462" s="31"/>
      <c r="H462" s="14"/>
    </row>
    <row r="463" customFormat="false" ht="15" hidden="false" customHeight="true" outlineLevel="0" collapsed="false">
      <c r="B463" s="42"/>
      <c r="C463" s="42"/>
      <c r="D463" s="35"/>
      <c r="E463" s="22"/>
      <c r="F463" s="13" t="n">
        <f aca="false">IFERROR(D463*E463,0)</f>
        <v>0</v>
      </c>
      <c r="G463" s="31"/>
      <c r="H463" s="14"/>
    </row>
    <row r="464" customFormat="false" ht="15" hidden="false" customHeight="true" outlineLevel="0" collapsed="false">
      <c r="B464" s="42"/>
      <c r="C464" s="42"/>
      <c r="D464" s="35"/>
      <c r="E464" s="22"/>
      <c r="F464" s="13" t="n">
        <f aca="false">IFERROR(D464*E464,0)</f>
        <v>0</v>
      </c>
      <c r="G464" s="31"/>
      <c r="H464" s="14"/>
    </row>
    <row r="465" customFormat="false" ht="15" hidden="false" customHeight="true" outlineLevel="0" collapsed="false">
      <c r="B465" s="42"/>
      <c r="C465" s="42"/>
      <c r="D465" s="35"/>
      <c r="E465" s="22"/>
      <c r="F465" s="13" t="n">
        <f aca="false">IFERROR(D465*E465,0)</f>
        <v>0</v>
      </c>
      <c r="G465" s="31"/>
      <c r="H465" s="14"/>
    </row>
    <row r="466" customFormat="false" ht="15" hidden="false" customHeight="true" outlineLevel="0" collapsed="false">
      <c r="B466" s="42"/>
      <c r="C466" s="42"/>
      <c r="D466" s="35"/>
      <c r="E466" s="22"/>
      <c r="F466" s="13" t="n">
        <f aca="false">IFERROR(D466*E466,0)</f>
        <v>0</v>
      </c>
      <c r="G466" s="31"/>
      <c r="H466" s="14"/>
    </row>
    <row r="467" customFormat="false" ht="15" hidden="false" customHeight="true" outlineLevel="0" collapsed="false">
      <c r="B467" s="42"/>
      <c r="C467" s="42"/>
      <c r="D467" s="35"/>
      <c r="E467" s="22"/>
      <c r="F467" s="13" t="n">
        <f aca="false">IFERROR(D467*E467,0)</f>
        <v>0</v>
      </c>
      <c r="G467" s="31"/>
      <c r="H467" s="14"/>
    </row>
    <row r="468" customFormat="false" ht="15" hidden="false" customHeight="true" outlineLevel="0" collapsed="false">
      <c r="B468" s="42"/>
      <c r="C468" s="42"/>
      <c r="D468" s="35"/>
      <c r="E468" s="22"/>
      <c r="F468" s="13" t="n">
        <f aca="false">IFERROR(D468*E468,0)</f>
        <v>0</v>
      </c>
      <c r="G468" s="31"/>
      <c r="H468" s="14"/>
    </row>
    <row r="469" customFormat="false" ht="15" hidden="false" customHeight="true" outlineLevel="0" collapsed="false">
      <c r="B469" s="42"/>
      <c r="C469" s="42"/>
      <c r="D469" s="35"/>
      <c r="E469" s="22"/>
      <c r="F469" s="13" t="n">
        <f aca="false">IFERROR(D469*E469,0)</f>
        <v>0</v>
      </c>
      <c r="G469" s="31"/>
      <c r="H469" s="14"/>
    </row>
    <row r="470" customFormat="false" ht="15" hidden="false" customHeight="true" outlineLevel="0" collapsed="false">
      <c r="B470" s="42"/>
      <c r="C470" s="42"/>
      <c r="D470" s="35"/>
      <c r="E470" s="22"/>
      <c r="F470" s="13" t="n">
        <f aca="false">IFERROR(D470*E470,0)</f>
        <v>0</v>
      </c>
      <c r="G470" s="31"/>
      <c r="H470" s="14"/>
    </row>
    <row r="471" customFormat="false" ht="15" hidden="false" customHeight="true" outlineLevel="0" collapsed="false">
      <c r="B471" s="42"/>
      <c r="C471" s="42"/>
      <c r="D471" s="35"/>
      <c r="E471" s="22"/>
      <c r="F471" s="13" t="n">
        <f aca="false">IFERROR(D471*E471,0)</f>
        <v>0</v>
      </c>
      <c r="G471" s="31"/>
      <c r="H471" s="14"/>
    </row>
    <row r="472" customFormat="false" ht="15" hidden="false" customHeight="true" outlineLevel="0" collapsed="false">
      <c r="B472" s="42"/>
      <c r="C472" s="42"/>
      <c r="D472" s="35"/>
      <c r="E472" s="22"/>
      <c r="F472" s="13" t="n">
        <f aca="false">IFERROR(D472*E472,0)</f>
        <v>0</v>
      </c>
      <c r="G472" s="31"/>
      <c r="H472" s="14"/>
    </row>
    <row r="473" customFormat="false" ht="15" hidden="false" customHeight="true" outlineLevel="0" collapsed="false">
      <c r="B473" s="42"/>
      <c r="C473" s="42"/>
      <c r="D473" s="35"/>
      <c r="E473" s="22"/>
      <c r="F473" s="13" t="n">
        <f aca="false">IFERROR(D473*E473,0)</f>
        <v>0</v>
      </c>
      <c r="G473" s="31"/>
      <c r="H473" s="14"/>
    </row>
    <row r="474" customFormat="false" ht="15" hidden="false" customHeight="true" outlineLevel="0" collapsed="false">
      <c r="B474" s="42"/>
      <c r="C474" s="42"/>
      <c r="D474" s="35"/>
      <c r="E474" s="22"/>
      <c r="F474" s="13" t="n">
        <f aca="false">IFERROR(D474*E474,0)</f>
        <v>0</v>
      </c>
      <c r="G474" s="31"/>
      <c r="H474" s="14"/>
    </row>
    <row r="475" customFormat="false" ht="15" hidden="false" customHeight="true" outlineLevel="0" collapsed="false">
      <c r="B475" s="42"/>
      <c r="C475" s="42"/>
      <c r="D475" s="35"/>
      <c r="E475" s="22"/>
      <c r="F475" s="13" t="n">
        <f aca="false">IFERROR(D475*E475,0)</f>
        <v>0</v>
      </c>
      <c r="G475" s="31"/>
      <c r="H475" s="14"/>
    </row>
    <row r="476" customFormat="false" ht="15" hidden="false" customHeight="true" outlineLevel="0" collapsed="false">
      <c r="B476" s="42"/>
      <c r="C476" s="42"/>
      <c r="D476" s="35"/>
      <c r="E476" s="22"/>
      <c r="F476" s="13" t="n">
        <f aca="false">IFERROR(D476*E476,0)</f>
        <v>0</v>
      </c>
      <c r="G476" s="31"/>
      <c r="H476" s="14"/>
    </row>
    <row r="477" customFormat="false" ht="15" hidden="false" customHeight="true" outlineLevel="0" collapsed="false">
      <c r="B477" s="42"/>
      <c r="C477" s="42"/>
      <c r="D477" s="35"/>
      <c r="E477" s="22"/>
      <c r="F477" s="13" t="n">
        <f aca="false">IFERROR(D477*E477,0)</f>
        <v>0</v>
      </c>
      <c r="G477" s="31"/>
      <c r="H477" s="14"/>
    </row>
    <row r="478" customFormat="false" ht="15" hidden="false" customHeight="true" outlineLevel="0" collapsed="false">
      <c r="B478" s="42"/>
      <c r="C478" s="42"/>
      <c r="D478" s="35"/>
      <c r="E478" s="22"/>
      <c r="F478" s="13" t="n">
        <f aca="false">IFERROR(D478*E478,0)</f>
        <v>0</v>
      </c>
      <c r="G478" s="31"/>
      <c r="H478" s="14"/>
    </row>
    <row r="479" customFormat="false" ht="15" hidden="false" customHeight="true" outlineLevel="0" collapsed="false">
      <c r="B479" s="42"/>
      <c r="C479" s="42"/>
      <c r="D479" s="35"/>
      <c r="E479" s="22"/>
      <c r="F479" s="13" t="n">
        <f aca="false">IFERROR(D479*E479,0)</f>
        <v>0</v>
      </c>
      <c r="G479" s="31"/>
      <c r="H479" s="14"/>
    </row>
    <row r="480" customFormat="false" ht="15" hidden="false" customHeight="true" outlineLevel="0" collapsed="false">
      <c r="B480" s="42"/>
      <c r="C480" s="42"/>
      <c r="D480" s="35"/>
      <c r="E480" s="22"/>
      <c r="F480" s="13" t="n">
        <f aca="false">IFERROR(D480*E480,0)</f>
        <v>0</v>
      </c>
      <c r="G480" s="31"/>
      <c r="H480" s="14"/>
    </row>
    <row r="481" customFormat="false" ht="15" hidden="false" customHeight="true" outlineLevel="0" collapsed="false">
      <c r="B481" s="42"/>
      <c r="C481" s="42"/>
      <c r="D481" s="35"/>
      <c r="E481" s="22"/>
      <c r="F481" s="13" t="n">
        <f aca="false">IFERROR(D481*E481,0)</f>
        <v>0</v>
      </c>
      <c r="G481" s="31"/>
      <c r="H481" s="14"/>
    </row>
    <row r="482" customFormat="false" ht="15" hidden="false" customHeight="true" outlineLevel="0" collapsed="false">
      <c r="B482" s="42"/>
      <c r="C482" s="42"/>
      <c r="D482" s="35"/>
      <c r="E482" s="22"/>
      <c r="F482" s="13" t="n">
        <f aca="false">IFERROR(D482*E482,0)</f>
        <v>0</v>
      </c>
      <c r="G482" s="31"/>
      <c r="H482" s="14"/>
    </row>
    <row r="483" customFormat="false" ht="15" hidden="false" customHeight="true" outlineLevel="0" collapsed="false">
      <c r="B483" s="42"/>
      <c r="C483" s="42"/>
      <c r="D483" s="35"/>
      <c r="E483" s="22"/>
      <c r="F483" s="13" t="n">
        <f aca="false">IFERROR(D483*E483,0)</f>
        <v>0</v>
      </c>
      <c r="G483" s="31"/>
      <c r="H483" s="14"/>
    </row>
    <row r="484" customFormat="false" ht="15" hidden="false" customHeight="true" outlineLevel="0" collapsed="false">
      <c r="B484" s="42"/>
      <c r="C484" s="42"/>
      <c r="D484" s="35"/>
      <c r="E484" s="22"/>
      <c r="F484" s="13" t="n">
        <f aca="false">IFERROR(D484*E484,0)</f>
        <v>0</v>
      </c>
      <c r="G484" s="31"/>
      <c r="H484" s="14"/>
    </row>
    <row r="485" customFormat="false" ht="15" hidden="false" customHeight="true" outlineLevel="0" collapsed="false">
      <c r="B485" s="42"/>
      <c r="C485" s="42"/>
      <c r="D485" s="35"/>
      <c r="E485" s="22"/>
      <c r="F485" s="13" t="n">
        <f aca="false">IFERROR(D485*E485,0)</f>
        <v>0</v>
      </c>
      <c r="G485" s="31"/>
      <c r="H485" s="14"/>
    </row>
    <row r="486" customFormat="false" ht="15" hidden="false" customHeight="true" outlineLevel="0" collapsed="false">
      <c r="B486" s="42"/>
      <c r="C486" s="42"/>
      <c r="D486" s="35"/>
      <c r="E486" s="22"/>
      <c r="F486" s="13" t="n">
        <f aca="false">IFERROR(D486*E486,0)</f>
        <v>0</v>
      </c>
      <c r="G486" s="31"/>
      <c r="H486" s="14"/>
    </row>
    <row r="487" customFormat="false" ht="15" hidden="false" customHeight="true" outlineLevel="0" collapsed="false">
      <c r="B487" s="42"/>
      <c r="C487" s="42"/>
      <c r="D487" s="35"/>
      <c r="E487" s="22"/>
      <c r="F487" s="13" t="n">
        <f aca="false">IFERROR(D487*E487,0)</f>
        <v>0</v>
      </c>
      <c r="G487" s="31"/>
      <c r="H487" s="14"/>
    </row>
    <row r="488" customFormat="false" ht="15" hidden="false" customHeight="true" outlineLevel="0" collapsed="false">
      <c r="B488" s="42"/>
      <c r="C488" s="42"/>
      <c r="D488" s="35"/>
      <c r="E488" s="22"/>
      <c r="F488" s="13" t="n">
        <f aca="false">IFERROR(D488*E488,0)</f>
        <v>0</v>
      </c>
      <c r="G488" s="31"/>
      <c r="H488" s="14"/>
    </row>
    <row r="489" customFormat="false" ht="15" hidden="false" customHeight="true" outlineLevel="0" collapsed="false">
      <c r="B489" s="42"/>
      <c r="C489" s="42"/>
      <c r="D489" s="35"/>
      <c r="E489" s="22"/>
      <c r="F489" s="13" t="n">
        <f aca="false">IFERROR(D489*E489,0)</f>
        <v>0</v>
      </c>
      <c r="G489" s="31"/>
      <c r="H489" s="14"/>
    </row>
    <row r="490" customFormat="false" ht="15" hidden="false" customHeight="true" outlineLevel="0" collapsed="false">
      <c r="B490" s="42"/>
      <c r="C490" s="42"/>
      <c r="D490" s="35"/>
      <c r="E490" s="22"/>
      <c r="F490" s="13" t="n">
        <f aca="false">IFERROR(D490*E490,0)</f>
        <v>0</v>
      </c>
      <c r="G490" s="31"/>
      <c r="H490" s="14"/>
    </row>
    <row r="491" customFormat="false" ht="15" hidden="false" customHeight="true" outlineLevel="0" collapsed="false">
      <c r="B491" s="42"/>
      <c r="C491" s="42"/>
      <c r="D491" s="35"/>
      <c r="E491" s="22"/>
      <c r="F491" s="13" t="n">
        <f aca="false">IFERROR(D491*E491,0)</f>
        <v>0</v>
      </c>
      <c r="G491" s="31"/>
      <c r="H491" s="14"/>
    </row>
    <row r="492" customFormat="false" ht="15" hidden="false" customHeight="true" outlineLevel="0" collapsed="false">
      <c r="B492" s="42"/>
      <c r="C492" s="42"/>
      <c r="D492" s="35"/>
      <c r="E492" s="22"/>
      <c r="F492" s="13" t="n">
        <f aca="false">IFERROR(D492*E492,0)</f>
        <v>0</v>
      </c>
      <c r="G492" s="31"/>
      <c r="H492" s="14"/>
    </row>
    <row r="493" customFormat="false" ht="15" hidden="false" customHeight="true" outlineLevel="0" collapsed="false">
      <c r="B493" s="42"/>
      <c r="C493" s="42"/>
      <c r="D493" s="35"/>
      <c r="E493" s="22"/>
      <c r="F493" s="13" t="n">
        <f aca="false">IFERROR(D493*E493,0)</f>
        <v>0</v>
      </c>
      <c r="G493" s="31"/>
      <c r="H493" s="14"/>
    </row>
    <row r="494" customFormat="false" ht="15" hidden="false" customHeight="true" outlineLevel="0" collapsed="false">
      <c r="B494" s="42"/>
      <c r="C494" s="42"/>
      <c r="D494" s="35"/>
      <c r="E494" s="22"/>
      <c r="F494" s="13" t="n">
        <f aca="false">IFERROR(D494*E494,0)</f>
        <v>0</v>
      </c>
      <c r="G494" s="31"/>
      <c r="H494" s="14"/>
    </row>
    <row r="495" customFormat="false" ht="15" hidden="false" customHeight="true" outlineLevel="0" collapsed="false">
      <c r="B495" s="42"/>
      <c r="C495" s="42"/>
      <c r="D495" s="35"/>
      <c r="E495" s="22"/>
      <c r="F495" s="13" t="n">
        <f aca="false">IFERROR(D495*E495,0)</f>
        <v>0</v>
      </c>
      <c r="G495" s="31"/>
      <c r="H495" s="14"/>
    </row>
    <row r="496" customFormat="false" ht="15" hidden="false" customHeight="true" outlineLevel="0" collapsed="false">
      <c r="B496" s="42"/>
      <c r="C496" s="42"/>
      <c r="D496" s="35"/>
      <c r="E496" s="22"/>
      <c r="F496" s="13" t="n">
        <f aca="false">IFERROR(D496*E496,0)</f>
        <v>0</v>
      </c>
      <c r="G496" s="31"/>
      <c r="H496" s="14"/>
    </row>
    <row r="497" customFormat="false" ht="15" hidden="false" customHeight="true" outlineLevel="0" collapsed="false">
      <c r="B497" s="42"/>
      <c r="C497" s="42"/>
      <c r="D497" s="35"/>
      <c r="E497" s="22"/>
      <c r="F497" s="13" t="n">
        <f aca="false">IFERROR(D497*E497,0)</f>
        <v>0</v>
      </c>
      <c r="G497" s="31"/>
      <c r="H497" s="14"/>
    </row>
    <row r="498" customFormat="false" ht="15" hidden="false" customHeight="true" outlineLevel="0" collapsed="false">
      <c r="B498" s="42"/>
      <c r="C498" s="42"/>
      <c r="D498" s="35"/>
      <c r="E498" s="22"/>
      <c r="F498" s="13" t="n">
        <f aca="false">IFERROR(D498*E498,0)</f>
        <v>0</v>
      </c>
      <c r="G498" s="31"/>
      <c r="H498" s="14"/>
    </row>
    <row r="499" customFormat="false" ht="15" hidden="false" customHeight="true" outlineLevel="0" collapsed="false">
      <c r="B499" s="42"/>
      <c r="C499" s="42"/>
      <c r="D499" s="35"/>
      <c r="E499" s="22"/>
      <c r="F499" s="13" t="n">
        <f aca="false">IFERROR(D499*E499,0)</f>
        <v>0</v>
      </c>
      <c r="G499" s="31"/>
      <c r="H499" s="14"/>
    </row>
    <row r="500" customFormat="false" ht="15" hidden="false" customHeight="true" outlineLevel="0" collapsed="false">
      <c r="B500" s="42"/>
      <c r="C500" s="42"/>
      <c r="D500" s="35"/>
      <c r="E500" s="22"/>
      <c r="F500" s="13" t="n">
        <f aca="false">IFERROR(D500*E500,0)</f>
        <v>0</v>
      </c>
      <c r="G500" s="31"/>
      <c r="H500" s="14"/>
    </row>
  </sheetData>
  <mergeCells count="1">
    <mergeCell ref="B3:G3"/>
  </mergeCells>
  <dataValidations count="1">
    <dataValidation allowBlank="true" errorStyle="stop" operator="between" showDropDown="false" showErrorMessage="false" showInputMessage="false" sqref="C6:C500" type="list">
      <formula1>$L$5:$L$318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3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30"/>
    <col collapsed="false" customWidth="true" hidden="false" outlineLevel="0" max="11" min="9" style="1" width="2"/>
    <col collapsed="false" customWidth="true" hidden="true" outlineLevel="0" max="12" min="12" style="1" width="22"/>
  </cols>
  <sheetData>
    <row r="2" customFormat="false" ht="17.25" hidden="false" customHeight="true" outlineLevel="0" collapsed="false">
      <c r="B2" s="9" t="s">
        <v>861</v>
      </c>
    </row>
    <row r="3" customFormat="false" ht="15" hidden="false" customHeight="true" outlineLevel="0" collapsed="false">
      <c r="B3" s="3" t="s">
        <v>862</v>
      </c>
      <c r="C3" s="3"/>
      <c r="D3" s="3"/>
      <c r="E3" s="3"/>
      <c r="F3" s="3"/>
      <c r="G3" s="3"/>
      <c r="H3" s="3"/>
    </row>
    <row r="5" customFormat="false" ht="26.25" hidden="false" customHeight="true" outlineLevel="0" collapsed="false">
      <c r="B5" s="10" t="s">
        <v>526</v>
      </c>
      <c r="C5" s="10" t="s">
        <v>56</v>
      </c>
      <c r="D5" s="10" t="s">
        <v>863</v>
      </c>
      <c r="E5" s="10" t="s">
        <v>864</v>
      </c>
      <c r="F5" s="10" t="s">
        <v>865</v>
      </c>
      <c r="G5" s="10" t="s">
        <v>866</v>
      </c>
      <c r="H5" s="10" t="s">
        <v>263</v>
      </c>
      <c r="L5" s="4" t="s">
        <v>867</v>
      </c>
    </row>
    <row r="6" customFormat="false" ht="15" hidden="false" customHeight="true" outlineLevel="0" collapsed="false">
      <c r="B6" s="43" t="n">
        <v>45938</v>
      </c>
      <c r="C6" s="11" t="s">
        <v>511</v>
      </c>
      <c r="D6" s="11" t="s">
        <v>868</v>
      </c>
      <c r="E6" s="22" t="n">
        <v>870.78</v>
      </c>
      <c r="F6" s="11" t="s">
        <v>869</v>
      </c>
      <c r="G6" s="11"/>
      <c r="H6" s="24" t="s">
        <v>870</v>
      </c>
      <c r="L6" s="4" t="s">
        <v>871</v>
      </c>
    </row>
    <row r="7" customFormat="false" ht="15" hidden="false" customHeight="true" outlineLevel="0" collapsed="false">
      <c r="B7" s="43" t="n">
        <v>45944</v>
      </c>
      <c r="C7" s="11" t="s">
        <v>511</v>
      </c>
      <c r="D7" s="11" t="s">
        <v>872</v>
      </c>
      <c r="E7" s="22" t="n">
        <v>75</v>
      </c>
      <c r="F7" s="11" t="s">
        <v>873</v>
      </c>
      <c r="G7" s="11"/>
      <c r="H7" s="24" t="s">
        <v>874</v>
      </c>
      <c r="L7" s="4" t="s">
        <v>875</v>
      </c>
    </row>
    <row r="8" customFormat="false" ht="15" hidden="false" customHeight="true" outlineLevel="0" collapsed="false">
      <c r="B8" s="43" t="n">
        <v>45944</v>
      </c>
      <c r="C8" s="11" t="s">
        <v>511</v>
      </c>
      <c r="D8" s="11" t="s">
        <v>876</v>
      </c>
      <c r="E8" s="22" t="n">
        <v>715.39</v>
      </c>
      <c r="F8" s="11" t="s">
        <v>869</v>
      </c>
      <c r="G8" s="11"/>
      <c r="H8" s="24" t="s">
        <v>870</v>
      </c>
      <c r="L8" s="4" t="s">
        <v>877</v>
      </c>
    </row>
    <row r="9" customFormat="false" ht="15" hidden="false" customHeight="true" outlineLevel="0" collapsed="false">
      <c r="B9" s="43" t="n">
        <v>45951</v>
      </c>
      <c r="C9" s="11" t="s">
        <v>511</v>
      </c>
      <c r="D9" s="11" t="s">
        <v>878</v>
      </c>
      <c r="E9" s="22" t="n">
        <v>200</v>
      </c>
      <c r="F9" s="11" t="s">
        <v>879</v>
      </c>
      <c r="G9" s="11"/>
      <c r="H9" s="24" t="s">
        <v>880</v>
      </c>
      <c r="L9" s="4" t="s">
        <v>881</v>
      </c>
    </row>
    <row r="10" customFormat="false" ht="15" hidden="false" customHeight="true" outlineLevel="0" collapsed="false">
      <c r="B10" s="43" t="n">
        <v>45954</v>
      </c>
      <c r="C10" s="11" t="s">
        <v>882</v>
      </c>
      <c r="D10" s="11" t="s">
        <v>883</v>
      </c>
      <c r="E10" s="22" t="n">
        <v>92.13</v>
      </c>
      <c r="F10" s="11" t="s">
        <v>884</v>
      </c>
      <c r="G10" s="11"/>
      <c r="H10" s="24" t="s">
        <v>439</v>
      </c>
      <c r="L10" s="4" t="s">
        <v>885</v>
      </c>
    </row>
    <row r="11" customFormat="false" ht="15" hidden="false" customHeight="true" outlineLevel="0" collapsed="false">
      <c r="B11" s="43" t="n">
        <v>45964</v>
      </c>
      <c r="C11" s="11" t="s">
        <v>886</v>
      </c>
      <c r="D11" s="11" t="s">
        <v>887</v>
      </c>
      <c r="E11" s="22" t="n">
        <v>625</v>
      </c>
      <c r="F11" s="11" t="s">
        <v>888</v>
      </c>
      <c r="G11" s="11"/>
      <c r="H11" s="24" t="s">
        <v>889</v>
      </c>
      <c r="L11" s="4" t="s">
        <v>890</v>
      </c>
    </row>
    <row r="12" customFormat="false" ht="15" hidden="false" customHeight="true" outlineLevel="0" collapsed="false">
      <c r="B12" s="43" t="n">
        <v>45965</v>
      </c>
      <c r="C12" s="11" t="s">
        <v>511</v>
      </c>
      <c r="D12" s="11" t="s">
        <v>891</v>
      </c>
      <c r="E12" s="22" t="n">
        <v>858</v>
      </c>
      <c r="F12" s="11" t="s">
        <v>873</v>
      </c>
      <c r="G12" s="11"/>
      <c r="H12" s="24" t="s">
        <v>874</v>
      </c>
      <c r="L12" s="4" t="s">
        <v>886</v>
      </c>
    </row>
    <row r="13" customFormat="false" ht="15" hidden="false" customHeight="true" outlineLevel="0" collapsed="false">
      <c r="B13" s="43" t="n">
        <v>45969</v>
      </c>
      <c r="C13" s="11" t="s">
        <v>882</v>
      </c>
      <c r="D13" s="11" t="s">
        <v>892</v>
      </c>
      <c r="E13" s="22" t="n">
        <v>10.79</v>
      </c>
      <c r="F13" s="11" t="s">
        <v>869</v>
      </c>
      <c r="G13" s="11"/>
      <c r="H13" s="24" t="s">
        <v>893</v>
      </c>
      <c r="L13" s="4" t="s">
        <v>882</v>
      </c>
    </row>
    <row r="14" customFormat="false" ht="15" hidden="false" customHeight="true" outlineLevel="0" collapsed="false">
      <c r="B14" s="43" t="n">
        <v>45971</v>
      </c>
      <c r="C14" s="11" t="s">
        <v>882</v>
      </c>
      <c r="D14" s="11" t="s">
        <v>894</v>
      </c>
      <c r="E14" s="22" t="n">
        <v>39</v>
      </c>
      <c r="F14" s="11" t="s">
        <v>884</v>
      </c>
      <c r="G14" s="11"/>
      <c r="H14" s="24" t="s">
        <v>895</v>
      </c>
      <c r="L14" s="4" t="s">
        <v>896</v>
      </c>
    </row>
    <row r="15" customFormat="false" ht="15" hidden="false" customHeight="true" outlineLevel="0" collapsed="false">
      <c r="B15" s="43" t="n">
        <v>45978</v>
      </c>
      <c r="C15" s="11" t="s">
        <v>881</v>
      </c>
      <c r="D15" s="11" t="s">
        <v>897</v>
      </c>
      <c r="E15" s="22" t="n">
        <v>243.28</v>
      </c>
      <c r="F15" s="11" t="s">
        <v>884</v>
      </c>
      <c r="G15" s="11"/>
      <c r="H15" s="24" t="s">
        <v>898</v>
      </c>
      <c r="L15" s="4" t="s">
        <v>899</v>
      </c>
    </row>
    <row r="16" customFormat="false" ht="15" hidden="false" customHeight="true" outlineLevel="0" collapsed="false">
      <c r="B16" s="43" t="n">
        <v>45984</v>
      </c>
      <c r="C16" s="11" t="s">
        <v>511</v>
      </c>
      <c r="D16" s="11" t="s">
        <v>900</v>
      </c>
      <c r="E16" s="22" t="n">
        <v>13</v>
      </c>
      <c r="F16" s="11" t="s">
        <v>869</v>
      </c>
      <c r="G16" s="11"/>
      <c r="H16" s="24" t="s">
        <v>901</v>
      </c>
      <c r="L16" s="4" t="s">
        <v>902</v>
      </c>
    </row>
    <row r="17" customFormat="false" ht="15" hidden="false" customHeight="true" outlineLevel="0" collapsed="false">
      <c r="B17" s="43" t="n">
        <v>45984</v>
      </c>
      <c r="C17" s="11" t="s">
        <v>881</v>
      </c>
      <c r="D17" s="11" t="s">
        <v>903</v>
      </c>
      <c r="E17" s="22" t="n">
        <v>48.87</v>
      </c>
      <c r="F17" s="11" t="s">
        <v>869</v>
      </c>
      <c r="G17" s="11"/>
      <c r="H17" s="24" t="s">
        <v>904</v>
      </c>
      <c r="L17" s="4" t="s">
        <v>511</v>
      </c>
    </row>
    <row r="18" customFormat="false" ht="15" hidden="false" customHeight="true" outlineLevel="0" collapsed="false">
      <c r="B18" s="43" t="n">
        <v>45984</v>
      </c>
      <c r="C18" s="11" t="s">
        <v>881</v>
      </c>
      <c r="D18" s="11" t="s">
        <v>905</v>
      </c>
      <c r="E18" s="22" t="n">
        <v>66.8</v>
      </c>
      <c r="F18" s="11" t="s">
        <v>869</v>
      </c>
      <c r="G18" s="11"/>
      <c r="H18" s="24" t="s">
        <v>906</v>
      </c>
    </row>
    <row r="19" customFormat="false" ht="15" hidden="false" customHeight="true" outlineLevel="0" collapsed="false">
      <c r="B19" s="43" t="n">
        <v>45984</v>
      </c>
      <c r="C19" s="11" t="s">
        <v>511</v>
      </c>
      <c r="D19" s="11" t="s">
        <v>907</v>
      </c>
      <c r="E19" s="22" t="n">
        <v>82.89</v>
      </c>
      <c r="F19" s="11" t="s">
        <v>869</v>
      </c>
      <c r="G19" s="11"/>
      <c r="H19" s="24" t="s">
        <v>908</v>
      </c>
    </row>
    <row r="20" customFormat="false" ht="15" hidden="false" customHeight="true" outlineLevel="0" collapsed="false">
      <c r="B20" s="43" t="n">
        <v>45984</v>
      </c>
      <c r="C20" s="11" t="s">
        <v>881</v>
      </c>
      <c r="D20" s="11" t="s">
        <v>909</v>
      </c>
      <c r="E20" s="22" t="n">
        <v>41.3</v>
      </c>
      <c r="F20" s="11" t="s">
        <v>869</v>
      </c>
      <c r="G20" s="11"/>
      <c r="H20" s="24" t="s">
        <v>906</v>
      </c>
    </row>
    <row r="21" customFormat="false" ht="15" hidden="false" customHeight="true" outlineLevel="0" collapsed="false">
      <c r="B21" s="43" t="n">
        <v>45984</v>
      </c>
      <c r="C21" s="11" t="s">
        <v>511</v>
      </c>
      <c r="D21" s="11" t="s">
        <v>910</v>
      </c>
      <c r="E21" s="22" t="n">
        <v>3</v>
      </c>
      <c r="F21" s="11" t="s">
        <v>869</v>
      </c>
      <c r="G21" s="11"/>
      <c r="H21" s="24" t="s">
        <v>911</v>
      </c>
    </row>
    <row r="22" customFormat="false" ht="15" hidden="false" customHeight="true" outlineLevel="0" collapsed="false">
      <c r="B22" s="43" t="n">
        <v>45985</v>
      </c>
      <c r="C22" s="11" t="s">
        <v>881</v>
      </c>
      <c r="D22" s="11" t="s">
        <v>897</v>
      </c>
      <c r="E22" s="22" t="n">
        <v>281.89</v>
      </c>
      <c r="F22" s="11" t="s">
        <v>884</v>
      </c>
      <c r="G22" s="11"/>
      <c r="H22" s="24" t="s">
        <v>898</v>
      </c>
    </row>
    <row r="23" customFormat="false" ht="15" hidden="false" customHeight="true" outlineLevel="0" collapsed="false">
      <c r="B23" s="43" t="n">
        <v>45985</v>
      </c>
      <c r="C23" s="11" t="s">
        <v>882</v>
      </c>
      <c r="D23" s="11" t="s">
        <v>883</v>
      </c>
      <c r="E23" s="22" t="n">
        <v>92.12</v>
      </c>
      <c r="F23" s="11" t="s">
        <v>884</v>
      </c>
      <c r="G23" s="11"/>
      <c r="H23" s="24" t="s">
        <v>439</v>
      </c>
    </row>
    <row r="24" customFormat="false" ht="15" hidden="false" customHeight="true" outlineLevel="0" collapsed="false">
      <c r="B24" s="43" t="n">
        <v>45985</v>
      </c>
      <c r="C24" s="11" t="s">
        <v>881</v>
      </c>
      <c r="D24" s="11" t="s">
        <v>912</v>
      </c>
      <c r="E24" s="22" t="n">
        <v>40.89</v>
      </c>
      <c r="F24" s="11" t="s">
        <v>869</v>
      </c>
      <c r="G24" s="11"/>
      <c r="H24" s="24" t="s">
        <v>906</v>
      </c>
    </row>
    <row r="25" customFormat="false" ht="15" hidden="false" customHeight="true" outlineLevel="0" collapsed="false">
      <c r="B25" s="43" t="n">
        <v>45985</v>
      </c>
      <c r="C25" s="11" t="s">
        <v>511</v>
      </c>
      <c r="D25" s="11" t="s">
        <v>913</v>
      </c>
      <c r="E25" s="22" t="n">
        <v>4</v>
      </c>
      <c r="F25" s="11" t="s">
        <v>869</v>
      </c>
      <c r="G25" s="11"/>
      <c r="H25" s="24" t="s">
        <v>914</v>
      </c>
    </row>
    <row r="26" customFormat="false" ht="15" hidden="false" customHeight="true" outlineLevel="0" collapsed="false">
      <c r="B26" s="43" t="n">
        <v>45985</v>
      </c>
      <c r="C26" s="11" t="s">
        <v>511</v>
      </c>
      <c r="D26" s="11" t="s">
        <v>915</v>
      </c>
      <c r="E26" s="22" t="n">
        <v>18.5</v>
      </c>
      <c r="F26" s="11" t="s">
        <v>869</v>
      </c>
      <c r="G26" s="11"/>
      <c r="H26" s="24" t="s">
        <v>916</v>
      </c>
    </row>
    <row r="27" customFormat="false" ht="15" hidden="false" customHeight="true" outlineLevel="0" collapsed="false">
      <c r="B27" s="43" t="n">
        <v>45985</v>
      </c>
      <c r="C27" s="11" t="s">
        <v>511</v>
      </c>
      <c r="D27" s="11" t="s">
        <v>917</v>
      </c>
      <c r="E27" s="22" t="n">
        <v>3.46</v>
      </c>
      <c r="F27" s="11" t="s">
        <v>869</v>
      </c>
      <c r="G27" s="11"/>
      <c r="H27" s="24" t="s">
        <v>916</v>
      </c>
    </row>
    <row r="28" customFormat="false" ht="15" hidden="false" customHeight="true" outlineLevel="0" collapsed="false">
      <c r="B28" s="43" t="n">
        <v>45986</v>
      </c>
      <c r="C28" s="11" t="s">
        <v>890</v>
      </c>
      <c r="D28" s="11" t="s">
        <v>918</v>
      </c>
      <c r="E28" s="22" t="n">
        <v>122.91</v>
      </c>
      <c r="F28" s="11" t="s">
        <v>869</v>
      </c>
      <c r="G28" s="11"/>
      <c r="H28" s="24" t="s">
        <v>919</v>
      </c>
    </row>
    <row r="29" customFormat="false" ht="15" hidden="false" customHeight="true" outlineLevel="0" collapsed="false">
      <c r="B29" s="43" t="n">
        <v>45986</v>
      </c>
      <c r="C29" s="11" t="s">
        <v>881</v>
      </c>
      <c r="D29" s="11" t="s">
        <v>912</v>
      </c>
      <c r="E29" s="22" t="n">
        <v>48.74</v>
      </c>
      <c r="F29" s="11" t="s">
        <v>869</v>
      </c>
      <c r="G29" s="11"/>
      <c r="H29" s="24" t="s">
        <v>906</v>
      </c>
    </row>
    <row r="30" customFormat="false" ht="15" hidden="false" customHeight="true" outlineLevel="0" collapsed="false">
      <c r="B30" s="43" t="n">
        <v>45986</v>
      </c>
      <c r="C30" s="11" t="s">
        <v>511</v>
      </c>
      <c r="D30" s="11" t="s">
        <v>920</v>
      </c>
      <c r="E30" s="22" t="n">
        <v>1</v>
      </c>
      <c r="F30" s="11" t="s">
        <v>869</v>
      </c>
      <c r="G30" s="11"/>
      <c r="H30" s="24" t="s">
        <v>916</v>
      </c>
    </row>
    <row r="31" customFormat="false" ht="15" hidden="false" customHeight="true" outlineLevel="0" collapsed="false">
      <c r="B31" s="43" t="n">
        <v>45986</v>
      </c>
      <c r="C31" s="11" t="s">
        <v>511</v>
      </c>
      <c r="D31" s="11" t="s">
        <v>920</v>
      </c>
      <c r="E31" s="22" t="n">
        <v>2</v>
      </c>
      <c r="F31" s="11" t="s">
        <v>869</v>
      </c>
      <c r="G31" s="11"/>
      <c r="H31" s="24" t="s">
        <v>916</v>
      </c>
    </row>
    <row r="32" customFormat="false" ht="15" hidden="false" customHeight="true" outlineLevel="0" collapsed="false">
      <c r="B32" s="43" t="n">
        <v>45986</v>
      </c>
      <c r="C32" s="11" t="s">
        <v>511</v>
      </c>
      <c r="D32" s="11" t="s">
        <v>920</v>
      </c>
      <c r="E32" s="22" t="n">
        <v>1</v>
      </c>
      <c r="F32" s="11" t="s">
        <v>869</v>
      </c>
      <c r="G32" s="11"/>
      <c r="H32" s="24" t="s">
        <v>916</v>
      </c>
    </row>
    <row r="33" customFormat="false" ht="15" hidden="false" customHeight="true" outlineLevel="0" collapsed="false">
      <c r="B33" s="43" t="n">
        <v>45987</v>
      </c>
      <c r="C33" s="11" t="s">
        <v>890</v>
      </c>
      <c r="D33" s="11" t="s">
        <v>921</v>
      </c>
      <c r="E33" s="22" t="n">
        <v>29</v>
      </c>
      <c r="F33" s="11" t="s">
        <v>869</v>
      </c>
      <c r="G33" s="11"/>
      <c r="H33" s="24" t="s">
        <v>922</v>
      </c>
    </row>
    <row r="34" customFormat="false" ht="15" hidden="false" customHeight="true" outlineLevel="0" collapsed="false">
      <c r="B34" s="43" t="n">
        <v>45987</v>
      </c>
      <c r="C34" s="11" t="s">
        <v>881</v>
      </c>
      <c r="D34" s="11" t="s">
        <v>903</v>
      </c>
      <c r="E34" s="22" t="n">
        <v>11.7</v>
      </c>
      <c r="F34" s="11" t="s">
        <v>869</v>
      </c>
      <c r="G34" s="11"/>
      <c r="H34" s="24" t="s">
        <v>904</v>
      </c>
    </row>
    <row r="35" customFormat="false" ht="15" hidden="false" customHeight="true" outlineLevel="0" collapsed="false">
      <c r="B35" s="43" t="n">
        <v>45987</v>
      </c>
      <c r="C35" s="11" t="s">
        <v>511</v>
      </c>
      <c r="D35" s="11" t="s">
        <v>923</v>
      </c>
      <c r="E35" s="22" t="n">
        <v>29.5</v>
      </c>
      <c r="F35" s="11" t="s">
        <v>869</v>
      </c>
      <c r="G35" s="11"/>
      <c r="H35" s="24" t="s">
        <v>924</v>
      </c>
    </row>
    <row r="36" customFormat="false" ht="15" hidden="false" customHeight="true" outlineLevel="0" collapsed="false">
      <c r="B36" s="43" t="n">
        <v>45987</v>
      </c>
      <c r="C36" s="11" t="s">
        <v>890</v>
      </c>
      <c r="D36" s="11" t="s">
        <v>925</v>
      </c>
      <c r="E36" s="22" t="n">
        <v>3</v>
      </c>
      <c r="F36" s="11" t="s">
        <v>869</v>
      </c>
      <c r="G36" s="11"/>
      <c r="H36" s="24" t="s">
        <v>926</v>
      </c>
    </row>
    <row r="37" customFormat="false" ht="15" hidden="false" customHeight="true" outlineLevel="0" collapsed="false">
      <c r="B37" s="43" t="n">
        <v>45988</v>
      </c>
      <c r="C37" s="11" t="s">
        <v>511</v>
      </c>
      <c r="D37" s="11" t="s">
        <v>927</v>
      </c>
      <c r="E37" s="22" t="n">
        <v>20.35</v>
      </c>
      <c r="F37" s="11" t="s">
        <v>869</v>
      </c>
      <c r="G37" s="11"/>
      <c r="H37" s="24" t="s">
        <v>916</v>
      </c>
    </row>
    <row r="38" customFormat="false" ht="15" hidden="false" customHeight="true" outlineLevel="0" collapsed="false">
      <c r="B38" s="43" t="n">
        <v>45988</v>
      </c>
      <c r="C38" s="11" t="s">
        <v>511</v>
      </c>
      <c r="D38" s="11" t="s">
        <v>928</v>
      </c>
      <c r="E38" s="22" t="n">
        <v>4.5</v>
      </c>
      <c r="F38" s="11" t="s">
        <v>869</v>
      </c>
      <c r="G38" s="11"/>
      <c r="H38" s="24" t="s">
        <v>916</v>
      </c>
    </row>
    <row r="39" customFormat="false" ht="15" hidden="false" customHeight="true" outlineLevel="0" collapsed="false">
      <c r="B39" s="43" t="n">
        <v>45988</v>
      </c>
      <c r="C39" s="11" t="s">
        <v>511</v>
      </c>
      <c r="D39" s="11" t="s">
        <v>929</v>
      </c>
      <c r="E39" s="22" t="n">
        <v>3.55</v>
      </c>
      <c r="F39" s="11" t="s">
        <v>869</v>
      </c>
      <c r="G39" s="11"/>
      <c r="H39" s="24" t="s">
        <v>908</v>
      </c>
    </row>
    <row r="40" customFormat="false" ht="15" hidden="false" customHeight="true" outlineLevel="0" collapsed="false">
      <c r="B40" s="43" t="n">
        <v>45992</v>
      </c>
      <c r="C40" s="11" t="s">
        <v>881</v>
      </c>
      <c r="D40" s="11" t="s">
        <v>897</v>
      </c>
      <c r="E40" s="22" t="n">
        <v>137.23</v>
      </c>
      <c r="F40" s="11" t="s">
        <v>884</v>
      </c>
      <c r="G40" s="11"/>
      <c r="H40" s="24" t="s">
        <v>898</v>
      </c>
    </row>
    <row r="41" customFormat="false" ht="15" hidden="false" customHeight="true" outlineLevel="0" collapsed="false">
      <c r="B41" s="43" t="n">
        <v>45992</v>
      </c>
      <c r="C41" s="11" t="s">
        <v>886</v>
      </c>
      <c r="D41" s="11" t="s">
        <v>887</v>
      </c>
      <c r="E41" s="22" t="n">
        <v>625</v>
      </c>
      <c r="F41" s="11" t="s">
        <v>888</v>
      </c>
      <c r="G41" s="11"/>
      <c r="H41" s="24" t="s">
        <v>889</v>
      </c>
    </row>
    <row r="42" customFormat="false" ht="15" hidden="false" customHeight="true" outlineLevel="0" collapsed="false">
      <c r="B42" s="43" t="n">
        <v>45999</v>
      </c>
      <c r="C42" s="11" t="s">
        <v>882</v>
      </c>
      <c r="D42" s="11" t="s">
        <v>930</v>
      </c>
      <c r="E42" s="22" t="n">
        <v>137.62</v>
      </c>
      <c r="F42" s="11" t="s">
        <v>884</v>
      </c>
      <c r="G42" s="11"/>
      <c r="H42" s="24" t="s">
        <v>895</v>
      </c>
    </row>
    <row r="43" customFormat="false" ht="15" hidden="false" customHeight="true" outlineLevel="0" collapsed="false">
      <c r="B43" s="43" t="n">
        <v>46001</v>
      </c>
      <c r="C43" s="11" t="s">
        <v>511</v>
      </c>
      <c r="D43" s="11" t="s">
        <v>931</v>
      </c>
      <c r="E43" s="22" t="n">
        <v>1832.86</v>
      </c>
      <c r="F43" s="11" t="s">
        <v>873</v>
      </c>
      <c r="G43" s="11"/>
      <c r="H43" s="24" t="s">
        <v>874</v>
      </c>
    </row>
    <row r="44" customFormat="false" ht="15" hidden="false" customHeight="true" outlineLevel="0" collapsed="false">
      <c r="B44" s="43" t="n">
        <v>46001</v>
      </c>
      <c r="C44" s="11" t="s">
        <v>882</v>
      </c>
      <c r="D44" s="11" t="s">
        <v>932</v>
      </c>
      <c r="E44" s="22" t="n">
        <v>141.57</v>
      </c>
      <c r="F44" s="11" t="s">
        <v>873</v>
      </c>
      <c r="G44" s="11"/>
      <c r="H44" s="24" t="s">
        <v>895</v>
      </c>
    </row>
    <row r="45" customFormat="false" ht="15" hidden="false" customHeight="true" outlineLevel="0" collapsed="false">
      <c r="B45" s="43" t="n">
        <v>46002</v>
      </c>
      <c r="C45" s="11" t="s">
        <v>890</v>
      </c>
      <c r="D45" s="11" t="s">
        <v>933</v>
      </c>
      <c r="E45" s="22" t="n">
        <v>154.58</v>
      </c>
      <c r="F45" s="11" t="s">
        <v>869</v>
      </c>
      <c r="G45" s="11"/>
      <c r="H45" s="24" t="s">
        <v>934</v>
      </c>
    </row>
    <row r="46" customFormat="false" ht="15" hidden="false" customHeight="true" outlineLevel="0" collapsed="false">
      <c r="B46" s="43" t="n">
        <v>46002</v>
      </c>
      <c r="C46" s="11" t="s">
        <v>867</v>
      </c>
      <c r="D46" s="11" t="s">
        <v>935</v>
      </c>
      <c r="E46" s="22" t="n">
        <v>95</v>
      </c>
      <c r="F46" s="11" t="s">
        <v>869</v>
      </c>
      <c r="G46" s="11"/>
      <c r="H46" s="24" t="s">
        <v>936</v>
      </c>
    </row>
    <row r="47" customFormat="false" ht="15" hidden="false" customHeight="true" outlineLevel="0" collapsed="false">
      <c r="B47" s="43" t="n">
        <v>46002</v>
      </c>
      <c r="C47" s="11" t="s">
        <v>882</v>
      </c>
      <c r="D47" s="11" t="s">
        <v>892</v>
      </c>
      <c r="E47" s="22" t="n">
        <v>35.94</v>
      </c>
      <c r="F47" s="11" t="s">
        <v>869</v>
      </c>
      <c r="G47" s="11"/>
      <c r="H47" s="24" t="s">
        <v>893</v>
      </c>
    </row>
    <row r="48" customFormat="false" ht="15" hidden="false" customHeight="true" outlineLevel="0" collapsed="false">
      <c r="B48" s="43" t="n">
        <v>46006</v>
      </c>
      <c r="C48" s="11" t="s">
        <v>882</v>
      </c>
      <c r="D48" s="11" t="s">
        <v>937</v>
      </c>
      <c r="E48" s="22" t="n">
        <v>57.17</v>
      </c>
      <c r="F48" s="11" t="s">
        <v>884</v>
      </c>
      <c r="G48" s="11"/>
      <c r="H48" s="24" t="s">
        <v>439</v>
      </c>
    </row>
    <row r="49" customFormat="false" ht="15" hidden="false" customHeight="true" outlineLevel="0" collapsed="false">
      <c r="B49" s="43" t="n">
        <v>46012</v>
      </c>
      <c r="C49" s="11" t="s">
        <v>511</v>
      </c>
      <c r="D49" s="11" t="s">
        <v>938</v>
      </c>
      <c r="E49" s="22" t="n">
        <v>51.95</v>
      </c>
      <c r="F49" s="11" t="s">
        <v>879</v>
      </c>
      <c r="G49" s="11"/>
      <c r="H49" s="24" t="s">
        <v>880</v>
      </c>
    </row>
    <row r="50" customFormat="false" ht="15" hidden="false" customHeight="true" outlineLevel="0" collapsed="false">
      <c r="B50" s="43" t="n">
        <v>46013</v>
      </c>
      <c r="C50" s="11" t="s">
        <v>881</v>
      </c>
      <c r="D50" s="11" t="s">
        <v>897</v>
      </c>
      <c r="E50" s="22" t="n">
        <v>111.22</v>
      </c>
      <c r="F50" s="11" t="s">
        <v>884</v>
      </c>
      <c r="G50" s="11"/>
      <c r="H50" s="24" t="s">
        <v>898</v>
      </c>
    </row>
    <row r="51" customFormat="false" ht="15" hidden="false" customHeight="true" outlineLevel="0" collapsed="false">
      <c r="B51" s="43" t="n">
        <v>46014</v>
      </c>
      <c r="C51" s="11" t="s">
        <v>882</v>
      </c>
      <c r="D51" s="11" t="s">
        <v>883</v>
      </c>
      <c r="E51" s="22" t="n">
        <v>92.12</v>
      </c>
      <c r="F51" s="11" t="s">
        <v>884</v>
      </c>
      <c r="G51" s="11"/>
      <c r="H51" s="24" t="s">
        <v>439</v>
      </c>
    </row>
    <row r="52" customFormat="false" ht="15" hidden="false" customHeight="true" outlineLevel="0" collapsed="false">
      <c r="B52" s="43" t="n">
        <v>46014</v>
      </c>
      <c r="C52" s="11" t="s">
        <v>890</v>
      </c>
      <c r="D52" s="11" t="s">
        <v>921</v>
      </c>
      <c r="E52" s="22" t="n">
        <v>55</v>
      </c>
      <c r="F52" s="11" t="s">
        <v>869</v>
      </c>
      <c r="G52" s="11"/>
      <c r="H52" s="24" t="s">
        <v>922</v>
      </c>
    </row>
    <row r="53" customFormat="false" ht="15" hidden="false" customHeight="true" outlineLevel="0" collapsed="false">
      <c r="B53" s="43" t="n">
        <v>46024</v>
      </c>
      <c r="C53" s="11" t="s">
        <v>886</v>
      </c>
      <c r="D53" s="11" t="s">
        <v>887</v>
      </c>
      <c r="E53" s="22" t="n">
        <v>625</v>
      </c>
      <c r="F53" s="11" t="s">
        <v>888</v>
      </c>
      <c r="G53" s="11"/>
      <c r="H53" s="24" t="s">
        <v>889</v>
      </c>
    </row>
    <row r="54" customFormat="false" ht="15" hidden="false" customHeight="true" outlineLevel="0" collapsed="false">
      <c r="B54" s="43" t="n">
        <v>46024</v>
      </c>
      <c r="C54" s="11" t="s">
        <v>881</v>
      </c>
      <c r="D54" s="11" t="s">
        <v>905</v>
      </c>
      <c r="E54" s="22" t="n">
        <v>68.23</v>
      </c>
      <c r="F54" s="11" t="s">
        <v>869</v>
      </c>
      <c r="G54" s="11"/>
      <c r="H54" s="24" t="s">
        <v>906</v>
      </c>
    </row>
    <row r="55" customFormat="false" ht="15" hidden="false" customHeight="true" outlineLevel="0" collapsed="false">
      <c r="B55" s="43" t="n">
        <v>46024</v>
      </c>
      <c r="C55" s="11" t="s">
        <v>890</v>
      </c>
      <c r="D55" s="11" t="s">
        <v>939</v>
      </c>
      <c r="E55" s="22" t="n">
        <v>420.4</v>
      </c>
      <c r="F55" s="11" t="s">
        <v>873</v>
      </c>
      <c r="G55" s="11"/>
      <c r="H55" s="24" t="s">
        <v>940</v>
      </c>
    </row>
    <row r="56" customFormat="false" ht="15" hidden="false" customHeight="true" outlineLevel="0" collapsed="false">
      <c r="B56" s="43" t="n">
        <v>46027</v>
      </c>
      <c r="C56" s="11" t="s">
        <v>881</v>
      </c>
      <c r="D56" s="11" t="s">
        <v>897</v>
      </c>
      <c r="E56" s="22" t="n">
        <v>108.11</v>
      </c>
      <c r="F56" s="11" t="s">
        <v>884</v>
      </c>
      <c r="G56" s="11"/>
      <c r="H56" s="24" t="s">
        <v>898</v>
      </c>
    </row>
    <row r="57" customFormat="false" ht="15" hidden="false" customHeight="true" outlineLevel="0" collapsed="false">
      <c r="B57" s="43" t="n">
        <v>46035</v>
      </c>
      <c r="C57" s="11" t="s">
        <v>882</v>
      </c>
      <c r="D57" s="11" t="s">
        <v>937</v>
      </c>
      <c r="E57" s="22" t="n">
        <v>55.31</v>
      </c>
      <c r="F57" s="11" t="s">
        <v>884</v>
      </c>
      <c r="G57" s="11"/>
      <c r="H57" s="24" t="s">
        <v>439</v>
      </c>
    </row>
    <row r="58" customFormat="false" ht="15" hidden="false" customHeight="true" outlineLevel="0" collapsed="false">
      <c r="B58" s="43" t="n">
        <v>46035</v>
      </c>
      <c r="C58" s="11" t="s">
        <v>890</v>
      </c>
      <c r="D58" s="11" t="s">
        <v>933</v>
      </c>
      <c r="E58" s="22" t="n">
        <v>54.97</v>
      </c>
      <c r="F58" s="11" t="s">
        <v>869</v>
      </c>
      <c r="G58" s="11"/>
      <c r="H58" s="24" t="s">
        <v>934</v>
      </c>
    </row>
    <row r="59" customFormat="false" ht="15" hidden="false" customHeight="true" outlineLevel="0" collapsed="false">
      <c r="B59" s="43" t="n">
        <v>46037</v>
      </c>
      <c r="C59" s="11" t="s">
        <v>882</v>
      </c>
      <c r="D59" s="11" t="s">
        <v>930</v>
      </c>
      <c r="E59" s="22" t="n">
        <v>228.8</v>
      </c>
      <c r="F59" s="11" t="s">
        <v>884</v>
      </c>
      <c r="G59" s="11"/>
      <c r="H59" s="24" t="s">
        <v>895</v>
      </c>
    </row>
    <row r="60" customFormat="false" ht="15" hidden="false" customHeight="true" outlineLevel="0" collapsed="false">
      <c r="B60" s="43" t="n">
        <v>46037</v>
      </c>
      <c r="C60" s="11" t="s">
        <v>511</v>
      </c>
      <c r="D60" s="11" t="s">
        <v>941</v>
      </c>
      <c r="E60" s="22" t="n">
        <v>3.25</v>
      </c>
      <c r="F60" s="11" t="s">
        <v>869</v>
      </c>
      <c r="G60" s="11"/>
      <c r="H60" s="24" t="s">
        <v>942</v>
      </c>
    </row>
    <row r="61" customFormat="false" ht="15" hidden="false" customHeight="true" outlineLevel="0" collapsed="false">
      <c r="B61" s="43" t="n">
        <v>46039</v>
      </c>
      <c r="C61" s="11" t="s">
        <v>511</v>
      </c>
      <c r="D61" s="11" t="s">
        <v>941</v>
      </c>
      <c r="E61" s="22" t="n">
        <v>3.25</v>
      </c>
      <c r="F61" s="11" t="s">
        <v>869</v>
      </c>
      <c r="G61" s="11"/>
      <c r="H61" s="24" t="s">
        <v>942</v>
      </c>
    </row>
    <row r="62" customFormat="false" ht="15" hidden="false" customHeight="true" outlineLevel="0" collapsed="false">
      <c r="B62" s="43" t="n">
        <v>46040</v>
      </c>
      <c r="C62" s="11" t="s">
        <v>890</v>
      </c>
      <c r="D62" s="11" t="s">
        <v>943</v>
      </c>
      <c r="E62" s="22" t="n">
        <v>37.02</v>
      </c>
      <c r="F62" s="11" t="s">
        <v>869</v>
      </c>
      <c r="G62" s="11"/>
      <c r="H62" s="24" t="s">
        <v>922</v>
      </c>
    </row>
    <row r="63" customFormat="false" ht="15" hidden="false" customHeight="true" outlineLevel="0" collapsed="false">
      <c r="B63" s="43" t="n">
        <v>46040</v>
      </c>
      <c r="C63" s="11" t="s">
        <v>881</v>
      </c>
      <c r="D63" s="11" t="s">
        <v>905</v>
      </c>
      <c r="E63" s="22" t="n">
        <v>68.85</v>
      </c>
      <c r="F63" s="11" t="s">
        <v>869</v>
      </c>
      <c r="G63" s="11"/>
      <c r="H63" s="24" t="s">
        <v>906</v>
      </c>
    </row>
    <row r="64" customFormat="false" ht="15" hidden="false" customHeight="true" outlineLevel="0" collapsed="false">
      <c r="B64" s="43" t="n">
        <v>46041</v>
      </c>
      <c r="C64" s="11" t="s">
        <v>881</v>
      </c>
      <c r="D64" s="11" t="s">
        <v>897</v>
      </c>
      <c r="E64" s="22" t="n">
        <v>98.34</v>
      </c>
      <c r="F64" s="11" t="s">
        <v>884</v>
      </c>
      <c r="G64" s="11"/>
      <c r="H64" s="24" t="s">
        <v>898</v>
      </c>
    </row>
    <row r="65" customFormat="false" ht="15" hidden="false" customHeight="true" outlineLevel="0" collapsed="false">
      <c r="B65" s="43" t="n">
        <v>46043</v>
      </c>
      <c r="C65" s="11" t="s">
        <v>867</v>
      </c>
      <c r="D65" s="11" t="s">
        <v>935</v>
      </c>
      <c r="E65" s="22" t="n">
        <v>38</v>
      </c>
      <c r="F65" s="11" t="s">
        <v>869</v>
      </c>
      <c r="G65" s="11"/>
      <c r="H65" s="24" t="s">
        <v>936</v>
      </c>
    </row>
    <row r="66" customFormat="false" ht="15" hidden="false" customHeight="true" outlineLevel="0" collapsed="false">
      <c r="B66" s="43" t="n">
        <v>46043</v>
      </c>
      <c r="C66" s="11" t="s">
        <v>881</v>
      </c>
      <c r="D66" s="11" t="s">
        <v>912</v>
      </c>
      <c r="E66" s="22" t="n">
        <v>105.3</v>
      </c>
      <c r="F66" s="11" t="s">
        <v>869</v>
      </c>
      <c r="G66" s="11"/>
      <c r="H66" s="24" t="s">
        <v>906</v>
      </c>
    </row>
    <row r="67" customFormat="false" ht="15" hidden="false" customHeight="true" outlineLevel="0" collapsed="false">
      <c r="B67" s="43" t="n">
        <v>46044</v>
      </c>
      <c r="C67" s="11" t="s">
        <v>881</v>
      </c>
      <c r="D67" s="11" t="s">
        <v>912</v>
      </c>
      <c r="E67" s="22" t="n">
        <v>9.25</v>
      </c>
      <c r="F67" s="11" t="s">
        <v>869</v>
      </c>
      <c r="G67" s="11"/>
      <c r="H67" s="24" t="s">
        <v>906</v>
      </c>
    </row>
    <row r="68" customFormat="false" ht="15" hidden="false" customHeight="true" outlineLevel="0" collapsed="false">
      <c r="B68" s="43" t="n">
        <v>46045</v>
      </c>
      <c r="C68" s="11" t="s">
        <v>882</v>
      </c>
      <c r="D68" s="11" t="s">
        <v>883</v>
      </c>
      <c r="E68" s="22" t="n">
        <v>8.77</v>
      </c>
      <c r="F68" s="11" t="s">
        <v>884</v>
      </c>
      <c r="G68" s="11"/>
      <c r="H68" s="24" t="s">
        <v>439</v>
      </c>
    </row>
    <row r="69" customFormat="false" ht="15" hidden="false" customHeight="true" outlineLevel="0" collapsed="false">
      <c r="B69" s="43" t="n">
        <v>46045</v>
      </c>
      <c r="C69" s="11" t="s">
        <v>882</v>
      </c>
      <c r="D69" s="11" t="s">
        <v>883</v>
      </c>
      <c r="E69" s="22" t="n">
        <v>92.12</v>
      </c>
      <c r="F69" s="11" t="s">
        <v>884</v>
      </c>
      <c r="G69" s="11"/>
      <c r="H69" s="24" t="s">
        <v>439</v>
      </c>
    </row>
    <row r="70" customFormat="false" ht="15" hidden="false" customHeight="true" outlineLevel="0" collapsed="false">
      <c r="B70" s="43" t="n">
        <v>46045</v>
      </c>
      <c r="C70" s="11" t="s">
        <v>511</v>
      </c>
      <c r="D70" s="11" t="s">
        <v>941</v>
      </c>
      <c r="E70" s="22" t="n">
        <v>3.25</v>
      </c>
      <c r="F70" s="11" t="s">
        <v>869</v>
      </c>
      <c r="G70" s="11"/>
      <c r="H70" s="24" t="s">
        <v>942</v>
      </c>
    </row>
    <row r="71" customFormat="false" ht="15" hidden="false" customHeight="true" outlineLevel="0" collapsed="false">
      <c r="B71" s="43" t="n">
        <v>46047</v>
      </c>
      <c r="C71" s="11" t="s">
        <v>881</v>
      </c>
      <c r="D71" s="11" t="s">
        <v>905</v>
      </c>
      <c r="E71" s="22" t="n">
        <v>4.08</v>
      </c>
      <c r="F71" s="11" t="s">
        <v>869</v>
      </c>
      <c r="G71" s="11"/>
      <c r="H71" s="24" t="s">
        <v>906</v>
      </c>
    </row>
    <row r="72" customFormat="false" ht="15" hidden="false" customHeight="true" outlineLevel="0" collapsed="false">
      <c r="B72" s="43" t="n">
        <v>46047</v>
      </c>
      <c r="C72" s="11" t="s">
        <v>890</v>
      </c>
      <c r="D72" s="11" t="s">
        <v>925</v>
      </c>
      <c r="E72" s="22" t="n">
        <v>11.36</v>
      </c>
      <c r="F72" s="11" t="s">
        <v>869</v>
      </c>
      <c r="G72" s="11"/>
      <c r="H72" s="24" t="s">
        <v>926</v>
      </c>
    </row>
    <row r="73" customFormat="false" ht="15" hidden="false" customHeight="true" outlineLevel="0" collapsed="false">
      <c r="B73" s="43" t="n">
        <v>46049</v>
      </c>
      <c r="C73" s="11" t="s">
        <v>890</v>
      </c>
      <c r="D73" s="11" t="s">
        <v>925</v>
      </c>
      <c r="E73" s="22" t="n">
        <v>3.58</v>
      </c>
      <c r="F73" s="11" t="s">
        <v>869</v>
      </c>
      <c r="G73" s="11"/>
      <c r="H73" s="24" t="s">
        <v>926</v>
      </c>
    </row>
    <row r="74" customFormat="false" ht="15" hidden="false" customHeight="true" outlineLevel="0" collapsed="false">
      <c r="B74" s="43" t="n">
        <v>46052</v>
      </c>
      <c r="C74" s="11" t="s">
        <v>890</v>
      </c>
      <c r="D74" s="11" t="s">
        <v>933</v>
      </c>
      <c r="E74" s="22" t="n">
        <v>32.84</v>
      </c>
      <c r="F74" s="11" t="s">
        <v>869</v>
      </c>
      <c r="G74" s="11"/>
      <c r="H74" s="24" t="s">
        <v>934</v>
      </c>
    </row>
    <row r="75" customFormat="false" ht="15" hidden="false" customHeight="true" outlineLevel="0" collapsed="false">
      <c r="B75" s="43" t="n">
        <v>46052</v>
      </c>
      <c r="C75" s="11" t="s">
        <v>511</v>
      </c>
      <c r="D75" s="11" t="s">
        <v>944</v>
      </c>
      <c r="E75" s="22" t="n">
        <v>8.99</v>
      </c>
      <c r="F75" s="11" t="s">
        <v>869</v>
      </c>
      <c r="G75" s="11"/>
      <c r="H75" s="24" t="s">
        <v>945</v>
      </c>
    </row>
    <row r="76" customFormat="false" ht="15" hidden="false" customHeight="true" outlineLevel="0" collapsed="false">
      <c r="B76" s="43" t="n">
        <v>46053</v>
      </c>
      <c r="C76" s="11" t="s">
        <v>511</v>
      </c>
      <c r="D76" s="11" t="s">
        <v>946</v>
      </c>
      <c r="E76" s="22" t="n">
        <v>1.95</v>
      </c>
      <c r="F76" s="11" t="s">
        <v>869</v>
      </c>
      <c r="G76" s="11"/>
      <c r="H76" s="24" t="s">
        <v>947</v>
      </c>
    </row>
    <row r="77" customFormat="false" ht="15" hidden="false" customHeight="true" outlineLevel="0" collapsed="false">
      <c r="B77" s="43" t="n">
        <v>46055</v>
      </c>
      <c r="C77" s="11" t="s">
        <v>881</v>
      </c>
      <c r="D77" s="11" t="s">
        <v>897</v>
      </c>
      <c r="E77" s="22" t="n">
        <v>134.33</v>
      </c>
      <c r="F77" s="11" t="s">
        <v>884</v>
      </c>
      <c r="G77" s="11"/>
      <c r="H77" s="24" t="s">
        <v>898</v>
      </c>
    </row>
    <row r="78" customFormat="false" ht="15" hidden="false" customHeight="true" outlineLevel="0" collapsed="false">
      <c r="B78" s="43" t="n">
        <v>46055</v>
      </c>
      <c r="C78" s="11" t="s">
        <v>886</v>
      </c>
      <c r="D78" s="11" t="s">
        <v>887</v>
      </c>
      <c r="E78" s="22" t="n">
        <v>625</v>
      </c>
      <c r="F78" s="11" t="s">
        <v>888</v>
      </c>
      <c r="G78" s="11"/>
      <c r="H78" s="24" t="s">
        <v>889</v>
      </c>
    </row>
    <row r="79" customFormat="false" ht="15" hidden="false" customHeight="true" outlineLevel="0" collapsed="false">
      <c r="B79" s="43" t="n">
        <v>46055</v>
      </c>
      <c r="C79" s="11" t="s">
        <v>511</v>
      </c>
      <c r="D79" s="11" t="s">
        <v>941</v>
      </c>
      <c r="E79" s="22" t="n">
        <v>3.25</v>
      </c>
      <c r="F79" s="11" t="s">
        <v>869</v>
      </c>
      <c r="G79" s="11"/>
      <c r="H79" s="24" t="s">
        <v>942</v>
      </c>
    </row>
    <row r="80" customFormat="false" ht="15" hidden="false" customHeight="true" outlineLevel="0" collapsed="false">
      <c r="B80" s="43" t="n">
        <v>46055</v>
      </c>
      <c r="C80" s="11" t="s">
        <v>511</v>
      </c>
      <c r="D80" s="11" t="s">
        <v>941</v>
      </c>
      <c r="E80" s="22" t="n">
        <v>3.25</v>
      </c>
      <c r="F80" s="11" t="s">
        <v>869</v>
      </c>
      <c r="G80" s="11"/>
      <c r="H80" s="24" t="s">
        <v>942</v>
      </c>
    </row>
    <row r="81" customFormat="false" ht="15" hidden="false" customHeight="true" outlineLevel="0" collapsed="false">
      <c r="B81" s="43" t="n">
        <v>46055</v>
      </c>
      <c r="C81" s="11" t="s">
        <v>890</v>
      </c>
      <c r="D81" s="11" t="s">
        <v>925</v>
      </c>
      <c r="E81" s="22" t="n">
        <v>9.35</v>
      </c>
      <c r="F81" s="11" t="s">
        <v>869</v>
      </c>
      <c r="G81" s="11"/>
      <c r="H81" s="24" t="s">
        <v>926</v>
      </c>
    </row>
    <row r="82" customFormat="false" ht="15" hidden="false" customHeight="true" outlineLevel="0" collapsed="false">
      <c r="B82" s="43" t="n">
        <v>46056</v>
      </c>
      <c r="C82" s="11" t="s">
        <v>511</v>
      </c>
      <c r="D82" s="11" t="s">
        <v>941</v>
      </c>
      <c r="E82" s="22" t="n">
        <v>3.25</v>
      </c>
      <c r="F82" s="11" t="s">
        <v>869</v>
      </c>
      <c r="G82" s="11"/>
      <c r="H82" s="24" t="s">
        <v>942</v>
      </c>
    </row>
    <row r="83" customFormat="false" ht="15" hidden="false" customHeight="true" outlineLevel="0" collapsed="false">
      <c r="B83" s="43" t="n">
        <v>46057</v>
      </c>
      <c r="C83" s="11" t="s">
        <v>867</v>
      </c>
      <c r="D83" s="11" t="s">
        <v>935</v>
      </c>
      <c r="E83" s="22" t="n">
        <v>38</v>
      </c>
      <c r="F83" s="11" t="s">
        <v>869</v>
      </c>
      <c r="G83" s="11"/>
      <c r="H83" s="24" t="s">
        <v>936</v>
      </c>
    </row>
    <row r="84" customFormat="false" ht="15" hidden="false" customHeight="true" outlineLevel="0" collapsed="false">
      <c r="B84" s="43" t="n">
        <v>46059</v>
      </c>
      <c r="C84" s="11" t="s">
        <v>882</v>
      </c>
      <c r="D84" s="11" t="s">
        <v>892</v>
      </c>
      <c r="E84" s="22" t="n">
        <v>111.88</v>
      </c>
      <c r="F84" s="11" t="s">
        <v>869</v>
      </c>
      <c r="G84" s="11"/>
      <c r="H84" s="24" t="s">
        <v>893</v>
      </c>
    </row>
    <row r="85" customFormat="false" ht="15" hidden="false" customHeight="true" outlineLevel="0" collapsed="false">
      <c r="B85" s="43" t="n">
        <v>46059</v>
      </c>
      <c r="C85" s="11" t="s">
        <v>511</v>
      </c>
      <c r="D85" s="11" t="s">
        <v>941</v>
      </c>
      <c r="E85" s="22" t="n">
        <v>3.25</v>
      </c>
      <c r="F85" s="11" t="s">
        <v>869</v>
      </c>
      <c r="G85" s="11"/>
      <c r="H85" s="24" t="s">
        <v>942</v>
      </c>
    </row>
    <row r="86" customFormat="false" ht="15" hidden="false" customHeight="true" outlineLevel="0" collapsed="false">
      <c r="B86" s="43" t="n">
        <v>46060</v>
      </c>
      <c r="C86" s="11" t="s">
        <v>511</v>
      </c>
      <c r="D86" s="11" t="s">
        <v>941</v>
      </c>
      <c r="E86" s="22" t="n">
        <v>3.25</v>
      </c>
      <c r="F86" s="11" t="s">
        <v>869</v>
      </c>
      <c r="G86" s="11"/>
      <c r="H86" s="24" t="s">
        <v>942</v>
      </c>
    </row>
    <row r="87" customFormat="false" ht="15" hidden="false" customHeight="true" outlineLevel="0" collapsed="false">
      <c r="B87" s="43" t="n">
        <v>46061</v>
      </c>
      <c r="C87" s="11" t="s">
        <v>511</v>
      </c>
      <c r="D87" s="11" t="s">
        <v>941</v>
      </c>
      <c r="E87" s="22" t="n">
        <v>3.25</v>
      </c>
      <c r="F87" s="11" t="s">
        <v>869</v>
      </c>
      <c r="G87" s="11"/>
      <c r="H87" s="24" t="s">
        <v>942</v>
      </c>
    </row>
    <row r="88" customFormat="false" ht="15" hidden="false" customHeight="true" outlineLevel="0" collapsed="false">
      <c r="B88" s="43" t="n">
        <v>46061</v>
      </c>
      <c r="C88" s="11" t="s">
        <v>511</v>
      </c>
      <c r="D88" s="11" t="s">
        <v>941</v>
      </c>
      <c r="E88" s="22" t="n">
        <v>3.25</v>
      </c>
      <c r="F88" s="11" t="s">
        <v>869</v>
      </c>
      <c r="G88" s="11"/>
      <c r="H88" s="24" t="s">
        <v>942</v>
      </c>
    </row>
    <row r="89" customFormat="false" ht="15" hidden="false" customHeight="true" outlineLevel="0" collapsed="false">
      <c r="B89" s="43" t="n">
        <v>46062</v>
      </c>
      <c r="C89" s="11" t="s">
        <v>890</v>
      </c>
      <c r="D89" s="11" t="s">
        <v>918</v>
      </c>
      <c r="E89" s="22" t="n">
        <v>56.92</v>
      </c>
      <c r="F89" s="11" t="s">
        <v>869</v>
      </c>
      <c r="G89" s="11"/>
      <c r="H89" s="24" t="s">
        <v>919</v>
      </c>
    </row>
    <row r="90" customFormat="false" ht="15" hidden="false" customHeight="true" outlineLevel="0" collapsed="false">
      <c r="B90" s="43" t="n">
        <v>46063</v>
      </c>
      <c r="C90" s="11" t="s">
        <v>890</v>
      </c>
      <c r="D90" s="11" t="s">
        <v>933</v>
      </c>
      <c r="E90" s="22" t="n">
        <v>35.87</v>
      </c>
      <c r="F90" s="11" t="s">
        <v>869</v>
      </c>
      <c r="G90" s="11"/>
      <c r="H90" s="24" t="s">
        <v>934</v>
      </c>
    </row>
    <row r="91" customFormat="false" ht="15" hidden="false" customHeight="true" outlineLevel="0" collapsed="false">
      <c r="B91" s="43" t="n">
        <v>46063</v>
      </c>
      <c r="C91" s="11" t="s">
        <v>511</v>
      </c>
      <c r="D91" s="11" t="s">
        <v>941</v>
      </c>
      <c r="E91" s="22" t="n">
        <v>3.25</v>
      </c>
      <c r="F91" s="11" t="s">
        <v>869</v>
      </c>
      <c r="G91" s="11"/>
      <c r="H91" s="24" t="s">
        <v>942</v>
      </c>
    </row>
    <row r="92" customFormat="false" ht="15" hidden="false" customHeight="true" outlineLevel="0" collapsed="false">
      <c r="B92" s="43" t="n">
        <v>46064</v>
      </c>
      <c r="C92" s="11" t="s">
        <v>511</v>
      </c>
      <c r="D92" s="11" t="s">
        <v>946</v>
      </c>
      <c r="E92" s="22" t="n">
        <v>5.95</v>
      </c>
      <c r="F92" s="11" t="s">
        <v>869</v>
      </c>
      <c r="G92" s="11"/>
      <c r="H92" s="24" t="s">
        <v>947</v>
      </c>
    </row>
    <row r="93" customFormat="false" ht="15" hidden="false" customHeight="true" outlineLevel="0" collapsed="false">
      <c r="B93" s="43" t="n">
        <v>46065</v>
      </c>
      <c r="C93" s="11" t="s">
        <v>882</v>
      </c>
      <c r="D93" s="11" t="s">
        <v>937</v>
      </c>
      <c r="E93" s="22" t="n">
        <v>57.17</v>
      </c>
      <c r="F93" s="11" t="s">
        <v>884</v>
      </c>
      <c r="G93" s="11"/>
      <c r="H93" s="24" t="s">
        <v>439</v>
      </c>
    </row>
    <row r="94" customFormat="false" ht="15" hidden="false" customHeight="true" outlineLevel="0" collapsed="false">
      <c r="B94" s="43" t="n">
        <v>46065</v>
      </c>
      <c r="C94" s="11" t="s">
        <v>511</v>
      </c>
      <c r="D94" s="11" t="s">
        <v>944</v>
      </c>
      <c r="E94" s="22" t="n">
        <v>8.99</v>
      </c>
      <c r="F94" s="11" t="s">
        <v>869</v>
      </c>
      <c r="G94" s="11"/>
      <c r="H94" s="24" t="s">
        <v>945</v>
      </c>
    </row>
    <row r="95" customFormat="false" ht="15" hidden="false" customHeight="true" outlineLevel="0" collapsed="false">
      <c r="B95" s="43" t="n">
        <v>46065</v>
      </c>
      <c r="C95" s="11" t="s">
        <v>890</v>
      </c>
      <c r="D95" s="11" t="s">
        <v>925</v>
      </c>
      <c r="E95" s="22" t="n">
        <v>7.36</v>
      </c>
      <c r="F95" s="11" t="s">
        <v>869</v>
      </c>
      <c r="G95" s="11"/>
      <c r="H95" s="24" t="s">
        <v>926</v>
      </c>
    </row>
    <row r="96" customFormat="false" ht="15" hidden="false" customHeight="true" outlineLevel="0" collapsed="false">
      <c r="B96" s="43" t="n">
        <v>46067</v>
      </c>
      <c r="C96" s="11" t="s">
        <v>881</v>
      </c>
      <c r="D96" s="11" t="s">
        <v>905</v>
      </c>
      <c r="E96" s="22" t="n">
        <v>52.15</v>
      </c>
      <c r="F96" s="11" t="s">
        <v>869</v>
      </c>
      <c r="G96" s="11"/>
      <c r="H96" s="24" t="s">
        <v>906</v>
      </c>
    </row>
    <row r="97" customFormat="false" ht="15" hidden="false" customHeight="true" outlineLevel="0" collapsed="false">
      <c r="B97" s="43" t="n">
        <v>46067</v>
      </c>
      <c r="C97" s="11" t="s">
        <v>890</v>
      </c>
      <c r="D97" s="11" t="s">
        <v>933</v>
      </c>
      <c r="E97" s="22" t="n">
        <v>156.98</v>
      </c>
      <c r="F97" s="11" t="s">
        <v>869</v>
      </c>
      <c r="G97" s="11"/>
      <c r="H97" s="24" t="s">
        <v>934</v>
      </c>
    </row>
    <row r="98" customFormat="false" ht="15" hidden="false" customHeight="true" outlineLevel="0" collapsed="false">
      <c r="B98" s="43" t="n">
        <v>46069</v>
      </c>
      <c r="C98" s="11" t="s">
        <v>881</v>
      </c>
      <c r="D98" s="11" t="s">
        <v>897</v>
      </c>
      <c r="E98" s="22" t="n">
        <v>139.7</v>
      </c>
      <c r="F98" s="11" t="s">
        <v>884</v>
      </c>
      <c r="G98" s="11"/>
      <c r="H98" s="24" t="s">
        <v>898</v>
      </c>
    </row>
    <row r="99" customFormat="false" ht="15" hidden="false" customHeight="true" outlineLevel="0" collapsed="false">
      <c r="B99" s="43" t="n">
        <v>46070</v>
      </c>
      <c r="C99" s="11" t="s">
        <v>890</v>
      </c>
      <c r="D99" s="11" t="s">
        <v>925</v>
      </c>
      <c r="E99" s="22" t="n">
        <v>7.56</v>
      </c>
      <c r="F99" s="11" t="s">
        <v>869</v>
      </c>
      <c r="G99" s="11"/>
      <c r="H99" s="24" t="s">
        <v>926</v>
      </c>
    </row>
    <row r="100" customFormat="false" ht="15" hidden="false" customHeight="true" outlineLevel="0" collapsed="false">
      <c r="B100" s="43" t="n">
        <v>46071</v>
      </c>
      <c r="C100" s="11" t="s">
        <v>882</v>
      </c>
      <c r="D100" s="11" t="s">
        <v>930</v>
      </c>
      <c r="E100" s="22" t="n">
        <v>327.51</v>
      </c>
      <c r="F100" s="11" t="s">
        <v>884</v>
      </c>
      <c r="G100" s="11"/>
      <c r="H100" s="24" t="s">
        <v>895</v>
      </c>
    </row>
    <row r="101" customFormat="false" ht="15" hidden="false" customHeight="true" outlineLevel="0" collapsed="false">
      <c r="B101" s="43" t="n">
        <v>46071</v>
      </c>
      <c r="C101" s="11" t="s">
        <v>867</v>
      </c>
      <c r="D101" s="11" t="s">
        <v>935</v>
      </c>
      <c r="E101" s="22" t="n">
        <v>38</v>
      </c>
      <c r="F101" s="11" t="s">
        <v>869</v>
      </c>
      <c r="G101" s="11"/>
      <c r="H101" s="24" t="s">
        <v>936</v>
      </c>
    </row>
    <row r="102" customFormat="false" ht="15" hidden="false" customHeight="true" outlineLevel="0" collapsed="false">
      <c r="B102" s="43" t="n">
        <v>46071</v>
      </c>
      <c r="C102" s="11" t="s">
        <v>890</v>
      </c>
      <c r="D102" s="11" t="s">
        <v>933</v>
      </c>
      <c r="E102" s="22" t="n">
        <v>16.1</v>
      </c>
      <c r="F102" s="11" t="s">
        <v>869</v>
      </c>
      <c r="G102" s="11"/>
      <c r="H102" s="24" t="s">
        <v>934</v>
      </c>
    </row>
    <row r="103" customFormat="false" ht="15" hidden="false" customHeight="true" outlineLevel="0" collapsed="false">
      <c r="B103" s="43" t="n">
        <v>46073</v>
      </c>
      <c r="C103" s="11" t="s">
        <v>890</v>
      </c>
      <c r="D103" s="11" t="s">
        <v>925</v>
      </c>
      <c r="E103" s="22" t="n">
        <v>11.36</v>
      </c>
      <c r="F103" s="11" t="s">
        <v>869</v>
      </c>
      <c r="G103" s="11"/>
      <c r="H103" s="24" t="s">
        <v>926</v>
      </c>
    </row>
    <row r="104" customFormat="false" ht="15" hidden="false" customHeight="true" outlineLevel="0" collapsed="false">
      <c r="B104" s="43" t="n">
        <v>46075</v>
      </c>
      <c r="C104" s="11" t="s">
        <v>511</v>
      </c>
      <c r="D104" s="11" t="s">
        <v>941</v>
      </c>
      <c r="E104" s="22" t="n">
        <v>3.25</v>
      </c>
      <c r="F104" s="11" t="s">
        <v>869</v>
      </c>
      <c r="G104" s="11"/>
      <c r="H104" s="24" t="s">
        <v>942</v>
      </c>
    </row>
    <row r="105" customFormat="false" ht="15" hidden="false" customHeight="true" outlineLevel="0" collapsed="false">
      <c r="B105" s="43" t="n">
        <v>46076</v>
      </c>
      <c r="C105" s="11" t="s">
        <v>882</v>
      </c>
      <c r="D105" s="11" t="s">
        <v>883</v>
      </c>
      <c r="E105" s="22" t="n">
        <v>92.12</v>
      </c>
      <c r="F105" s="11" t="s">
        <v>884</v>
      </c>
      <c r="G105" s="11"/>
      <c r="H105" s="24" t="s">
        <v>439</v>
      </c>
    </row>
    <row r="106" customFormat="false" ht="15" hidden="false" customHeight="true" outlineLevel="0" collapsed="false">
      <c r="B106" s="43" t="n">
        <v>46079</v>
      </c>
      <c r="C106" s="11" t="s">
        <v>890</v>
      </c>
      <c r="D106" s="11" t="s">
        <v>925</v>
      </c>
      <c r="E106" s="22" t="n">
        <v>7.66</v>
      </c>
      <c r="F106" s="11" t="s">
        <v>869</v>
      </c>
      <c r="G106" s="11"/>
      <c r="H106" s="24" t="s">
        <v>926</v>
      </c>
    </row>
    <row r="107" customFormat="false" ht="15" hidden="false" customHeight="true" outlineLevel="0" collapsed="false">
      <c r="B107" s="43" t="n">
        <v>46080</v>
      </c>
      <c r="C107" s="11" t="s">
        <v>867</v>
      </c>
      <c r="D107" s="11" t="s">
        <v>935</v>
      </c>
      <c r="E107" s="22" t="n">
        <v>38</v>
      </c>
      <c r="F107" s="11" t="s">
        <v>869</v>
      </c>
      <c r="G107" s="11"/>
      <c r="H107" s="24" t="s">
        <v>936</v>
      </c>
    </row>
    <row r="108" customFormat="false" ht="15" hidden="false" customHeight="true" outlineLevel="0" collapsed="false">
      <c r="B108" s="43" t="n">
        <v>46080</v>
      </c>
      <c r="C108" s="11" t="s">
        <v>881</v>
      </c>
      <c r="D108" s="11" t="s">
        <v>909</v>
      </c>
      <c r="E108" s="22" t="n">
        <v>49</v>
      </c>
      <c r="F108" s="11" t="s">
        <v>869</v>
      </c>
      <c r="G108" s="11"/>
      <c r="H108" s="24" t="s">
        <v>906</v>
      </c>
    </row>
    <row r="109" customFormat="false" ht="15" hidden="false" customHeight="true" outlineLevel="0" collapsed="false">
      <c r="B109" s="43" t="n">
        <v>46083</v>
      </c>
      <c r="C109" s="11" t="s">
        <v>881</v>
      </c>
      <c r="D109" s="11" t="s">
        <v>897</v>
      </c>
      <c r="E109" s="22" t="n">
        <v>133.16</v>
      </c>
      <c r="F109" s="11" t="s">
        <v>884</v>
      </c>
      <c r="G109" s="11"/>
      <c r="H109" s="24" t="s">
        <v>898</v>
      </c>
    </row>
    <row r="110" customFormat="false" ht="15" hidden="false" customHeight="true" outlineLevel="0" collapsed="false">
      <c r="B110" s="43" t="n">
        <v>46083</v>
      </c>
      <c r="C110" s="11" t="s">
        <v>886</v>
      </c>
      <c r="D110" s="11" t="s">
        <v>948</v>
      </c>
      <c r="E110" s="22" t="n">
        <v>625</v>
      </c>
      <c r="F110" s="11" t="s">
        <v>873</v>
      </c>
      <c r="G110" s="11"/>
      <c r="H110" s="24" t="s">
        <v>889</v>
      </c>
    </row>
    <row r="111" customFormat="false" ht="15" hidden="false" customHeight="true" outlineLevel="0" collapsed="false">
      <c r="B111" s="43" t="n">
        <v>46084</v>
      </c>
      <c r="C111" s="11" t="s">
        <v>890</v>
      </c>
      <c r="D111" s="11" t="s">
        <v>925</v>
      </c>
      <c r="E111" s="22" t="n">
        <v>5.87</v>
      </c>
      <c r="F111" s="11" t="s">
        <v>869</v>
      </c>
      <c r="G111" s="11"/>
      <c r="H111" s="24" t="s">
        <v>926</v>
      </c>
    </row>
    <row r="112" customFormat="false" ht="15" hidden="false" customHeight="true" outlineLevel="0" collapsed="false">
      <c r="B112" s="43" t="n">
        <v>46085</v>
      </c>
      <c r="C112" s="11" t="s">
        <v>511</v>
      </c>
      <c r="D112" s="11" t="s">
        <v>941</v>
      </c>
      <c r="E112" s="22" t="n">
        <v>3.25</v>
      </c>
      <c r="F112" s="11" t="s">
        <v>869</v>
      </c>
      <c r="G112" s="11"/>
      <c r="H112" s="24" t="s">
        <v>942</v>
      </c>
    </row>
    <row r="113" customFormat="false" ht="15" hidden="false" customHeight="true" outlineLevel="0" collapsed="false">
      <c r="B113" s="43" t="n">
        <v>46086</v>
      </c>
      <c r="C113" s="11" t="s">
        <v>511</v>
      </c>
      <c r="D113" s="11" t="s">
        <v>946</v>
      </c>
      <c r="E113" s="22" t="n">
        <v>5.95</v>
      </c>
      <c r="F113" s="11" t="s">
        <v>869</v>
      </c>
      <c r="G113" s="11"/>
      <c r="H113" s="24" t="s">
        <v>947</v>
      </c>
    </row>
    <row r="114" customFormat="false" ht="15" hidden="false" customHeight="true" outlineLevel="0" collapsed="false">
      <c r="B114" s="43" t="n">
        <v>46089</v>
      </c>
      <c r="C114" s="11" t="s">
        <v>511</v>
      </c>
      <c r="D114" s="11" t="s">
        <v>946</v>
      </c>
      <c r="E114" s="22" t="n">
        <v>3.95</v>
      </c>
      <c r="F114" s="11" t="s">
        <v>869</v>
      </c>
      <c r="G114" s="11"/>
      <c r="H114" s="24" t="s">
        <v>947</v>
      </c>
    </row>
    <row r="115" customFormat="false" ht="15" hidden="false" customHeight="true" outlineLevel="0" collapsed="false">
      <c r="B115" s="43" t="n">
        <v>46090</v>
      </c>
      <c r="C115" s="11" t="s">
        <v>882</v>
      </c>
      <c r="D115" s="11" t="s">
        <v>930</v>
      </c>
      <c r="E115" s="22" t="n">
        <v>250.7</v>
      </c>
      <c r="F115" s="11" t="s">
        <v>884</v>
      </c>
      <c r="G115" s="11"/>
      <c r="H115" s="24" t="s">
        <v>895</v>
      </c>
    </row>
    <row r="116" customFormat="false" ht="15" hidden="false" customHeight="true" outlineLevel="0" collapsed="false">
      <c r="B116" s="43" t="n">
        <v>46090</v>
      </c>
      <c r="C116" s="11" t="s">
        <v>511</v>
      </c>
      <c r="D116" s="11" t="s">
        <v>946</v>
      </c>
      <c r="E116" s="22" t="n">
        <v>3.95</v>
      </c>
      <c r="F116" s="11" t="s">
        <v>869</v>
      </c>
      <c r="G116" s="11"/>
      <c r="H116" s="24" t="s">
        <v>947</v>
      </c>
    </row>
    <row r="117" customFormat="false" ht="15" hidden="false" customHeight="true" outlineLevel="0" collapsed="false">
      <c r="B117" s="43" t="n">
        <v>46091</v>
      </c>
      <c r="C117" s="11" t="s">
        <v>882</v>
      </c>
      <c r="D117" s="11" t="s">
        <v>949</v>
      </c>
      <c r="E117" s="22" t="n">
        <v>35.94</v>
      </c>
      <c r="F117" s="11" t="s">
        <v>884</v>
      </c>
      <c r="G117" s="11"/>
      <c r="H117" s="24" t="s">
        <v>893</v>
      </c>
    </row>
    <row r="118" customFormat="false" ht="15" hidden="false" customHeight="true" outlineLevel="0" collapsed="false">
      <c r="B118" s="43" t="n">
        <v>46091</v>
      </c>
      <c r="C118" s="11" t="s">
        <v>890</v>
      </c>
      <c r="D118" s="11" t="s">
        <v>943</v>
      </c>
      <c r="E118" s="22" t="n">
        <v>58.73</v>
      </c>
      <c r="F118" s="11" t="s">
        <v>869</v>
      </c>
      <c r="G118" s="11"/>
      <c r="H118" s="24" t="s">
        <v>922</v>
      </c>
    </row>
    <row r="119" customFormat="false" ht="15" hidden="false" customHeight="true" outlineLevel="0" collapsed="false">
      <c r="B119" s="43" t="n">
        <v>46091</v>
      </c>
      <c r="C119" s="11" t="s">
        <v>890</v>
      </c>
      <c r="D119" s="11" t="s">
        <v>925</v>
      </c>
      <c r="E119" s="22" t="n">
        <v>7.78</v>
      </c>
      <c r="F119" s="11" t="s">
        <v>869</v>
      </c>
      <c r="G119" s="11"/>
      <c r="H119" s="24" t="s">
        <v>926</v>
      </c>
    </row>
    <row r="120" customFormat="false" ht="15" hidden="false" customHeight="true" outlineLevel="0" collapsed="false">
      <c r="B120" s="43" t="n">
        <v>46092</v>
      </c>
      <c r="C120" s="11" t="s">
        <v>890</v>
      </c>
      <c r="D120" s="11" t="s">
        <v>933</v>
      </c>
      <c r="E120" s="22" t="n">
        <v>39.03</v>
      </c>
      <c r="F120" s="11" t="s">
        <v>869</v>
      </c>
      <c r="G120" s="11"/>
      <c r="H120" s="24" t="s">
        <v>934</v>
      </c>
    </row>
    <row r="121" customFormat="false" ht="15" hidden="false" customHeight="true" outlineLevel="0" collapsed="false">
      <c r="B121" s="43" t="n">
        <v>46092</v>
      </c>
      <c r="C121" s="11" t="s">
        <v>867</v>
      </c>
      <c r="D121" s="11" t="s">
        <v>935</v>
      </c>
      <c r="E121" s="22" t="n">
        <v>38</v>
      </c>
      <c r="F121" s="11" t="s">
        <v>869</v>
      </c>
      <c r="G121" s="11"/>
      <c r="H121" s="24" t="s">
        <v>936</v>
      </c>
    </row>
    <row r="122" customFormat="false" ht="15" hidden="false" customHeight="true" outlineLevel="0" collapsed="false">
      <c r="B122" s="43" t="n">
        <v>46093</v>
      </c>
      <c r="C122" s="11" t="s">
        <v>511</v>
      </c>
      <c r="D122" s="11" t="s">
        <v>944</v>
      </c>
      <c r="E122" s="22" t="n">
        <v>8.99</v>
      </c>
      <c r="F122" s="11" t="s">
        <v>869</v>
      </c>
      <c r="G122" s="11"/>
      <c r="H122" s="24" t="s">
        <v>945</v>
      </c>
    </row>
    <row r="123" customFormat="false" ht="15" hidden="false" customHeight="true" outlineLevel="0" collapsed="false">
      <c r="B123" s="43" t="n">
        <v>46094</v>
      </c>
      <c r="C123" s="11" t="s">
        <v>890</v>
      </c>
      <c r="D123" s="11" t="s">
        <v>918</v>
      </c>
      <c r="E123" s="22" t="n">
        <v>101.43</v>
      </c>
      <c r="F123" s="11" t="s">
        <v>869</v>
      </c>
      <c r="G123" s="11"/>
      <c r="H123" s="24" t="s">
        <v>919</v>
      </c>
    </row>
    <row r="124" customFormat="false" ht="15" hidden="false" customHeight="true" outlineLevel="0" collapsed="false">
      <c r="B124" s="43" t="n">
        <v>46094</v>
      </c>
      <c r="C124" s="11" t="s">
        <v>511</v>
      </c>
      <c r="D124" s="11" t="s">
        <v>946</v>
      </c>
      <c r="E124" s="22" t="n">
        <v>5.95</v>
      </c>
      <c r="F124" s="11" t="s">
        <v>869</v>
      </c>
      <c r="G124" s="11"/>
      <c r="H124" s="24" t="s">
        <v>947</v>
      </c>
    </row>
    <row r="125" customFormat="false" ht="15" hidden="false" customHeight="true" outlineLevel="0" collapsed="false">
      <c r="B125" s="43" t="n">
        <v>46095</v>
      </c>
      <c r="C125" s="11" t="s">
        <v>890</v>
      </c>
      <c r="D125" s="11" t="s">
        <v>925</v>
      </c>
      <c r="E125" s="22" t="n">
        <v>1.79</v>
      </c>
      <c r="F125" s="11" t="s">
        <v>869</v>
      </c>
      <c r="G125" s="11"/>
      <c r="H125" s="24" t="s">
        <v>926</v>
      </c>
    </row>
    <row r="126" customFormat="false" ht="15" hidden="false" customHeight="true" outlineLevel="0" collapsed="false">
      <c r="B126" s="43" t="n">
        <v>46096</v>
      </c>
      <c r="C126" s="11" t="s">
        <v>511</v>
      </c>
      <c r="D126" s="11" t="s">
        <v>941</v>
      </c>
      <c r="E126" s="22" t="n">
        <v>3.25</v>
      </c>
      <c r="F126" s="11" t="s">
        <v>869</v>
      </c>
      <c r="G126" s="11"/>
      <c r="H126" s="24" t="s">
        <v>942</v>
      </c>
    </row>
    <row r="127" customFormat="false" ht="15" hidden="false" customHeight="true" outlineLevel="0" collapsed="false">
      <c r="B127" s="43" t="n">
        <v>46097</v>
      </c>
      <c r="C127" s="11" t="s">
        <v>882</v>
      </c>
      <c r="D127" s="11" t="s">
        <v>937</v>
      </c>
      <c r="E127" s="22" t="n">
        <v>57.17</v>
      </c>
      <c r="F127" s="11" t="s">
        <v>884</v>
      </c>
      <c r="G127" s="11"/>
      <c r="H127" s="24" t="s">
        <v>439</v>
      </c>
    </row>
    <row r="128" customFormat="false" ht="15" hidden="false" customHeight="true" outlineLevel="0" collapsed="false">
      <c r="B128" s="43" t="n">
        <v>46097</v>
      </c>
      <c r="C128" s="11" t="s">
        <v>511</v>
      </c>
      <c r="D128" s="11" t="s">
        <v>946</v>
      </c>
      <c r="E128" s="22" t="n">
        <v>3.95</v>
      </c>
      <c r="F128" s="11" t="s">
        <v>869</v>
      </c>
      <c r="G128" s="11"/>
      <c r="H128" s="24" t="s">
        <v>947</v>
      </c>
    </row>
    <row r="129" customFormat="false" ht="15" hidden="false" customHeight="true" outlineLevel="0" collapsed="false">
      <c r="B129" s="43" t="n">
        <v>46098</v>
      </c>
      <c r="C129" s="11" t="s">
        <v>881</v>
      </c>
      <c r="D129" s="11" t="s">
        <v>905</v>
      </c>
      <c r="E129" s="22" t="n">
        <v>24.84</v>
      </c>
      <c r="F129" s="11" t="s">
        <v>869</v>
      </c>
      <c r="G129" s="11"/>
      <c r="H129" s="24" t="s">
        <v>906</v>
      </c>
    </row>
    <row r="130" customFormat="false" ht="15" hidden="false" customHeight="true" outlineLevel="0" collapsed="false">
      <c r="B130" s="43" t="n">
        <v>46099</v>
      </c>
      <c r="C130" s="11" t="s">
        <v>867</v>
      </c>
      <c r="D130" s="11" t="s">
        <v>935</v>
      </c>
      <c r="E130" s="22" t="n">
        <v>38</v>
      </c>
      <c r="F130" s="11" t="s">
        <v>869</v>
      </c>
      <c r="G130" s="11"/>
      <c r="H130" s="24" t="s">
        <v>936</v>
      </c>
    </row>
    <row r="131" customFormat="false" ht="15" hidden="false" customHeight="true" outlineLevel="0" collapsed="false">
      <c r="B131" s="43" t="n">
        <v>46099</v>
      </c>
      <c r="C131" s="11" t="s">
        <v>881</v>
      </c>
      <c r="D131" s="11" t="s">
        <v>912</v>
      </c>
      <c r="E131" s="22" t="n">
        <v>7.36</v>
      </c>
      <c r="F131" s="11" t="s">
        <v>869</v>
      </c>
      <c r="G131" s="11"/>
      <c r="H131" s="24" t="s">
        <v>906</v>
      </c>
    </row>
    <row r="132" customFormat="false" ht="15" hidden="false" customHeight="true" outlineLevel="0" collapsed="false">
      <c r="B132" s="43" t="n">
        <v>46100</v>
      </c>
      <c r="C132" s="11" t="s">
        <v>881</v>
      </c>
      <c r="D132" s="11" t="s">
        <v>912</v>
      </c>
      <c r="E132" s="22" t="n">
        <v>16.41</v>
      </c>
      <c r="F132" s="11" t="s">
        <v>869</v>
      </c>
      <c r="G132" s="11"/>
      <c r="H132" s="24" t="s">
        <v>906</v>
      </c>
    </row>
    <row r="133" customFormat="false" ht="15" hidden="false" customHeight="true" outlineLevel="0" collapsed="false">
      <c r="B133" s="43" t="n">
        <v>46101</v>
      </c>
      <c r="C133" s="11" t="s">
        <v>511</v>
      </c>
      <c r="D133" s="11" t="s">
        <v>946</v>
      </c>
      <c r="E133" s="22" t="n">
        <v>3.95</v>
      </c>
      <c r="F133" s="11" t="s">
        <v>869</v>
      </c>
      <c r="G133" s="11"/>
      <c r="H133" s="24" t="s">
        <v>947</v>
      </c>
    </row>
    <row r="134" customFormat="false" ht="15" hidden="false" customHeight="true" outlineLevel="0" collapsed="false">
      <c r="B134" s="43" t="n">
        <v>46102</v>
      </c>
      <c r="C134" s="11" t="s">
        <v>881</v>
      </c>
      <c r="D134" s="11" t="s">
        <v>912</v>
      </c>
      <c r="E134" s="22" t="n">
        <v>6.16</v>
      </c>
      <c r="F134" s="11" t="s">
        <v>869</v>
      </c>
      <c r="G134" s="11"/>
      <c r="H134" s="24" t="s">
        <v>906</v>
      </c>
    </row>
    <row r="135" customFormat="false" ht="15" hidden="false" customHeight="true" outlineLevel="0" collapsed="false">
      <c r="B135" s="43" t="n">
        <v>46102</v>
      </c>
      <c r="C135" s="11" t="s">
        <v>511</v>
      </c>
      <c r="D135" s="11" t="s">
        <v>950</v>
      </c>
      <c r="E135" s="22" t="n">
        <v>10.7</v>
      </c>
      <c r="F135" s="11" t="s">
        <v>869</v>
      </c>
      <c r="G135" s="11"/>
      <c r="H135" s="24" t="s">
        <v>914</v>
      </c>
    </row>
    <row r="136" customFormat="false" ht="15" hidden="false" customHeight="true" outlineLevel="0" collapsed="false">
      <c r="B136" s="43" t="n">
        <v>46102</v>
      </c>
      <c r="C136" s="11" t="s">
        <v>511</v>
      </c>
      <c r="D136" s="11" t="s">
        <v>951</v>
      </c>
      <c r="E136" s="22" t="n">
        <v>8.99</v>
      </c>
      <c r="F136" s="11" t="s">
        <v>869</v>
      </c>
      <c r="G136" s="11"/>
      <c r="H136" s="24" t="s">
        <v>908</v>
      </c>
    </row>
    <row r="137" customFormat="false" ht="15" hidden="false" customHeight="true" outlineLevel="0" collapsed="false">
      <c r="B137" s="43" t="n">
        <v>46104</v>
      </c>
      <c r="C137" s="11" t="s">
        <v>881</v>
      </c>
      <c r="D137" s="11" t="s">
        <v>897</v>
      </c>
      <c r="E137" s="22" t="n">
        <v>88.45</v>
      </c>
      <c r="F137" s="11" t="s">
        <v>884</v>
      </c>
      <c r="G137" s="11"/>
      <c r="H137" s="24" t="s">
        <v>898</v>
      </c>
    </row>
    <row r="138" customFormat="false" ht="15" hidden="false" customHeight="true" outlineLevel="0" collapsed="false">
      <c r="B138" s="43" t="n">
        <v>46104</v>
      </c>
      <c r="C138" s="11" t="s">
        <v>882</v>
      </c>
      <c r="D138" s="11" t="s">
        <v>883</v>
      </c>
      <c r="E138" s="22" t="n">
        <v>92.12</v>
      </c>
      <c r="F138" s="11" t="s">
        <v>884</v>
      </c>
      <c r="G138" s="11"/>
      <c r="H138" s="24" t="s">
        <v>439</v>
      </c>
    </row>
    <row r="139" customFormat="false" ht="15" hidden="false" customHeight="true" outlineLevel="0" collapsed="false">
      <c r="B139" s="43" t="n">
        <v>46104</v>
      </c>
      <c r="C139" s="11" t="s">
        <v>882</v>
      </c>
      <c r="D139" s="11" t="s">
        <v>883</v>
      </c>
      <c r="E139" s="22" t="n">
        <v>10.2</v>
      </c>
      <c r="F139" s="11" t="s">
        <v>884</v>
      </c>
      <c r="G139" s="11"/>
      <c r="H139" s="24" t="s">
        <v>439</v>
      </c>
    </row>
    <row r="140" customFormat="false" ht="15" hidden="false" customHeight="true" outlineLevel="0" collapsed="false">
      <c r="B140" s="43" t="n">
        <v>46104</v>
      </c>
      <c r="C140" s="11" t="s">
        <v>881</v>
      </c>
      <c r="D140" s="11" t="s">
        <v>912</v>
      </c>
      <c r="E140" s="22" t="n">
        <v>19.36</v>
      </c>
      <c r="F140" s="11" t="s">
        <v>869</v>
      </c>
      <c r="G140" s="11"/>
      <c r="H140" s="24" t="s">
        <v>906</v>
      </c>
    </row>
    <row r="141" customFormat="false" ht="15" hidden="false" customHeight="true" outlineLevel="0" collapsed="false">
      <c r="B141" s="43" t="n">
        <v>46105</v>
      </c>
      <c r="C141" s="11" t="s">
        <v>881</v>
      </c>
      <c r="D141" s="11" t="s">
        <v>912</v>
      </c>
      <c r="E141" s="22" t="n">
        <v>29.31</v>
      </c>
      <c r="F141" s="11" t="s">
        <v>869</v>
      </c>
      <c r="G141" s="11"/>
      <c r="H141" s="24" t="s">
        <v>906</v>
      </c>
    </row>
    <row r="142" customFormat="false" ht="15" hidden="false" customHeight="true" outlineLevel="0" collapsed="false">
      <c r="B142" s="43" t="n">
        <v>46105</v>
      </c>
      <c r="C142" s="11" t="s">
        <v>890</v>
      </c>
      <c r="D142" s="11" t="s">
        <v>925</v>
      </c>
      <c r="E142" s="22" t="n">
        <v>7.66</v>
      </c>
      <c r="F142" s="11" t="s">
        <v>869</v>
      </c>
      <c r="G142" s="11"/>
      <c r="H142" s="24" t="s">
        <v>926</v>
      </c>
    </row>
    <row r="143" customFormat="false" ht="15" hidden="false" customHeight="true" outlineLevel="0" collapsed="false">
      <c r="B143" s="43" t="n">
        <v>46105</v>
      </c>
      <c r="C143" s="11" t="s">
        <v>511</v>
      </c>
      <c r="D143" s="11" t="s">
        <v>946</v>
      </c>
      <c r="E143" s="22" t="n">
        <v>5.95</v>
      </c>
      <c r="F143" s="11" t="s">
        <v>869</v>
      </c>
      <c r="G143" s="11"/>
      <c r="H143" s="24" t="s">
        <v>947</v>
      </c>
    </row>
    <row r="144" customFormat="false" ht="15" hidden="false" customHeight="true" outlineLevel="0" collapsed="false">
      <c r="B144" s="43" t="n">
        <v>46106</v>
      </c>
      <c r="C144" s="11" t="s">
        <v>511</v>
      </c>
      <c r="D144" s="11" t="s">
        <v>941</v>
      </c>
      <c r="E144" s="22" t="n">
        <v>3.25</v>
      </c>
      <c r="F144" s="11" t="s">
        <v>869</v>
      </c>
      <c r="G144" s="11"/>
      <c r="H144" s="24" t="s">
        <v>942</v>
      </c>
    </row>
    <row r="145" customFormat="false" ht="15" hidden="false" customHeight="true" outlineLevel="0" collapsed="false">
      <c r="B145" s="43" t="n">
        <v>46106</v>
      </c>
      <c r="C145" s="11" t="s">
        <v>511</v>
      </c>
      <c r="D145" s="11" t="s">
        <v>952</v>
      </c>
      <c r="E145" s="22" t="n">
        <v>250</v>
      </c>
      <c r="F145" s="11" t="s">
        <v>873</v>
      </c>
      <c r="G145" s="11"/>
      <c r="H145" s="24" t="s">
        <v>953</v>
      </c>
    </row>
    <row r="146" customFormat="false" ht="15" hidden="false" customHeight="true" outlineLevel="0" collapsed="false">
      <c r="B146" s="43" t="n">
        <v>46107</v>
      </c>
      <c r="C146" s="11" t="s">
        <v>881</v>
      </c>
      <c r="D146" s="11" t="s">
        <v>912</v>
      </c>
      <c r="E146" s="22" t="n">
        <v>19.26</v>
      </c>
      <c r="F146" s="11" t="s">
        <v>869</v>
      </c>
      <c r="G146" s="11"/>
      <c r="H146" s="24" t="s">
        <v>906</v>
      </c>
    </row>
    <row r="147" customFormat="false" ht="15" hidden="false" customHeight="true" outlineLevel="0" collapsed="false">
      <c r="B147" s="43" t="n">
        <v>46108</v>
      </c>
      <c r="C147" s="11" t="s">
        <v>511</v>
      </c>
      <c r="D147" s="11" t="s">
        <v>946</v>
      </c>
      <c r="E147" s="22" t="n">
        <v>3.95</v>
      </c>
      <c r="F147" s="11" t="s">
        <v>869</v>
      </c>
      <c r="G147" s="11"/>
      <c r="H147" s="24" t="s">
        <v>947</v>
      </c>
    </row>
    <row r="148" customFormat="false" ht="15" hidden="false" customHeight="true" outlineLevel="0" collapsed="false">
      <c r="B148" s="43" t="n">
        <v>46108</v>
      </c>
      <c r="C148" s="11" t="s">
        <v>881</v>
      </c>
      <c r="D148" s="11" t="s">
        <v>905</v>
      </c>
      <c r="E148" s="22" t="n">
        <v>26.59</v>
      </c>
      <c r="F148" s="11" t="s">
        <v>869</v>
      </c>
      <c r="G148" s="11"/>
      <c r="H148" s="24" t="s">
        <v>906</v>
      </c>
    </row>
    <row r="149" customFormat="false" ht="15" hidden="false" customHeight="true" outlineLevel="0" collapsed="false">
      <c r="B149" s="43" t="n">
        <v>46109</v>
      </c>
      <c r="C149" s="11" t="s">
        <v>511</v>
      </c>
      <c r="D149" s="11" t="s">
        <v>946</v>
      </c>
      <c r="E149" s="22" t="n">
        <v>5.95</v>
      </c>
      <c r="F149" s="11" t="s">
        <v>869</v>
      </c>
      <c r="G149" s="11"/>
      <c r="H149" s="24" t="s">
        <v>947</v>
      </c>
    </row>
    <row r="150" customFormat="false" ht="15" hidden="false" customHeight="true" outlineLevel="0" collapsed="false">
      <c r="B150" s="43" t="n">
        <v>46111</v>
      </c>
      <c r="C150" s="11" t="s">
        <v>881</v>
      </c>
      <c r="D150" s="11" t="s">
        <v>897</v>
      </c>
      <c r="E150" s="22" t="n">
        <v>39.58</v>
      </c>
      <c r="F150" s="11" t="s">
        <v>884</v>
      </c>
      <c r="G150" s="11"/>
      <c r="H150" s="24" t="s">
        <v>898</v>
      </c>
    </row>
    <row r="151" customFormat="false" ht="15" hidden="false" customHeight="true" outlineLevel="0" collapsed="false">
      <c r="B151" s="43" t="n">
        <v>46111</v>
      </c>
      <c r="C151" s="11" t="s">
        <v>511</v>
      </c>
      <c r="D151" s="11" t="s">
        <v>954</v>
      </c>
      <c r="E151" s="22" t="n">
        <v>572.49</v>
      </c>
      <c r="F151" s="11" t="s">
        <v>873</v>
      </c>
      <c r="G151" s="11"/>
      <c r="H151" s="24" t="s">
        <v>955</v>
      </c>
    </row>
    <row r="152" customFormat="false" ht="15" hidden="false" customHeight="true" outlineLevel="0" collapsed="false">
      <c r="B152" s="43" t="n">
        <v>46111</v>
      </c>
      <c r="C152" s="11" t="s">
        <v>890</v>
      </c>
      <c r="D152" s="11" t="s">
        <v>925</v>
      </c>
      <c r="E152" s="22" t="n">
        <v>7.16</v>
      </c>
      <c r="F152" s="11" t="s">
        <v>869</v>
      </c>
      <c r="G152" s="11"/>
      <c r="H152" s="24" t="s">
        <v>926</v>
      </c>
    </row>
    <row r="153" customFormat="false" ht="15" hidden="false" customHeight="true" outlineLevel="0" collapsed="false">
      <c r="B153" s="43" t="n">
        <v>46112</v>
      </c>
      <c r="C153" s="11" t="s">
        <v>511</v>
      </c>
      <c r="D153" s="11" t="s">
        <v>946</v>
      </c>
      <c r="E153" s="22" t="n">
        <v>4.95</v>
      </c>
      <c r="F153" s="11" t="s">
        <v>869</v>
      </c>
      <c r="G153" s="11"/>
      <c r="H153" s="24" t="s">
        <v>947</v>
      </c>
    </row>
    <row r="154" customFormat="false" ht="15" hidden="false" customHeight="true" outlineLevel="0" collapsed="false">
      <c r="B154" s="43" t="n">
        <v>46112</v>
      </c>
      <c r="C154" s="11" t="s">
        <v>890</v>
      </c>
      <c r="D154" s="11" t="s">
        <v>918</v>
      </c>
      <c r="E154" s="22" t="n">
        <v>163.62</v>
      </c>
      <c r="F154" s="11" t="s">
        <v>869</v>
      </c>
      <c r="G154" s="11"/>
      <c r="H154" s="24" t="s">
        <v>919</v>
      </c>
    </row>
    <row r="155" customFormat="false" ht="15" hidden="false" customHeight="true" outlineLevel="0" collapsed="false">
      <c r="B155" s="44"/>
      <c r="C155" s="19"/>
      <c r="D155" s="19"/>
      <c r="E155" s="45"/>
      <c r="F155" s="19"/>
      <c r="G155" s="19"/>
      <c r="H155" s="19"/>
    </row>
    <row r="156" customFormat="false" ht="15" hidden="false" customHeight="true" outlineLevel="0" collapsed="false">
      <c r="B156" s="44"/>
      <c r="C156" s="19"/>
      <c r="D156" s="19"/>
      <c r="E156" s="45"/>
      <c r="F156" s="19"/>
      <c r="G156" s="19"/>
      <c r="H156" s="19"/>
    </row>
    <row r="157" customFormat="false" ht="15" hidden="false" customHeight="true" outlineLevel="0" collapsed="false">
      <c r="B157" s="44"/>
      <c r="C157" s="19"/>
      <c r="D157" s="19"/>
      <c r="E157" s="45"/>
      <c r="F157" s="19"/>
      <c r="G157" s="19"/>
      <c r="H157" s="19"/>
    </row>
    <row r="158" customFormat="false" ht="15" hidden="false" customHeight="true" outlineLevel="0" collapsed="false">
      <c r="B158" s="44"/>
      <c r="C158" s="19"/>
      <c r="D158" s="19"/>
      <c r="E158" s="45"/>
      <c r="F158" s="19"/>
      <c r="G158" s="19"/>
      <c r="H158" s="19"/>
    </row>
    <row r="159" customFormat="false" ht="15" hidden="false" customHeight="true" outlineLevel="0" collapsed="false">
      <c r="B159" s="44"/>
      <c r="C159" s="19"/>
      <c r="D159" s="19"/>
      <c r="E159" s="45"/>
      <c r="F159" s="19"/>
      <c r="G159" s="19"/>
      <c r="H159" s="19"/>
    </row>
    <row r="160" customFormat="false" ht="15" hidden="false" customHeight="true" outlineLevel="0" collapsed="false">
      <c r="B160" s="44"/>
      <c r="C160" s="19"/>
      <c r="D160" s="19"/>
      <c r="E160" s="45"/>
      <c r="F160" s="19"/>
      <c r="G160" s="19"/>
      <c r="H160" s="19"/>
    </row>
    <row r="161" customFormat="false" ht="15" hidden="false" customHeight="true" outlineLevel="0" collapsed="false">
      <c r="B161" s="44"/>
      <c r="C161" s="19"/>
      <c r="D161" s="19"/>
      <c r="E161" s="45"/>
      <c r="F161" s="19"/>
      <c r="G161" s="19"/>
      <c r="H161" s="19"/>
    </row>
    <row r="162" customFormat="false" ht="15" hidden="false" customHeight="true" outlineLevel="0" collapsed="false">
      <c r="B162" s="44"/>
      <c r="C162" s="19"/>
      <c r="D162" s="19"/>
      <c r="E162" s="45"/>
      <c r="F162" s="19"/>
      <c r="G162" s="19"/>
      <c r="H162" s="19"/>
    </row>
    <row r="163" customFormat="false" ht="15" hidden="false" customHeight="true" outlineLevel="0" collapsed="false">
      <c r="B163" s="44"/>
      <c r="C163" s="19"/>
      <c r="D163" s="19"/>
      <c r="E163" s="45"/>
      <c r="F163" s="19"/>
      <c r="G163" s="19"/>
      <c r="H163" s="19"/>
    </row>
    <row r="164" customFormat="false" ht="15" hidden="false" customHeight="true" outlineLevel="0" collapsed="false">
      <c r="B164" s="44"/>
      <c r="C164" s="19"/>
      <c r="D164" s="19"/>
      <c r="E164" s="45"/>
      <c r="F164" s="19"/>
      <c r="G164" s="19"/>
      <c r="H164" s="19"/>
    </row>
    <row r="165" customFormat="false" ht="15" hidden="false" customHeight="true" outlineLevel="0" collapsed="false">
      <c r="B165" s="44"/>
      <c r="C165" s="19"/>
      <c r="D165" s="19"/>
      <c r="E165" s="45"/>
      <c r="F165" s="19"/>
      <c r="G165" s="19"/>
      <c r="H165" s="19"/>
    </row>
    <row r="166" customFormat="false" ht="15" hidden="false" customHeight="true" outlineLevel="0" collapsed="false">
      <c r="B166" s="44"/>
      <c r="C166" s="19"/>
      <c r="D166" s="19"/>
      <c r="E166" s="45"/>
      <c r="F166" s="19"/>
      <c r="G166" s="19"/>
      <c r="H166" s="19"/>
    </row>
    <row r="167" customFormat="false" ht="15" hidden="false" customHeight="true" outlineLevel="0" collapsed="false">
      <c r="B167" s="44"/>
      <c r="C167" s="19"/>
      <c r="D167" s="19"/>
      <c r="E167" s="45"/>
      <c r="F167" s="19"/>
      <c r="G167" s="19"/>
      <c r="H167" s="19"/>
    </row>
    <row r="168" customFormat="false" ht="15" hidden="false" customHeight="true" outlineLevel="0" collapsed="false">
      <c r="B168" s="44"/>
      <c r="C168" s="19"/>
      <c r="D168" s="19"/>
      <c r="E168" s="45"/>
      <c r="F168" s="19"/>
      <c r="G168" s="19"/>
      <c r="H168" s="19"/>
    </row>
    <row r="169" customFormat="false" ht="15" hidden="false" customHeight="true" outlineLevel="0" collapsed="false">
      <c r="B169" s="44"/>
      <c r="C169" s="19"/>
      <c r="D169" s="19"/>
      <c r="E169" s="45"/>
      <c r="F169" s="19"/>
      <c r="G169" s="19"/>
      <c r="H169" s="19"/>
    </row>
    <row r="170" customFormat="false" ht="15" hidden="false" customHeight="true" outlineLevel="0" collapsed="false">
      <c r="B170" s="44"/>
      <c r="C170" s="19"/>
      <c r="D170" s="19"/>
      <c r="E170" s="45"/>
      <c r="F170" s="19"/>
      <c r="G170" s="19"/>
      <c r="H170" s="19"/>
    </row>
    <row r="171" customFormat="false" ht="15" hidden="false" customHeight="true" outlineLevel="0" collapsed="false">
      <c r="B171" s="44"/>
      <c r="C171" s="19"/>
      <c r="D171" s="19"/>
      <c r="E171" s="45"/>
      <c r="F171" s="19"/>
      <c r="G171" s="19"/>
      <c r="H171" s="19"/>
    </row>
    <row r="172" customFormat="false" ht="15" hidden="false" customHeight="true" outlineLevel="0" collapsed="false">
      <c r="B172" s="44"/>
      <c r="C172" s="19"/>
      <c r="D172" s="19"/>
      <c r="E172" s="45"/>
      <c r="F172" s="19"/>
      <c r="G172" s="19"/>
      <c r="H172" s="19"/>
    </row>
    <row r="173" customFormat="false" ht="15" hidden="false" customHeight="true" outlineLevel="0" collapsed="false">
      <c r="B173" s="44"/>
      <c r="C173" s="19"/>
      <c r="D173" s="19"/>
      <c r="E173" s="45"/>
      <c r="F173" s="19"/>
      <c r="G173" s="19"/>
      <c r="H173" s="19"/>
    </row>
    <row r="174" customFormat="false" ht="15" hidden="false" customHeight="true" outlineLevel="0" collapsed="false">
      <c r="B174" s="44"/>
      <c r="C174" s="19"/>
      <c r="D174" s="19"/>
      <c r="E174" s="45"/>
      <c r="F174" s="19"/>
      <c r="G174" s="19"/>
      <c r="H174" s="19"/>
    </row>
    <row r="175" customFormat="false" ht="15" hidden="false" customHeight="true" outlineLevel="0" collapsed="false">
      <c r="B175" s="44"/>
      <c r="C175" s="19"/>
      <c r="D175" s="19"/>
      <c r="E175" s="45"/>
      <c r="F175" s="19"/>
      <c r="G175" s="19"/>
      <c r="H175" s="19"/>
    </row>
    <row r="176" customFormat="false" ht="15" hidden="false" customHeight="true" outlineLevel="0" collapsed="false">
      <c r="B176" s="44"/>
      <c r="C176" s="19"/>
      <c r="D176" s="19"/>
      <c r="E176" s="45"/>
      <c r="F176" s="19"/>
      <c r="G176" s="19"/>
      <c r="H176" s="19"/>
    </row>
    <row r="177" customFormat="false" ht="15" hidden="false" customHeight="true" outlineLevel="0" collapsed="false">
      <c r="B177" s="44"/>
      <c r="C177" s="19"/>
      <c r="D177" s="19"/>
      <c r="E177" s="45"/>
      <c r="F177" s="19"/>
      <c r="G177" s="19"/>
      <c r="H177" s="19"/>
    </row>
    <row r="178" customFormat="false" ht="15" hidden="false" customHeight="true" outlineLevel="0" collapsed="false">
      <c r="B178" s="44"/>
      <c r="C178" s="19"/>
      <c r="D178" s="19"/>
      <c r="E178" s="45"/>
      <c r="F178" s="19"/>
      <c r="G178" s="19"/>
      <c r="H178" s="19"/>
    </row>
    <row r="179" customFormat="false" ht="15" hidden="false" customHeight="true" outlineLevel="0" collapsed="false">
      <c r="B179" s="44"/>
      <c r="C179" s="19"/>
      <c r="D179" s="19"/>
      <c r="E179" s="45"/>
      <c r="F179" s="19"/>
      <c r="G179" s="19"/>
      <c r="H179" s="19"/>
    </row>
    <row r="180" customFormat="false" ht="15" hidden="false" customHeight="true" outlineLevel="0" collapsed="false">
      <c r="B180" s="44"/>
      <c r="C180" s="19"/>
      <c r="D180" s="19"/>
      <c r="E180" s="45"/>
      <c r="F180" s="19"/>
      <c r="G180" s="19"/>
      <c r="H180" s="19"/>
    </row>
    <row r="181" customFormat="false" ht="15" hidden="false" customHeight="true" outlineLevel="0" collapsed="false">
      <c r="B181" s="44"/>
      <c r="C181" s="19"/>
      <c r="D181" s="19"/>
      <c r="E181" s="45"/>
      <c r="F181" s="19"/>
      <c r="G181" s="19"/>
      <c r="H181" s="19"/>
    </row>
    <row r="182" customFormat="false" ht="15" hidden="false" customHeight="true" outlineLevel="0" collapsed="false">
      <c r="B182" s="44"/>
      <c r="C182" s="19"/>
      <c r="D182" s="19"/>
      <c r="E182" s="45"/>
      <c r="F182" s="19"/>
      <c r="G182" s="19"/>
      <c r="H182" s="19"/>
    </row>
    <row r="183" customFormat="false" ht="15" hidden="false" customHeight="true" outlineLevel="0" collapsed="false">
      <c r="B183" s="44"/>
      <c r="C183" s="19"/>
      <c r="D183" s="19"/>
      <c r="E183" s="45"/>
      <c r="F183" s="19"/>
      <c r="G183" s="19"/>
      <c r="H183" s="19"/>
    </row>
    <row r="184" customFormat="false" ht="15" hidden="false" customHeight="true" outlineLevel="0" collapsed="false">
      <c r="B184" s="44"/>
      <c r="C184" s="19"/>
      <c r="D184" s="19"/>
      <c r="E184" s="45"/>
      <c r="F184" s="19"/>
      <c r="G184" s="19"/>
      <c r="H184" s="19"/>
    </row>
    <row r="185" customFormat="false" ht="15" hidden="false" customHeight="true" outlineLevel="0" collapsed="false">
      <c r="B185" s="44"/>
      <c r="C185" s="19"/>
      <c r="D185" s="19"/>
      <c r="E185" s="45"/>
      <c r="F185" s="19"/>
      <c r="G185" s="19"/>
      <c r="H185" s="19"/>
    </row>
    <row r="186" customFormat="false" ht="15" hidden="false" customHeight="true" outlineLevel="0" collapsed="false">
      <c r="B186" s="44"/>
      <c r="C186" s="19"/>
      <c r="D186" s="19"/>
      <c r="E186" s="45"/>
      <c r="F186" s="19"/>
      <c r="G186" s="19"/>
      <c r="H186" s="19"/>
    </row>
    <row r="187" customFormat="false" ht="15" hidden="false" customHeight="true" outlineLevel="0" collapsed="false">
      <c r="B187" s="44"/>
      <c r="C187" s="19"/>
      <c r="D187" s="19"/>
      <c r="E187" s="45"/>
      <c r="F187" s="19"/>
      <c r="G187" s="19"/>
      <c r="H187" s="19"/>
    </row>
    <row r="188" customFormat="false" ht="15" hidden="false" customHeight="true" outlineLevel="0" collapsed="false">
      <c r="B188" s="44"/>
      <c r="C188" s="19"/>
      <c r="D188" s="19"/>
      <c r="E188" s="45"/>
      <c r="F188" s="19"/>
      <c r="G188" s="19"/>
      <c r="H188" s="19"/>
    </row>
    <row r="189" customFormat="false" ht="15" hidden="false" customHeight="true" outlineLevel="0" collapsed="false">
      <c r="B189" s="44"/>
      <c r="C189" s="19"/>
      <c r="D189" s="19"/>
      <c r="E189" s="45"/>
      <c r="F189" s="19"/>
      <c r="G189" s="19"/>
      <c r="H189" s="19"/>
    </row>
    <row r="190" customFormat="false" ht="15" hidden="false" customHeight="true" outlineLevel="0" collapsed="false">
      <c r="B190" s="44"/>
      <c r="C190" s="19"/>
      <c r="D190" s="19"/>
      <c r="E190" s="45"/>
      <c r="F190" s="19"/>
      <c r="G190" s="19"/>
      <c r="H190" s="19"/>
    </row>
    <row r="191" customFormat="false" ht="15" hidden="false" customHeight="true" outlineLevel="0" collapsed="false">
      <c r="B191" s="44"/>
      <c r="C191" s="19"/>
      <c r="D191" s="19"/>
      <c r="E191" s="45"/>
      <c r="F191" s="19"/>
      <c r="G191" s="19"/>
      <c r="H191" s="19"/>
    </row>
    <row r="192" customFormat="false" ht="15" hidden="false" customHeight="true" outlineLevel="0" collapsed="false">
      <c r="B192" s="44"/>
      <c r="C192" s="19"/>
      <c r="D192" s="19"/>
      <c r="E192" s="45"/>
      <c r="F192" s="19"/>
      <c r="G192" s="19"/>
      <c r="H192" s="19"/>
    </row>
    <row r="193" customFormat="false" ht="15" hidden="false" customHeight="true" outlineLevel="0" collapsed="false">
      <c r="B193" s="44"/>
      <c r="C193" s="19"/>
      <c r="D193" s="19"/>
      <c r="E193" s="45"/>
      <c r="F193" s="19"/>
      <c r="G193" s="19"/>
      <c r="H193" s="19"/>
    </row>
    <row r="194" customFormat="false" ht="15" hidden="false" customHeight="true" outlineLevel="0" collapsed="false">
      <c r="B194" s="44"/>
      <c r="C194" s="19"/>
      <c r="D194" s="19"/>
      <c r="E194" s="45"/>
      <c r="F194" s="19"/>
      <c r="G194" s="19"/>
      <c r="H194" s="19"/>
    </row>
    <row r="195" customFormat="false" ht="15" hidden="false" customHeight="true" outlineLevel="0" collapsed="false">
      <c r="B195" s="44"/>
      <c r="C195" s="19"/>
      <c r="D195" s="19"/>
      <c r="E195" s="45"/>
      <c r="F195" s="19"/>
      <c r="G195" s="19"/>
      <c r="H195" s="19"/>
    </row>
    <row r="196" customFormat="false" ht="15" hidden="false" customHeight="true" outlineLevel="0" collapsed="false">
      <c r="B196" s="44"/>
      <c r="C196" s="19"/>
      <c r="D196" s="19"/>
      <c r="E196" s="45"/>
      <c r="F196" s="19"/>
      <c r="G196" s="19"/>
      <c r="H196" s="19"/>
    </row>
    <row r="197" customFormat="false" ht="15" hidden="false" customHeight="true" outlineLevel="0" collapsed="false">
      <c r="B197" s="44"/>
      <c r="C197" s="19"/>
      <c r="D197" s="19"/>
      <c r="E197" s="45"/>
      <c r="F197" s="19"/>
      <c r="G197" s="19"/>
      <c r="H197" s="19"/>
    </row>
    <row r="198" customFormat="false" ht="15" hidden="false" customHeight="true" outlineLevel="0" collapsed="false">
      <c r="B198" s="44"/>
      <c r="C198" s="19"/>
      <c r="D198" s="19"/>
      <c r="E198" s="45"/>
      <c r="F198" s="19"/>
      <c r="G198" s="19"/>
      <c r="H198" s="19"/>
    </row>
    <row r="199" customFormat="false" ht="15" hidden="false" customHeight="true" outlineLevel="0" collapsed="false">
      <c r="B199" s="44"/>
      <c r="C199" s="19"/>
      <c r="D199" s="19"/>
      <c r="E199" s="45"/>
      <c r="F199" s="19"/>
      <c r="G199" s="19"/>
      <c r="H199" s="19"/>
    </row>
    <row r="200" customFormat="false" ht="15" hidden="false" customHeight="true" outlineLevel="0" collapsed="false">
      <c r="B200" s="44"/>
      <c r="C200" s="19"/>
      <c r="D200" s="19"/>
      <c r="E200" s="45"/>
      <c r="F200" s="19"/>
      <c r="G200" s="19"/>
      <c r="H200" s="19"/>
    </row>
    <row r="201" customFormat="false" ht="15" hidden="false" customHeight="true" outlineLevel="0" collapsed="false">
      <c r="B201" s="44"/>
      <c r="C201" s="19"/>
      <c r="D201" s="19"/>
      <c r="E201" s="45"/>
      <c r="F201" s="19"/>
      <c r="G201" s="19"/>
      <c r="H201" s="19"/>
    </row>
    <row r="202" customFormat="false" ht="15" hidden="false" customHeight="true" outlineLevel="0" collapsed="false">
      <c r="B202" s="44"/>
      <c r="C202" s="19"/>
      <c r="D202" s="19"/>
      <c r="E202" s="45"/>
      <c r="F202" s="19"/>
      <c r="G202" s="19"/>
      <c r="H202" s="19"/>
    </row>
    <row r="203" customFormat="false" ht="15" hidden="false" customHeight="true" outlineLevel="0" collapsed="false">
      <c r="B203" s="44"/>
      <c r="C203" s="19"/>
      <c r="D203" s="19"/>
      <c r="E203" s="45"/>
      <c r="F203" s="19"/>
      <c r="G203" s="19"/>
      <c r="H203" s="19"/>
    </row>
    <row r="204" customFormat="false" ht="15" hidden="false" customHeight="true" outlineLevel="0" collapsed="false">
      <c r="B204" s="44"/>
      <c r="C204" s="19"/>
      <c r="D204" s="19"/>
      <c r="E204" s="45"/>
      <c r="F204" s="19"/>
      <c r="G204" s="19"/>
      <c r="H204" s="19"/>
    </row>
    <row r="205" customFormat="false" ht="15" hidden="false" customHeight="true" outlineLevel="0" collapsed="false">
      <c r="B205" s="44"/>
      <c r="C205" s="19"/>
      <c r="D205" s="19"/>
      <c r="E205" s="45"/>
      <c r="F205" s="19"/>
      <c r="G205" s="19"/>
      <c r="H205" s="19"/>
    </row>
    <row r="206" customFormat="false" ht="15" hidden="false" customHeight="true" outlineLevel="0" collapsed="false">
      <c r="B206" s="44"/>
      <c r="C206" s="19"/>
      <c r="D206" s="19"/>
      <c r="E206" s="45"/>
      <c r="F206" s="19"/>
      <c r="G206" s="19"/>
      <c r="H206" s="19"/>
    </row>
    <row r="207" customFormat="false" ht="15" hidden="false" customHeight="true" outlineLevel="0" collapsed="false">
      <c r="B207" s="44"/>
      <c r="C207" s="19"/>
      <c r="D207" s="19"/>
      <c r="E207" s="45"/>
      <c r="F207" s="19"/>
      <c r="G207" s="19"/>
      <c r="H207" s="19"/>
    </row>
    <row r="208" customFormat="false" ht="15" hidden="false" customHeight="true" outlineLevel="0" collapsed="false">
      <c r="B208" s="44"/>
      <c r="C208" s="19"/>
      <c r="D208" s="19"/>
      <c r="E208" s="45"/>
      <c r="F208" s="19"/>
      <c r="G208" s="19"/>
      <c r="H208" s="19"/>
    </row>
    <row r="209" customFormat="false" ht="15" hidden="false" customHeight="true" outlineLevel="0" collapsed="false">
      <c r="B209" s="44"/>
      <c r="C209" s="19"/>
      <c r="D209" s="19"/>
      <c r="E209" s="45"/>
      <c r="F209" s="19"/>
      <c r="G209" s="19"/>
      <c r="H209" s="19"/>
    </row>
    <row r="210" customFormat="false" ht="15" hidden="false" customHeight="true" outlineLevel="0" collapsed="false">
      <c r="B210" s="44"/>
      <c r="C210" s="19"/>
      <c r="D210" s="19"/>
      <c r="E210" s="45"/>
      <c r="F210" s="19"/>
      <c r="G210" s="19"/>
      <c r="H210" s="19"/>
    </row>
    <row r="211" customFormat="false" ht="15" hidden="false" customHeight="true" outlineLevel="0" collapsed="false">
      <c r="B211" s="44"/>
      <c r="C211" s="19"/>
      <c r="D211" s="19"/>
      <c r="E211" s="45"/>
      <c r="F211" s="19"/>
      <c r="G211" s="19"/>
      <c r="H211" s="19"/>
    </row>
    <row r="212" customFormat="false" ht="15" hidden="false" customHeight="true" outlineLevel="0" collapsed="false">
      <c r="B212" s="44"/>
      <c r="C212" s="19"/>
      <c r="D212" s="19"/>
      <c r="E212" s="45"/>
      <c r="F212" s="19"/>
      <c r="G212" s="19"/>
      <c r="H212" s="19"/>
    </row>
    <row r="213" customFormat="false" ht="15" hidden="false" customHeight="true" outlineLevel="0" collapsed="false">
      <c r="B213" s="44"/>
      <c r="C213" s="19"/>
      <c r="D213" s="19"/>
      <c r="E213" s="45"/>
      <c r="F213" s="19"/>
      <c r="G213" s="19"/>
      <c r="H213" s="19"/>
    </row>
    <row r="214" customFormat="false" ht="15" hidden="false" customHeight="true" outlineLevel="0" collapsed="false">
      <c r="B214" s="44"/>
      <c r="C214" s="19"/>
      <c r="D214" s="19"/>
      <c r="E214" s="45"/>
      <c r="F214" s="19"/>
      <c r="G214" s="19"/>
      <c r="H214" s="19"/>
    </row>
    <row r="215" customFormat="false" ht="15" hidden="false" customHeight="true" outlineLevel="0" collapsed="false">
      <c r="B215" s="44"/>
      <c r="C215" s="19"/>
      <c r="D215" s="19"/>
      <c r="E215" s="45"/>
      <c r="F215" s="19"/>
      <c r="G215" s="19"/>
      <c r="H215" s="19"/>
    </row>
    <row r="216" customFormat="false" ht="15" hidden="false" customHeight="true" outlineLevel="0" collapsed="false">
      <c r="B216" s="44"/>
      <c r="C216" s="19"/>
      <c r="D216" s="19"/>
      <c r="E216" s="45"/>
      <c r="F216" s="19"/>
      <c r="G216" s="19"/>
      <c r="H216" s="19"/>
    </row>
    <row r="217" customFormat="false" ht="15" hidden="false" customHeight="true" outlineLevel="0" collapsed="false">
      <c r="B217" s="44"/>
      <c r="C217" s="19"/>
      <c r="D217" s="19"/>
      <c r="E217" s="45"/>
      <c r="F217" s="19"/>
      <c r="G217" s="19"/>
      <c r="H217" s="19"/>
    </row>
    <row r="218" customFormat="false" ht="15" hidden="false" customHeight="true" outlineLevel="0" collapsed="false">
      <c r="B218" s="44"/>
      <c r="C218" s="19"/>
      <c r="D218" s="19"/>
      <c r="E218" s="45"/>
      <c r="F218" s="19"/>
      <c r="G218" s="19"/>
      <c r="H218" s="19"/>
    </row>
    <row r="219" customFormat="false" ht="15" hidden="false" customHeight="true" outlineLevel="0" collapsed="false">
      <c r="B219" s="44"/>
      <c r="C219" s="19"/>
      <c r="D219" s="19"/>
      <c r="E219" s="45"/>
      <c r="F219" s="19"/>
      <c r="G219" s="19"/>
      <c r="H219" s="19"/>
    </row>
    <row r="220" customFormat="false" ht="15" hidden="false" customHeight="true" outlineLevel="0" collapsed="false">
      <c r="B220" s="44"/>
      <c r="C220" s="19"/>
      <c r="D220" s="19"/>
      <c r="E220" s="45"/>
      <c r="F220" s="19"/>
      <c r="G220" s="19"/>
      <c r="H220" s="19"/>
    </row>
    <row r="221" customFormat="false" ht="15" hidden="false" customHeight="true" outlineLevel="0" collapsed="false">
      <c r="B221" s="44"/>
      <c r="C221" s="19"/>
      <c r="D221" s="19"/>
      <c r="E221" s="45"/>
      <c r="F221" s="19"/>
      <c r="G221" s="19"/>
      <c r="H221" s="19"/>
    </row>
    <row r="222" customFormat="false" ht="15" hidden="false" customHeight="true" outlineLevel="0" collapsed="false">
      <c r="B222" s="44"/>
      <c r="C222" s="19"/>
      <c r="D222" s="19"/>
      <c r="E222" s="45"/>
      <c r="F222" s="19"/>
      <c r="G222" s="19"/>
      <c r="H222" s="19"/>
    </row>
    <row r="223" customFormat="false" ht="15" hidden="false" customHeight="true" outlineLevel="0" collapsed="false">
      <c r="B223" s="44"/>
      <c r="C223" s="19"/>
      <c r="D223" s="19"/>
      <c r="E223" s="45"/>
      <c r="F223" s="19"/>
      <c r="G223" s="19"/>
      <c r="H223" s="19"/>
    </row>
    <row r="224" customFormat="false" ht="15" hidden="false" customHeight="true" outlineLevel="0" collapsed="false">
      <c r="B224" s="44"/>
      <c r="C224" s="19"/>
      <c r="D224" s="19"/>
      <c r="E224" s="45"/>
      <c r="F224" s="19"/>
      <c r="G224" s="19"/>
      <c r="H224" s="19"/>
    </row>
    <row r="225" customFormat="false" ht="15" hidden="false" customHeight="true" outlineLevel="0" collapsed="false">
      <c r="B225" s="44"/>
      <c r="C225" s="19"/>
      <c r="D225" s="19"/>
      <c r="E225" s="45"/>
      <c r="F225" s="19"/>
      <c r="G225" s="19"/>
      <c r="H225" s="19"/>
    </row>
    <row r="226" customFormat="false" ht="15" hidden="false" customHeight="true" outlineLevel="0" collapsed="false">
      <c r="B226" s="44"/>
      <c r="C226" s="19"/>
      <c r="D226" s="19"/>
      <c r="E226" s="45"/>
      <c r="F226" s="19"/>
      <c r="G226" s="19"/>
      <c r="H226" s="19"/>
    </row>
    <row r="227" customFormat="false" ht="15" hidden="false" customHeight="true" outlineLevel="0" collapsed="false">
      <c r="B227" s="44"/>
      <c r="C227" s="19"/>
      <c r="D227" s="19"/>
      <c r="E227" s="45"/>
      <c r="F227" s="19"/>
      <c r="G227" s="19"/>
      <c r="H227" s="19"/>
    </row>
    <row r="228" customFormat="false" ht="15" hidden="false" customHeight="true" outlineLevel="0" collapsed="false">
      <c r="B228" s="44"/>
      <c r="C228" s="19"/>
      <c r="D228" s="19"/>
      <c r="E228" s="45"/>
      <c r="F228" s="19"/>
      <c r="G228" s="19"/>
      <c r="H228" s="19"/>
    </row>
    <row r="229" customFormat="false" ht="15" hidden="false" customHeight="true" outlineLevel="0" collapsed="false">
      <c r="B229" s="44"/>
      <c r="C229" s="19"/>
      <c r="D229" s="19"/>
      <c r="E229" s="45"/>
      <c r="F229" s="19"/>
      <c r="G229" s="19"/>
      <c r="H229" s="19"/>
    </row>
    <row r="230" customFormat="false" ht="15" hidden="false" customHeight="true" outlineLevel="0" collapsed="false">
      <c r="B230" s="44"/>
      <c r="C230" s="19"/>
      <c r="D230" s="19"/>
      <c r="E230" s="45"/>
      <c r="F230" s="19"/>
      <c r="G230" s="19"/>
      <c r="H230" s="19"/>
    </row>
    <row r="231" customFormat="false" ht="15" hidden="false" customHeight="true" outlineLevel="0" collapsed="false">
      <c r="B231" s="44"/>
      <c r="C231" s="19"/>
      <c r="D231" s="19"/>
      <c r="E231" s="45"/>
      <c r="F231" s="19"/>
      <c r="G231" s="19"/>
      <c r="H231" s="19"/>
    </row>
    <row r="232" customFormat="false" ht="15" hidden="false" customHeight="true" outlineLevel="0" collapsed="false">
      <c r="B232" s="44"/>
      <c r="C232" s="19"/>
      <c r="D232" s="19"/>
      <c r="E232" s="45"/>
      <c r="F232" s="19"/>
      <c r="G232" s="19"/>
      <c r="H232" s="19"/>
    </row>
    <row r="233" customFormat="false" ht="15" hidden="false" customHeight="true" outlineLevel="0" collapsed="false">
      <c r="B233" s="44"/>
      <c r="C233" s="19"/>
      <c r="D233" s="19"/>
      <c r="E233" s="45"/>
      <c r="F233" s="19"/>
      <c r="G233" s="19"/>
      <c r="H233" s="19"/>
    </row>
    <row r="234" customFormat="false" ht="15" hidden="false" customHeight="true" outlineLevel="0" collapsed="false">
      <c r="B234" s="44"/>
      <c r="C234" s="19"/>
      <c r="D234" s="19"/>
      <c r="E234" s="45"/>
      <c r="F234" s="19"/>
      <c r="G234" s="19"/>
      <c r="H234" s="19"/>
    </row>
    <row r="235" customFormat="false" ht="15" hidden="false" customHeight="true" outlineLevel="0" collapsed="false">
      <c r="B235" s="44"/>
      <c r="C235" s="19"/>
      <c r="D235" s="19"/>
      <c r="E235" s="45"/>
      <c r="F235" s="19"/>
      <c r="G235" s="19"/>
      <c r="H235" s="19"/>
    </row>
    <row r="236" customFormat="false" ht="15" hidden="false" customHeight="true" outlineLevel="0" collapsed="false">
      <c r="B236" s="44"/>
      <c r="C236" s="19"/>
      <c r="D236" s="19"/>
      <c r="E236" s="45"/>
      <c r="F236" s="19"/>
      <c r="G236" s="19"/>
      <c r="H236" s="19"/>
    </row>
    <row r="237" customFormat="false" ht="15" hidden="false" customHeight="true" outlineLevel="0" collapsed="false">
      <c r="B237" s="44"/>
      <c r="C237" s="19"/>
      <c r="D237" s="19"/>
      <c r="E237" s="45"/>
      <c r="F237" s="19"/>
      <c r="G237" s="19"/>
      <c r="H237" s="19"/>
    </row>
    <row r="238" customFormat="false" ht="15" hidden="false" customHeight="true" outlineLevel="0" collapsed="false">
      <c r="B238" s="44"/>
      <c r="C238" s="19"/>
      <c r="D238" s="19"/>
      <c r="E238" s="45"/>
      <c r="F238" s="19"/>
      <c r="G238" s="19"/>
      <c r="H238" s="19"/>
    </row>
    <row r="239" customFormat="false" ht="15" hidden="false" customHeight="true" outlineLevel="0" collapsed="false">
      <c r="B239" s="44"/>
      <c r="C239" s="19"/>
      <c r="D239" s="19"/>
      <c r="E239" s="45"/>
      <c r="F239" s="19"/>
      <c r="G239" s="19"/>
      <c r="H239" s="19"/>
    </row>
    <row r="240" customFormat="false" ht="15" hidden="false" customHeight="true" outlineLevel="0" collapsed="false">
      <c r="B240" s="44"/>
      <c r="C240" s="19"/>
      <c r="D240" s="19"/>
      <c r="E240" s="45"/>
      <c r="F240" s="19"/>
      <c r="G240" s="19"/>
      <c r="H240" s="19"/>
    </row>
    <row r="241" customFormat="false" ht="15" hidden="false" customHeight="true" outlineLevel="0" collapsed="false">
      <c r="B241" s="44"/>
      <c r="C241" s="19"/>
      <c r="D241" s="19"/>
      <c r="E241" s="45"/>
      <c r="F241" s="19"/>
      <c r="G241" s="19"/>
      <c r="H241" s="19"/>
    </row>
    <row r="242" customFormat="false" ht="15" hidden="false" customHeight="true" outlineLevel="0" collapsed="false">
      <c r="B242" s="44"/>
      <c r="C242" s="19"/>
      <c r="D242" s="19"/>
      <c r="E242" s="45"/>
      <c r="F242" s="19"/>
      <c r="G242" s="19"/>
      <c r="H242" s="19"/>
    </row>
    <row r="243" customFormat="false" ht="15" hidden="false" customHeight="true" outlineLevel="0" collapsed="false">
      <c r="B243" s="44"/>
      <c r="C243" s="19"/>
      <c r="D243" s="19"/>
      <c r="E243" s="45"/>
      <c r="F243" s="19"/>
      <c r="G243" s="19"/>
      <c r="H243" s="19"/>
    </row>
    <row r="244" customFormat="false" ht="15" hidden="false" customHeight="true" outlineLevel="0" collapsed="false">
      <c r="B244" s="44"/>
      <c r="C244" s="19"/>
      <c r="D244" s="19"/>
      <c r="E244" s="45"/>
      <c r="F244" s="19"/>
      <c r="G244" s="19"/>
      <c r="H244" s="19"/>
    </row>
    <row r="245" customFormat="false" ht="15" hidden="false" customHeight="true" outlineLevel="0" collapsed="false">
      <c r="B245" s="44"/>
      <c r="C245" s="19"/>
      <c r="D245" s="19"/>
      <c r="E245" s="45"/>
      <c r="F245" s="19"/>
      <c r="G245" s="19"/>
      <c r="H245" s="19"/>
    </row>
    <row r="246" customFormat="false" ht="15" hidden="false" customHeight="true" outlineLevel="0" collapsed="false">
      <c r="B246" s="44"/>
      <c r="C246" s="19"/>
      <c r="D246" s="19"/>
      <c r="E246" s="45"/>
      <c r="F246" s="19"/>
      <c r="G246" s="19"/>
      <c r="H246" s="19"/>
    </row>
    <row r="247" customFormat="false" ht="15" hidden="false" customHeight="true" outlineLevel="0" collapsed="false">
      <c r="B247" s="44"/>
      <c r="C247" s="19"/>
      <c r="D247" s="19"/>
      <c r="E247" s="45"/>
      <c r="F247" s="19"/>
      <c r="G247" s="19"/>
      <c r="H247" s="19"/>
    </row>
    <row r="248" customFormat="false" ht="15" hidden="false" customHeight="true" outlineLevel="0" collapsed="false">
      <c r="B248" s="44"/>
      <c r="C248" s="19"/>
      <c r="D248" s="19"/>
      <c r="E248" s="45"/>
      <c r="F248" s="19"/>
      <c r="G248" s="19"/>
      <c r="H248" s="19"/>
    </row>
    <row r="249" customFormat="false" ht="15" hidden="false" customHeight="true" outlineLevel="0" collapsed="false">
      <c r="B249" s="44"/>
      <c r="C249" s="19"/>
      <c r="D249" s="19"/>
      <c r="E249" s="45"/>
      <c r="F249" s="19"/>
      <c r="G249" s="19"/>
      <c r="H249" s="19"/>
    </row>
    <row r="250" customFormat="false" ht="15" hidden="false" customHeight="true" outlineLevel="0" collapsed="false">
      <c r="B250" s="44"/>
      <c r="C250" s="19"/>
      <c r="D250" s="19"/>
      <c r="E250" s="45"/>
      <c r="F250" s="19"/>
      <c r="G250" s="19"/>
      <c r="H250" s="19"/>
    </row>
    <row r="251" customFormat="false" ht="15" hidden="false" customHeight="true" outlineLevel="0" collapsed="false">
      <c r="B251" s="44"/>
      <c r="C251" s="19"/>
      <c r="D251" s="19"/>
      <c r="E251" s="45"/>
      <c r="F251" s="19"/>
      <c r="G251" s="19"/>
      <c r="H251" s="19"/>
    </row>
    <row r="252" customFormat="false" ht="15" hidden="false" customHeight="true" outlineLevel="0" collapsed="false">
      <c r="B252" s="44"/>
      <c r="C252" s="19"/>
      <c r="D252" s="19"/>
      <c r="E252" s="45"/>
      <c r="F252" s="19"/>
      <c r="G252" s="19"/>
      <c r="H252" s="19"/>
    </row>
    <row r="253" customFormat="false" ht="15" hidden="false" customHeight="true" outlineLevel="0" collapsed="false">
      <c r="B253" s="44"/>
      <c r="C253" s="19"/>
      <c r="D253" s="19"/>
      <c r="E253" s="45"/>
      <c r="F253" s="19"/>
      <c r="G253" s="19"/>
      <c r="H253" s="19"/>
    </row>
    <row r="254" customFormat="false" ht="15" hidden="false" customHeight="true" outlineLevel="0" collapsed="false">
      <c r="B254" s="44"/>
      <c r="C254" s="19"/>
      <c r="D254" s="19"/>
      <c r="E254" s="45"/>
      <c r="F254" s="19"/>
      <c r="G254" s="19"/>
      <c r="H254" s="19"/>
    </row>
    <row r="255" customFormat="false" ht="15" hidden="false" customHeight="true" outlineLevel="0" collapsed="false">
      <c r="B255" s="44"/>
      <c r="C255" s="19"/>
      <c r="D255" s="19"/>
      <c r="E255" s="45"/>
      <c r="F255" s="19"/>
      <c r="G255" s="19"/>
      <c r="H255" s="19"/>
    </row>
    <row r="256" customFormat="false" ht="15" hidden="false" customHeight="true" outlineLevel="0" collapsed="false">
      <c r="B256" s="44"/>
      <c r="C256" s="19"/>
      <c r="D256" s="19"/>
      <c r="E256" s="45"/>
      <c r="F256" s="19"/>
      <c r="G256" s="19"/>
      <c r="H256" s="19"/>
    </row>
    <row r="257" customFormat="false" ht="15" hidden="false" customHeight="true" outlineLevel="0" collapsed="false">
      <c r="B257" s="44"/>
      <c r="C257" s="19"/>
      <c r="D257" s="19"/>
      <c r="E257" s="45"/>
      <c r="F257" s="19"/>
      <c r="G257" s="19"/>
      <c r="H257" s="19"/>
    </row>
    <row r="258" customFormat="false" ht="15" hidden="false" customHeight="true" outlineLevel="0" collapsed="false">
      <c r="B258" s="44"/>
      <c r="C258" s="19"/>
      <c r="D258" s="19"/>
      <c r="E258" s="45"/>
      <c r="F258" s="19"/>
      <c r="G258" s="19"/>
      <c r="H258" s="19"/>
    </row>
    <row r="259" customFormat="false" ht="15" hidden="false" customHeight="true" outlineLevel="0" collapsed="false">
      <c r="B259" s="44"/>
      <c r="C259" s="19"/>
      <c r="D259" s="19"/>
      <c r="E259" s="45"/>
      <c r="F259" s="19"/>
      <c r="G259" s="19"/>
      <c r="H259" s="19"/>
    </row>
    <row r="260" customFormat="false" ht="15" hidden="false" customHeight="true" outlineLevel="0" collapsed="false">
      <c r="B260" s="44"/>
      <c r="C260" s="19"/>
      <c r="D260" s="19"/>
      <c r="E260" s="45"/>
      <c r="F260" s="19"/>
      <c r="G260" s="19"/>
      <c r="H260" s="19"/>
    </row>
    <row r="261" customFormat="false" ht="15" hidden="false" customHeight="true" outlineLevel="0" collapsed="false">
      <c r="B261" s="44"/>
      <c r="C261" s="19"/>
      <c r="D261" s="19"/>
      <c r="E261" s="45"/>
      <c r="F261" s="19"/>
      <c r="G261" s="19"/>
      <c r="H261" s="19"/>
    </row>
    <row r="262" customFormat="false" ht="15" hidden="false" customHeight="true" outlineLevel="0" collapsed="false">
      <c r="B262" s="44"/>
      <c r="C262" s="19"/>
      <c r="D262" s="19"/>
      <c r="E262" s="45"/>
      <c r="F262" s="19"/>
      <c r="G262" s="19"/>
      <c r="H262" s="19"/>
    </row>
    <row r="263" customFormat="false" ht="15" hidden="false" customHeight="true" outlineLevel="0" collapsed="false">
      <c r="B263" s="44"/>
      <c r="C263" s="19"/>
      <c r="D263" s="19"/>
      <c r="E263" s="45"/>
      <c r="F263" s="19"/>
      <c r="G263" s="19"/>
      <c r="H263" s="19"/>
    </row>
    <row r="264" customFormat="false" ht="15" hidden="false" customHeight="true" outlineLevel="0" collapsed="false">
      <c r="B264" s="44"/>
      <c r="C264" s="19"/>
      <c r="D264" s="19"/>
      <c r="E264" s="45"/>
      <c r="F264" s="19"/>
      <c r="G264" s="19"/>
      <c r="H264" s="19"/>
    </row>
    <row r="265" customFormat="false" ht="15" hidden="false" customHeight="true" outlineLevel="0" collapsed="false">
      <c r="B265" s="44"/>
      <c r="C265" s="19"/>
      <c r="D265" s="19"/>
      <c r="E265" s="45"/>
      <c r="F265" s="19"/>
      <c r="G265" s="19"/>
      <c r="H265" s="19"/>
    </row>
    <row r="266" customFormat="false" ht="15" hidden="false" customHeight="true" outlineLevel="0" collapsed="false">
      <c r="B266" s="44"/>
      <c r="C266" s="19"/>
      <c r="D266" s="19"/>
      <c r="E266" s="45"/>
      <c r="F266" s="19"/>
      <c r="G266" s="19"/>
      <c r="H266" s="19"/>
    </row>
    <row r="267" customFormat="false" ht="15" hidden="false" customHeight="true" outlineLevel="0" collapsed="false">
      <c r="B267" s="44"/>
      <c r="C267" s="19"/>
      <c r="D267" s="19"/>
      <c r="E267" s="45"/>
      <c r="F267" s="19"/>
      <c r="G267" s="19"/>
      <c r="H267" s="19"/>
    </row>
    <row r="268" customFormat="false" ht="15" hidden="false" customHeight="true" outlineLevel="0" collapsed="false">
      <c r="B268" s="44"/>
      <c r="C268" s="19"/>
      <c r="D268" s="19"/>
      <c r="E268" s="45"/>
      <c r="F268" s="19"/>
      <c r="G268" s="19"/>
      <c r="H268" s="19"/>
    </row>
    <row r="269" customFormat="false" ht="15" hidden="false" customHeight="true" outlineLevel="0" collapsed="false">
      <c r="B269" s="44"/>
      <c r="C269" s="19"/>
      <c r="D269" s="19"/>
      <c r="E269" s="45"/>
      <c r="F269" s="19"/>
      <c r="G269" s="19"/>
      <c r="H269" s="19"/>
    </row>
    <row r="270" customFormat="false" ht="15" hidden="false" customHeight="true" outlineLevel="0" collapsed="false">
      <c r="B270" s="44"/>
      <c r="C270" s="19"/>
      <c r="D270" s="19"/>
      <c r="E270" s="45"/>
      <c r="F270" s="19"/>
      <c r="G270" s="19"/>
      <c r="H270" s="19"/>
    </row>
    <row r="271" customFormat="false" ht="15" hidden="false" customHeight="true" outlineLevel="0" collapsed="false">
      <c r="B271" s="44"/>
      <c r="C271" s="19"/>
      <c r="D271" s="19"/>
      <c r="E271" s="45"/>
      <c r="F271" s="19"/>
      <c r="G271" s="19"/>
      <c r="H271" s="19"/>
    </row>
    <row r="272" customFormat="false" ht="15" hidden="false" customHeight="true" outlineLevel="0" collapsed="false">
      <c r="B272" s="44"/>
      <c r="C272" s="19"/>
      <c r="D272" s="19"/>
      <c r="E272" s="45"/>
      <c r="F272" s="19"/>
      <c r="G272" s="19"/>
      <c r="H272" s="19"/>
    </row>
    <row r="273" customFormat="false" ht="15" hidden="false" customHeight="true" outlineLevel="0" collapsed="false">
      <c r="B273" s="44"/>
      <c r="C273" s="19"/>
      <c r="D273" s="19"/>
      <c r="E273" s="45"/>
      <c r="F273" s="19"/>
      <c r="G273" s="19"/>
      <c r="H273" s="19"/>
    </row>
    <row r="274" customFormat="false" ht="15" hidden="false" customHeight="true" outlineLevel="0" collapsed="false">
      <c r="B274" s="44"/>
      <c r="C274" s="19"/>
      <c r="D274" s="19"/>
      <c r="E274" s="45"/>
      <c r="F274" s="19"/>
      <c r="G274" s="19"/>
      <c r="H274" s="19"/>
    </row>
    <row r="275" customFormat="false" ht="15" hidden="false" customHeight="true" outlineLevel="0" collapsed="false">
      <c r="B275" s="44"/>
      <c r="C275" s="19"/>
      <c r="D275" s="19"/>
      <c r="E275" s="45"/>
      <c r="F275" s="19"/>
      <c r="G275" s="19"/>
      <c r="H275" s="19"/>
    </row>
    <row r="276" customFormat="false" ht="15" hidden="false" customHeight="true" outlineLevel="0" collapsed="false">
      <c r="B276" s="44"/>
      <c r="C276" s="19"/>
      <c r="D276" s="19"/>
      <c r="E276" s="45"/>
      <c r="F276" s="19"/>
      <c r="G276" s="19"/>
      <c r="H276" s="19"/>
    </row>
    <row r="277" customFormat="false" ht="15" hidden="false" customHeight="true" outlineLevel="0" collapsed="false">
      <c r="B277" s="44"/>
      <c r="C277" s="19"/>
      <c r="D277" s="19"/>
      <c r="E277" s="45"/>
      <c r="F277" s="19"/>
      <c r="G277" s="19"/>
      <c r="H277" s="19"/>
    </row>
    <row r="278" customFormat="false" ht="15" hidden="false" customHeight="true" outlineLevel="0" collapsed="false">
      <c r="B278" s="44"/>
      <c r="C278" s="19"/>
      <c r="D278" s="19"/>
      <c r="E278" s="45"/>
      <c r="F278" s="19"/>
      <c r="G278" s="19"/>
      <c r="H278" s="19"/>
    </row>
    <row r="279" customFormat="false" ht="15" hidden="false" customHeight="true" outlineLevel="0" collapsed="false">
      <c r="B279" s="44"/>
      <c r="C279" s="19"/>
      <c r="D279" s="19"/>
      <c r="E279" s="45"/>
      <c r="F279" s="19"/>
      <c r="G279" s="19"/>
      <c r="H279" s="19"/>
    </row>
    <row r="280" customFormat="false" ht="15" hidden="false" customHeight="true" outlineLevel="0" collapsed="false">
      <c r="B280" s="44"/>
      <c r="C280" s="19"/>
      <c r="D280" s="19"/>
      <c r="E280" s="45"/>
      <c r="F280" s="19"/>
      <c r="G280" s="19"/>
      <c r="H280" s="19"/>
    </row>
    <row r="281" customFormat="false" ht="15" hidden="false" customHeight="true" outlineLevel="0" collapsed="false">
      <c r="B281" s="44"/>
      <c r="C281" s="19"/>
      <c r="D281" s="19"/>
      <c r="E281" s="45"/>
      <c r="F281" s="19"/>
      <c r="G281" s="19"/>
      <c r="H281" s="19"/>
    </row>
    <row r="282" customFormat="false" ht="15" hidden="false" customHeight="true" outlineLevel="0" collapsed="false">
      <c r="B282" s="44"/>
      <c r="C282" s="19"/>
      <c r="D282" s="19"/>
      <c r="E282" s="45"/>
      <c r="F282" s="19"/>
      <c r="G282" s="19"/>
      <c r="H282" s="19"/>
    </row>
    <row r="283" customFormat="false" ht="15" hidden="false" customHeight="true" outlineLevel="0" collapsed="false">
      <c r="B283" s="44"/>
      <c r="C283" s="19"/>
      <c r="D283" s="19"/>
      <c r="E283" s="45"/>
      <c r="F283" s="19"/>
      <c r="G283" s="19"/>
      <c r="H283" s="19"/>
    </row>
    <row r="284" customFormat="false" ht="15" hidden="false" customHeight="true" outlineLevel="0" collapsed="false">
      <c r="B284" s="44"/>
      <c r="C284" s="19"/>
      <c r="D284" s="19"/>
      <c r="E284" s="45"/>
      <c r="F284" s="19"/>
      <c r="G284" s="19"/>
      <c r="H284" s="19"/>
    </row>
    <row r="285" customFormat="false" ht="15" hidden="false" customHeight="true" outlineLevel="0" collapsed="false">
      <c r="B285" s="44"/>
      <c r="C285" s="19"/>
      <c r="D285" s="19"/>
      <c r="E285" s="45"/>
      <c r="F285" s="19"/>
      <c r="G285" s="19"/>
      <c r="H285" s="19"/>
    </row>
    <row r="286" customFormat="false" ht="15" hidden="false" customHeight="true" outlineLevel="0" collapsed="false">
      <c r="B286" s="44"/>
      <c r="C286" s="19"/>
      <c r="D286" s="19"/>
      <c r="E286" s="45"/>
      <c r="F286" s="19"/>
      <c r="G286" s="19"/>
      <c r="H286" s="19"/>
    </row>
    <row r="287" customFormat="false" ht="15" hidden="false" customHeight="true" outlineLevel="0" collapsed="false">
      <c r="B287" s="44"/>
      <c r="C287" s="19"/>
      <c r="D287" s="19"/>
      <c r="E287" s="45"/>
      <c r="F287" s="19"/>
      <c r="G287" s="19"/>
      <c r="H287" s="19"/>
    </row>
    <row r="288" customFormat="false" ht="15" hidden="false" customHeight="true" outlineLevel="0" collapsed="false">
      <c r="B288" s="44"/>
      <c r="C288" s="19"/>
      <c r="D288" s="19"/>
      <c r="E288" s="45"/>
      <c r="F288" s="19"/>
      <c r="G288" s="19"/>
      <c r="H288" s="19"/>
    </row>
    <row r="289" customFormat="false" ht="15" hidden="false" customHeight="true" outlineLevel="0" collapsed="false">
      <c r="B289" s="44"/>
      <c r="C289" s="19"/>
      <c r="D289" s="19"/>
      <c r="E289" s="45"/>
      <c r="F289" s="19"/>
      <c r="G289" s="19"/>
      <c r="H289" s="19"/>
    </row>
    <row r="290" customFormat="false" ht="15" hidden="false" customHeight="true" outlineLevel="0" collapsed="false">
      <c r="B290" s="44"/>
      <c r="C290" s="19"/>
      <c r="D290" s="19"/>
      <c r="E290" s="45"/>
      <c r="F290" s="19"/>
      <c r="G290" s="19"/>
      <c r="H290" s="19"/>
    </row>
    <row r="291" customFormat="false" ht="15" hidden="false" customHeight="true" outlineLevel="0" collapsed="false">
      <c r="B291" s="44"/>
      <c r="C291" s="19"/>
      <c r="D291" s="19"/>
      <c r="E291" s="45"/>
      <c r="F291" s="19"/>
      <c r="G291" s="19"/>
      <c r="H291" s="19"/>
    </row>
    <row r="292" customFormat="false" ht="15" hidden="false" customHeight="true" outlineLevel="0" collapsed="false">
      <c r="B292" s="44"/>
      <c r="C292" s="19"/>
      <c r="D292" s="19"/>
      <c r="E292" s="45"/>
      <c r="F292" s="19"/>
      <c r="G292" s="19"/>
      <c r="H292" s="19"/>
    </row>
    <row r="293" customFormat="false" ht="15" hidden="false" customHeight="true" outlineLevel="0" collapsed="false">
      <c r="B293" s="44"/>
      <c r="C293" s="19"/>
      <c r="D293" s="19"/>
      <c r="E293" s="45"/>
      <c r="F293" s="19"/>
      <c r="G293" s="19"/>
      <c r="H293" s="19"/>
    </row>
    <row r="294" customFormat="false" ht="15" hidden="false" customHeight="true" outlineLevel="0" collapsed="false">
      <c r="B294" s="44"/>
      <c r="C294" s="19"/>
      <c r="D294" s="19"/>
      <c r="E294" s="45"/>
      <c r="F294" s="19"/>
      <c r="G294" s="19"/>
      <c r="H294" s="19"/>
    </row>
    <row r="295" customFormat="false" ht="15" hidden="false" customHeight="true" outlineLevel="0" collapsed="false">
      <c r="B295" s="44"/>
      <c r="C295" s="19"/>
      <c r="D295" s="19"/>
      <c r="E295" s="45"/>
      <c r="F295" s="19"/>
      <c r="G295" s="19"/>
      <c r="H295" s="19"/>
    </row>
    <row r="296" customFormat="false" ht="15" hidden="false" customHeight="true" outlineLevel="0" collapsed="false">
      <c r="B296" s="44"/>
      <c r="C296" s="19"/>
      <c r="D296" s="19"/>
      <c r="E296" s="45"/>
      <c r="F296" s="19"/>
      <c r="G296" s="19"/>
      <c r="H296" s="19"/>
    </row>
    <row r="297" customFormat="false" ht="15" hidden="false" customHeight="true" outlineLevel="0" collapsed="false">
      <c r="B297" s="44"/>
      <c r="C297" s="19"/>
      <c r="D297" s="19"/>
      <c r="E297" s="45"/>
      <c r="F297" s="19"/>
      <c r="G297" s="19"/>
      <c r="H297" s="19"/>
    </row>
    <row r="298" customFormat="false" ht="15" hidden="false" customHeight="true" outlineLevel="0" collapsed="false">
      <c r="B298" s="44"/>
      <c r="C298" s="19"/>
      <c r="D298" s="19"/>
      <c r="E298" s="45"/>
      <c r="F298" s="19"/>
      <c r="G298" s="19"/>
      <c r="H298" s="19"/>
    </row>
    <row r="299" customFormat="false" ht="15" hidden="false" customHeight="true" outlineLevel="0" collapsed="false">
      <c r="B299" s="44"/>
      <c r="C299" s="19"/>
      <c r="D299" s="19"/>
      <c r="E299" s="45"/>
      <c r="F299" s="19"/>
      <c r="G299" s="19"/>
      <c r="H299" s="19"/>
    </row>
    <row r="300" customFormat="false" ht="15" hidden="false" customHeight="true" outlineLevel="0" collapsed="false">
      <c r="B300" s="44"/>
      <c r="C300" s="19"/>
      <c r="D300" s="19"/>
      <c r="E300" s="45"/>
      <c r="F300" s="19"/>
      <c r="G300" s="19"/>
      <c r="H300" s="19"/>
    </row>
    <row r="301" customFormat="false" ht="15" hidden="false" customHeight="true" outlineLevel="0" collapsed="false">
      <c r="B301" s="44"/>
      <c r="C301" s="19"/>
      <c r="D301" s="19"/>
      <c r="E301" s="45"/>
      <c r="F301" s="19"/>
      <c r="G301" s="19"/>
      <c r="H301" s="19"/>
    </row>
    <row r="302" customFormat="false" ht="15" hidden="false" customHeight="true" outlineLevel="0" collapsed="false">
      <c r="B302" s="44"/>
      <c r="C302" s="19"/>
      <c r="D302" s="19"/>
      <c r="E302" s="45"/>
      <c r="F302" s="19"/>
      <c r="G302" s="19"/>
      <c r="H302" s="19"/>
    </row>
    <row r="303" customFormat="false" ht="15" hidden="false" customHeight="true" outlineLevel="0" collapsed="false">
      <c r="B303" s="44"/>
      <c r="C303" s="19"/>
      <c r="D303" s="19"/>
      <c r="E303" s="45"/>
      <c r="F303" s="19"/>
      <c r="G303" s="19"/>
      <c r="H303" s="19"/>
    </row>
    <row r="304" customFormat="false" ht="15" hidden="false" customHeight="true" outlineLevel="0" collapsed="false">
      <c r="B304" s="44"/>
      <c r="C304" s="19"/>
      <c r="D304" s="19"/>
      <c r="E304" s="45"/>
      <c r="F304" s="19"/>
      <c r="G304" s="19"/>
      <c r="H304" s="19"/>
    </row>
    <row r="305" customFormat="false" ht="15" hidden="false" customHeight="true" outlineLevel="0" collapsed="false">
      <c r="B305" s="44"/>
      <c r="C305" s="19"/>
      <c r="D305" s="19"/>
      <c r="E305" s="45"/>
      <c r="F305" s="19"/>
      <c r="G305" s="19"/>
      <c r="H305" s="19"/>
    </row>
    <row r="306" customFormat="false" ht="15" hidden="false" customHeight="true" outlineLevel="0" collapsed="false">
      <c r="B306" s="44"/>
      <c r="C306" s="19"/>
      <c r="D306" s="19"/>
      <c r="E306" s="45"/>
      <c r="F306" s="19"/>
      <c r="G306" s="19"/>
      <c r="H306" s="19"/>
    </row>
    <row r="307" customFormat="false" ht="15" hidden="false" customHeight="true" outlineLevel="0" collapsed="false">
      <c r="B307" s="44"/>
      <c r="C307" s="19"/>
      <c r="D307" s="19"/>
      <c r="E307" s="45"/>
      <c r="F307" s="19"/>
      <c r="G307" s="19"/>
      <c r="H307" s="19"/>
    </row>
    <row r="308" customFormat="false" ht="15" hidden="false" customHeight="true" outlineLevel="0" collapsed="false">
      <c r="B308" s="44"/>
      <c r="C308" s="19"/>
      <c r="D308" s="19"/>
      <c r="E308" s="45"/>
      <c r="F308" s="19"/>
      <c r="G308" s="19"/>
      <c r="H308" s="19"/>
    </row>
    <row r="309" customFormat="false" ht="15" hidden="false" customHeight="true" outlineLevel="0" collapsed="false">
      <c r="B309" s="44"/>
      <c r="C309" s="19"/>
      <c r="D309" s="19"/>
      <c r="E309" s="45"/>
      <c r="F309" s="19"/>
      <c r="G309" s="19"/>
      <c r="H309" s="19"/>
    </row>
    <row r="310" customFormat="false" ht="15" hidden="false" customHeight="true" outlineLevel="0" collapsed="false">
      <c r="B310" s="44"/>
      <c r="C310" s="19"/>
      <c r="D310" s="19"/>
      <c r="E310" s="45"/>
      <c r="F310" s="19"/>
      <c r="G310" s="19"/>
      <c r="H310" s="19"/>
    </row>
    <row r="311" customFormat="false" ht="15" hidden="false" customHeight="true" outlineLevel="0" collapsed="false">
      <c r="B311" s="44"/>
      <c r="C311" s="19"/>
      <c r="D311" s="19"/>
      <c r="E311" s="45"/>
      <c r="F311" s="19"/>
      <c r="G311" s="19"/>
      <c r="H311" s="19"/>
    </row>
    <row r="312" customFormat="false" ht="15" hidden="false" customHeight="true" outlineLevel="0" collapsed="false">
      <c r="B312" s="44"/>
      <c r="C312" s="19"/>
      <c r="D312" s="19"/>
      <c r="E312" s="45"/>
      <c r="F312" s="19"/>
      <c r="G312" s="19"/>
      <c r="H312" s="19"/>
    </row>
    <row r="313" customFormat="false" ht="15" hidden="false" customHeight="true" outlineLevel="0" collapsed="false">
      <c r="B313" s="44"/>
      <c r="C313" s="19"/>
      <c r="D313" s="19"/>
      <c r="E313" s="45"/>
      <c r="F313" s="19"/>
      <c r="G313" s="19"/>
      <c r="H313" s="19"/>
    </row>
    <row r="314" customFormat="false" ht="15" hidden="false" customHeight="true" outlineLevel="0" collapsed="false">
      <c r="B314" s="44"/>
      <c r="C314" s="19"/>
      <c r="D314" s="19"/>
      <c r="E314" s="45"/>
      <c r="F314" s="19"/>
      <c r="G314" s="19"/>
      <c r="H314" s="19"/>
    </row>
    <row r="315" customFormat="false" ht="15" hidden="false" customHeight="true" outlineLevel="0" collapsed="false">
      <c r="B315" s="44"/>
      <c r="C315" s="19"/>
      <c r="D315" s="19"/>
      <c r="E315" s="45"/>
      <c r="F315" s="19"/>
      <c r="G315" s="19"/>
      <c r="H315" s="19"/>
    </row>
    <row r="316" customFormat="false" ht="15" hidden="false" customHeight="true" outlineLevel="0" collapsed="false">
      <c r="B316" s="44"/>
      <c r="C316" s="19"/>
      <c r="D316" s="19"/>
      <c r="E316" s="45"/>
      <c r="F316" s="19"/>
      <c r="G316" s="19"/>
      <c r="H316" s="19"/>
    </row>
    <row r="317" customFormat="false" ht="15" hidden="false" customHeight="true" outlineLevel="0" collapsed="false">
      <c r="B317" s="44"/>
      <c r="C317" s="19"/>
      <c r="D317" s="19"/>
      <c r="E317" s="45"/>
      <c r="F317" s="19"/>
      <c r="G317" s="19"/>
      <c r="H317" s="19"/>
    </row>
    <row r="318" customFormat="false" ht="15" hidden="false" customHeight="true" outlineLevel="0" collapsed="false">
      <c r="B318" s="44"/>
      <c r="C318" s="19"/>
      <c r="D318" s="19"/>
      <c r="E318" s="45"/>
      <c r="F318" s="19"/>
      <c r="G318" s="19"/>
      <c r="H318" s="19"/>
    </row>
    <row r="319" customFormat="false" ht="15" hidden="false" customHeight="true" outlineLevel="0" collapsed="false">
      <c r="B319" s="44"/>
      <c r="C319" s="19"/>
      <c r="D319" s="19"/>
      <c r="E319" s="45"/>
      <c r="F319" s="19"/>
      <c r="G319" s="19"/>
      <c r="H319" s="19"/>
    </row>
    <row r="320" customFormat="false" ht="15" hidden="false" customHeight="true" outlineLevel="0" collapsed="false">
      <c r="B320" s="44"/>
      <c r="C320" s="19"/>
      <c r="D320" s="19"/>
      <c r="E320" s="45"/>
      <c r="F320" s="19"/>
      <c r="G320" s="19"/>
      <c r="H320" s="19"/>
    </row>
    <row r="321" customFormat="false" ht="15" hidden="false" customHeight="true" outlineLevel="0" collapsed="false">
      <c r="B321" s="44"/>
      <c r="C321" s="19"/>
      <c r="D321" s="19"/>
      <c r="E321" s="45"/>
      <c r="F321" s="19"/>
      <c r="G321" s="19"/>
      <c r="H321" s="19"/>
    </row>
    <row r="322" customFormat="false" ht="15" hidden="false" customHeight="true" outlineLevel="0" collapsed="false">
      <c r="B322" s="44"/>
      <c r="C322" s="19"/>
      <c r="D322" s="19"/>
      <c r="E322" s="45"/>
      <c r="F322" s="19"/>
      <c r="G322" s="19"/>
      <c r="H322" s="19"/>
    </row>
    <row r="323" customFormat="false" ht="15" hidden="false" customHeight="true" outlineLevel="0" collapsed="false">
      <c r="B323" s="44"/>
      <c r="C323" s="19"/>
      <c r="D323" s="19"/>
      <c r="E323" s="45"/>
      <c r="F323" s="19"/>
      <c r="G323" s="19"/>
      <c r="H323" s="19"/>
    </row>
    <row r="324" customFormat="false" ht="15" hidden="false" customHeight="true" outlineLevel="0" collapsed="false">
      <c r="B324" s="44"/>
      <c r="C324" s="19"/>
      <c r="D324" s="19"/>
      <c r="E324" s="45"/>
      <c r="F324" s="19"/>
      <c r="G324" s="19"/>
      <c r="H324" s="19"/>
    </row>
    <row r="325" customFormat="false" ht="15" hidden="false" customHeight="true" outlineLevel="0" collapsed="false">
      <c r="B325" s="44"/>
      <c r="C325" s="19"/>
      <c r="D325" s="19"/>
      <c r="E325" s="45"/>
      <c r="F325" s="19"/>
      <c r="G325" s="19"/>
      <c r="H325" s="19"/>
    </row>
    <row r="326" customFormat="false" ht="15" hidden="false" customHeight="true" outlineLevel="0" collapsed="false">
      <c r="B326" s="44"/>
      <c r="C326" s="19"/>
      <c r="D326" s="19"/>
      <c r="E326" s="45"/>
      <c r="F326" s="19"/>
      <c r="G326" s="19"/>
      <c r="H326" s="19"/>
    </row>
    <row r="327" customFormat="false" ht="15" hidden="false" customHeight="true" outlineLevel="0" collapsed="false">
      <c r="B327" s="44"/>
      <c r="C327" s="19"/>
      <c r="D327" s="19"/>
      <c r="E327" s="45"/>
      <c r="F327" s="19"/>
      <c r="G327" s="19"/>
      <c r="H327" s="19"/>
    </row>
    <row r="328" customFormat="false" ht="15" hidden="false" customHeight="true" outlineLevel="0" collapsed="false">
      <c r="B328" s="44"/>
      <c r="C328" s="19"/>
      <c r="D328" s="19"/>
      <c r="E328" s="45"/>
      <c r="F328" s="19"/>
      <c r="G328" s="19"/>
      <c r="H328" s="19"/>
    </row>
    <row r="329" customFormat="false" ht="15" hidden="false" customHeight="true" outlineLevel="0" collapsed="false">
      <c r="B329" s="44"/>
      <c r="C329" s="19"/>
      <c r="D329" s="19"/>
      <c r="E329" s="45"/>
      <c r="F329" s="19"/>
      <c r="G329" s="19"/>
      <c r="H329" s="19"/>
    </row>
    <row r="330" customFormat="false" ht="15" hidden="false" customHeight="true" outlineLevel="0" collapsed="false">
      <c r="B330" s="44"/>
      <c r="C330" s="19"/>
      <c r="D330" s="19"/>
      <c r="E330" s="45"/>
      <c r="F330" s="19"/>
      <c r="G330" s="19"/>
      <c r="H330" s="19"/>
    </row>
    <row r="331" customFormat="false" ht="15" hidden="false" customHeight="true" outlineLevel="0" collapsed="false">
      <c r="B331" s="44"/>
      <c r="C331" s="19"/>
      <c r="D331" s="19"/>
      <c r="E331" s="45"/>
      <c r="F331" s="19"/>
      <c r="G331" s="19"/>
      <c r="H331" s="19"/>
    </row>
    <row r="332" customFormat="false" ht="15" hidden="false" customHeight="true" outlineLevel="0" collapsed="false">
      <c r="B332" s="44"/>
      <c r="C332" s="19"/>
      <c r="D332" s="19"/>
      <c r="E332" s="45"/>
      <c r="F332" s="19"/>
      <c r="G332" s="19"/>
      <c r="H332" s="19"/>
    </row>
    <row r="333" customFormat="false" ht="15" hidden="false" customHeight="true" outlineLevel="0" collapsed="false">
      <c r="B333" s="44"/>
      <c r="C333" s="19"/>
      <c r="D333" s="19"/>
      <c r="E333" s="45"/>
      <c r="F333" s="19"/>
      <c r="G333" s="19"/>
      <c r="H333" s="19"/>
    </row>
    <row r="334" customFormat="false" ht="15" hidden="false" customHeight="true" outlineLevel="0" collapsed="false">
      <c r="B334" s="44"/>
      <c r="C334" s="19"/>
      <c r="D334" s="19"/>
      <c r="E334" s="45"/>
      <c r="F334" s="19"/>
      <c r="G334" s="19"/>
      <c r="H334" s="19"/>
    </row>
    <row r="335" customFormat="false" ht="15" hidden="false" customHeight="true" outlineLevel="0" collapsed="false">
      <c r="B335" s="44"/>
      <c r="C335" s="19"/>
      <c r="D335" s="19"/>
      <c r="E335" s="45"/>
      <c r="F335" s="19"/>
      <c r="G335" s="19"/>
      <c r="H335" s="19"/>
    </row>
    <row r="336" customFormat="false" ht="15" hidden="false" customHeight="true" outlineLevel="0" collapsed="false">
      <c r="B336" s="44"/>
      <c r="C336" s="19"/>
      <c r="D336" s="19"/>
      <c r="E336" s="45"/>
      <c r="F336" s="19"/>
      <c r="G336" s="19"/>
      <c r="H336" s="19"/>
    </row>
    <row r="337" customFormat="false" ht="15" hidden="false" customHeight="true" outlineLevel="0" collapsed="false">
      <c r="B337" s="44"/>
      <c r="C337" s="19"/>
      <c r="D337" s="19"/>
      <c r="E337" s="45"/>
      <c r="F337" s="19"/>
      <c r="G337" s="19"/>
      <c r="H337" s="19"/>
    </row>
    <row r="338" customFormat="false" ht="15" hidden="false" customHeight="true" outlineLevel="0" collapsed="false">
      <c r="B338" s="44"/>
      <c r="C338" s="19"/>
      <c r="D338" s="19"/>
      <c r="E338" s="45"/>
      <c r="F338" s="19"/>
      <c r="G338" s="19"/>
      <c r="H338" s="19"/>
    </row>
    <row r="339" customFormat="false" ht="15" hidden="false" customHeight="true" outlineLevel="0" collapsed="false">
      <c r="B339" s="44"/>
      <c r="C339" s="19"/>
      <c r="D339" s="19"/>
      <c r="E339" s="45"/>
      <c r="F339" s="19"/>
      <c r="G339" s="19"/>
      <c r="H339" s="19"/>
    </row>
    <row r="340" customFormat="false" ht="15" hidden="false" customHeight="true" outlineLevel="0" collapsed="false">
      <c r="B340" s="44"/>
      <c r="C340" s="19"/>
      <c r="D340" s="19"/>
      <c r="E340" s="45"/>
      <c r="F340" s="19"/>
      <c r="G340" s="19"/>
      <c r="H340" s="19"/>
    </row>
    <row r="341" customFormat="false" ht="15" hidden="false" customHeight="true" outlineLevel="0" collapsed="false">
      <c r="B341" s="44"/>
      <c r="C341" s="19"/>
      <c r="D341" s="19"/>
      <c r="E341" s="45"/>
      <c r="F341" s="19"/>
      <c r="G341" s="19"/>
      <c r="H341" s="19"/>
    </row>
    <row r="342" customFormat="false" ht="15" hidden="false" customHeight="true" outlineLevel="0" collapsed="false">
      <c r="B342" s="44"/>
      <c r="C342" s="19"/>
      <c r="D342" s="19"/>
      <c r="E342" s="45"/>
      <c r="F342" s="19"/>
      <c r="G342" s="19"/>
      <c r="H342" s="19"/>
    </row>
    <row r="343" customFormat="false" ht="15" hidden="false" customHeight="true" outlineLevel="0" collapsed="false">
      <c r="B343" s="44"/>
      <c r="C343" s="19"/>
      <c r="D343" s="19"/>
      <c r="E343" s="45"/>
      <c r="F343" s="19"/>
      <c r="G343" s="19"/>
      <c r="H343" s="19"/>
    </row>
    <row r="344" customFormat="false" ht="15" hidden="false" customHeight="true" outlineLevel="0" collapsed="false">
      <c r="B344" s="44"/>
      <c r="C344" s="19"/>
      <c r="D344" s="19"/>
      <c r="E344" s="45"/>
      <c r="F344" s="19"/>
      <c r="G344" s="19"/>
      <c r="H344" s="19"/>
    </row>
    <row r="345" customFormat="false" ht="15" hidden="false" customHeight="true" outlineLevel="0" collapsed="false">
      <c r="B345" s="44"/>
      <c r="C345" s="19"/>
      <c r="D345" s="19"/>
      <c r="E345" s="45"/>
      <c r="F345" s="19"/>
      <c r="G345" s="19"/>
      <c r="H345" s="19"/>
    </row>
    <row r="346" customFormat="false" ht="15" hidden="false" customHeight="true" outlineLevel="0" collapsed="false">
      <c r="B346" s="44"/>
      <c r="C346" s="19"/>
      <c r="D346" s="19"/>
      <c r="E346" s="45"/>
      <c r="F346" s="19"/>
      <c r="G346" s="19"/>
      <c r="H346" s="19"/>
    </row>
    <row r="347" customFormat="false" ht="15" hidden="false" customHeight="true" outlineLevel="0" collapsed="false">
      <c r="B347" s="44"/>
      <c r="C347" s="19"/>
      <c r="D347" s="19"/>
      <c r="E347" s="45"/>
      <c r="F347" s="19"/>
      <c r="G347" s="19"/>
      <c r="H347" s="19"/>
    </row>
    <row r="348" customFormat="false" ht="15" hidden="false" customHeight="true" outlineLevel="0" collapsed="false">
      <c r="B348" s="44"/>
      <c r="C348" s="19"/>
      <c r="D348" s="19"/>
      <c r="E348" s="45"/>
      <c r="F348" s="19"/>
      <c r="G348" s="19"/>
      <c r="H348" s="19"/>
    </row>
    <row r="349" customFormat="false" ht="15" hidden="false" customHeight="true" outlineLevel="0" collapsed="false">
      <c r="B349" s="44"/>
      <c r="C349" s="19"/>
      <c r="D349" s="19"/>
      <c r="E349" s="45"/>
      <c r="F349" s="19"/>
      <c r="G349" s="19"/>
      <c r="H349" s="19"/>
    </row>
    <row r="350" customFormat="false" ht="15" hidden="false" customHeight="true" outlineLevel="0" collapsed="false">
      <c r="B350" s="44"/>
      <c r="C350" s="19"/>
      <c r="D350" s="19"/>
      <c r="E350" s="45"/>
      <c r="F350" s="19"/>
      <c r="G350" s="19"/>
      <c r="H350" s="19"/>
    </row>
    <row r="351" customFormat="false" ht="15" hidden="false" customHeight="true" outlineLevel="0" collapsed="false">
      <c r="B351" s="44"/>
      <c r="C351" s="19"/>
      <c r="D351" s="19"/>
      <c r="E351" s="45"/>
      <c r="F351" s="19"/>
      <c r="G351" s="19"/>
      <c r="H351" s="19"/>
    </row>
    <row r="352" customFormat="false" ht="15" hidden="false" customHeight="true" outlineLevel="0" collapsed="false">
      <c r="B352" s="44"/>
      <c r="C352" s="19"/>
      <c r="D352" s="19"/>
      <c r="E352" s="45"/>
      <c r="F352" s="19"/>
      <c r="G352" s="19"/>
      <c r="H352" s="19"/>
    </row>
    <row r="353" customFormat="false" ht="15" hidden="false" customHeight="true" outlineLevel="0" collapsed="false">
      <c r="B353" s="44"/>
      <c r="C353" s="19"/>
      <c r="D353" s="19"/>
      <c r="E353" s="45"/>
      <c r="F353" s="19"/>
      <c r="G353" s="19"/>
      <c r="H353" s="19"/>
    </row>
    <row r="354" customFormat="false" ht="15" hidden="false" customHeight="true" outlineLevel="0" collapsed="false">
      <c r="B354" s="44"/>
      <c r="C354" s="19"/>
      <c r="D354" s="19"/>
      <c r="E354" s="45"/>
      <c r="F354" s="19"/>
      <c r="G354" s="19"/>
      <c r="H354" s="19"/>
    </row>
    <row r="355" customFormat="false" ht="15" hidden="false" customHeight="true" outlineLevel="0" collapsed="false">
      <c r="B355" s="44"/>
      <c r="C355" s="19"/>
      <c r="D355" s="19"/>
      <c r="E355" s="45"/>
      <c r="F355" s="19"/>
      <c r="G355" s="19"/>
      <c r="H355" s="19"/>
    </row>
    <row r="356" customFormat="false" ht="15" hidden="false" customHeight="true" outlineLevel="0" collapsed="false">
      <c r="B356" s="44"/>
      <c r="C356" s="19"/>
      <c r="D356" s="19"/>
      <c r="E356" s="45"/>
      <c r="F356" s="19"/>
      <c r="G356" s="19"/>
      <c r="H356" s="19"/>
    </row>
    <row r="357" customFormat="false" ht="15" hidden="false" customHeight="true" outlineLevel="0" collapsed="false">
      <c r="B357" s="44"/>
      <c r="C357" s="19"/>
      <c r="D357" s="19"/>
      <c r="E357" s="45"/>
      <c r="F357" s="19"/>
      <c r="G357" s="19"/>
      <c r="H357" s="19"/>
    </row>
    <row r="358" customFormat="false" ht="15" hidden="false" customHeight="true" outlineLevel="0" collapsed="false">
      <c r="B358" s="44"/>
      <c r="C358" s="19"/>
      <c r="D358" s="19"/>
      <c r="E358" s="45"/>
      <c r="F358" s="19"/>
      <c r="G358" s="19"/>
      <c r="H358" s="19"/>
    </row>
    <row r="359" customFormat="false" ht="15" hidden="false" customHeight="true" outlineLevel="0" collapsed="false">
      <c r="B359" s="44"/>
      <c r="C359" s="19"/>
      <c r="D359" s="19"/>
      <c r="E359" s="45"/>
      <c r="F359" s="19"/>
      <c r="G359" s="19"/>
      <c r="H359" s="19"/>
    </row>
    <row r="360" customFormat="false" ht="15" hidden="false" customHeight="true" outlineLevel="0" collapsed="false">
      <c r="B360" s="44"/>
      <c r="C360" s="19"/>
      <c r="D360" s="19"/>
      <c r="E360" s="45"/>
      <c r="F360" s="19"/>
      <c r="G360" s="19"/>
      <c r="H360" s="19"/>
    </row>
    <row r="361" customFormat="false" ht="15" hidden="false" customHeight="true" outlineLevel="0" collapsed="false">
      <c r="B361" s="44"/>
      <c r="C361" s="19"/>
      <c r="D361" s="19"/>
      <c r="E361" s="45"/>
      <c r="F361" s="19"/>
      <c r="G361" s="19"/>
      <c r="H361" s="19"/>
    </row>
    <row r="362" customFormat="false" ht="15" hidden="false" customHeight="true" outlineLevel="0" collapsed="false">
      <c r="B362" s="44"/>
      <c r="C362" s="19"/>
      <c r="D362" s="19"/>
      <c r="E362" s="45"/>
      <c r="F362" s="19"/>
      <c r="G362" s="19"/>
      <c r="H362" s="19"/>
    </row>
    <row r="363" customFormat="false" ht="15" hidden="false" customHeight="true" outlineLevel="0" collapsed="false">
      <c r="B363" s="44"/>
      <c r="C363" s="19"/>
      <c r="D363" s="19"/>
      <c r="E363" s="45"/>
      <c r="F363" s="19"/>
      <c r="G363" s="19"/>
      <c r="H363" s="19"/>
    </row>
    <row r="364" customFormat="false" ht="15" hidden="false" customHeight="true" outlineLevel="0" collapsed="false">
      <c r="B364" s="44"/>
      <c r="C364" s="19"/>
      <c r="D364" s="19"/>
      <c r="E364" s="45"/>
      <c r="F364" s="19"/>
      <c r="G364" s="19"/>
      <c r="H364" s="19"/>
    </row>
    <row r="365" customFormat="false" ht="15" hidden="false" customHeight="true" outlineLevel="0" collapsed="false">
      <c r="B365" s="44"/>
      <c r="C365" s="19"/>
      <c r="D365" s="19"/>
      <c r="E365" s="45"/>
      <c r="F365" s="19"/>
      <c r="G365" s="19"/>
      <c r="H365" s="19"/>
    </row>
    <row r="366" customFormat="false" ht="15" hidden="false" customHeight="true" outlineLevel="0" collapsed="false">
      <c r="B366" s="44"/>
      <c r="C366" s="19"/>
      <c r="D366" s="19"/>
      <c r="E366" s="45"/>
      <c r="F366" s="19"/>
      <c r="G366" s="19"/>
      <c r="H366" s="19"/>
    </row>
    <row r="367" customFormat="false" ht="15" hidden="false" customHeight="true" outlineLevel="0" collapsed="false">
      <c r="B367" s="44"/>
      <c r="C367" s="19"/>
      <c r="D367" s="19"/>
      <c r="E367" s="45"/>
      <c r="F367" s="19"/>
      <c r="G367" s="19"/>
      <c r="H367" s="19"/>
    </row>
    <row r="368" customFormat="false" ht="15" hidden="false" customHeight="true" outlineLevel="0" collapsed="false">
      <c r="B368" s="44"/>
      <c r="C368" s="19"/>
      <c r="D368" s="19"/>
      <c r="E368" s="45"/>
      <c r="F368" s="19"/>
      <c r="G368" s="19"/>
      <c r="H368" s="19"/>
    </row>
    <row r="369" customFormat="false" ht="15" hidden="false" customHeight="true" outlineLevel="0" collapsed="false">
      <c r="B369" s="44"/>
      <c r="C369" s="19"/>
      <c r="D369" s="19"/>
      <c r="E369" s="45"/>
      <c r="F369" s="19"/>
      <c r="G369" s="19"/>
      <c r="H369" s="19"/>
    </row>
    <row r="370" customFormat="false" ht="15" hidden="false" customHeight="true" outlineLevel="0" collapsed="false">
      <c r="B370" s="44"/>
      <c r="C370" s="19"/>
      <c r="D370" s="19"/>
      <c r="E370" s="45"/>
      <c r="F370" s="19"/>
      <c r="G370" s="19"/>
      <c r="H370" s="19"/>
    </row>
    <row r="371" customFormat="false" ht="15" hidden="false" customHeight="true" outlineLevel="0" collapsed="false">
      <c r="B371" s="44"/>
      <c r="C371" s="19"/>
      <c r="D371" s="19"/>
      <c r="E371" s="45"/>
      <c r="F371" s="19"/>
      <c r="G371" s="19"/>
      <c r="H371" s="19"/>
    </row>
    <row r="372" customFormat="false" ht="15" hidden="false" customHeight="true" outlineLevel="0" collapsed="false">
      <c r="B372" s="44"/>
      <c r="C372" s="19"/>
      <c r="D372" s="19"/>
      <c r="E372" s="45"/>
      <c r="F372" s="19"/>
      <c r="G372" s="19"/>
      <c r="H372" s="19"/>
    </row>
    <row r="373" customFormat="false" ht="15" hidden="false" customHeight="true" outlineLevel="0" collapsed="false">
      <c r="B373" s="44"/>
      <c r="C373" s="19"/>
      <c r="D373" s="19"/>
      <c r="E373" s="45"/>
      <c r="F373" s="19"/>
      <c r="G373" s="19"/>
      <c r="H373" s="19"/>
    </row>
    <row r="374" customFormat="false" ht="15" hidden="false" customHeight="true" outlineLevel="0" collapsed="false">
      <c r="B374" s="44"/>
      <c r="C374" s="19"/>
      <c r="D374" s="19"/>
      <c r="E374" s="45"/>
      <c r="F374" s="19"/>
      <c r="G374" s="19"/>
      <c r="H374" s="19"/>
    </row>
    <row r="375" customFormat="false" ht="15" hidden="false" customHeight="true" outlineLevel="0" collapsed="false">
      <c r="B375" s="44"/>
      <c r="C375" s="19"/>
      <c r="D375" s="19"/>
      <c r="E375" s="45"/>
      <c r="F375" s="19"/>
      <c r="G375" s="19"/>
      <c r="H375" s="19"/>
    </row>
    <row r="376" customFormat="false" ht="15" hidden="false" customHeight="true" outlineLevel="0" collapsed="false">
      <c r="B376" s="44"/>
      <c r="C376" s="19"/>
      <c r="D376" s="19"/>
      <c r="E376" s="45"/>
      <c r="F376" s="19"/>
      <c r="G376" s="19"/>
      <c r="H376" s="19"/>
    </row>
    <row r="377" customFormat="false" ht="15" hidden="false" customHeight="true" outlineLevel="0" collapsed="false">
      <c r="B377" s="44"/>
      <c r="C377" s="19"/>
      <c r="D377" s="19"/>
      <c r="E377" s="45"/>
      <c r="F377" s="19"/>
      <c r="G377" s="19"/>
      <c r="H377" s="19"/>
    </row>
    <row r="378" customFormat="false" ht="15" hidden="false" customHeight="true" outlineLevel="0" collapsed="false">
      <c r="B378" s="44"/>
      <c r="C378" s="19"/>
      <c r="D378" s="19"/>
      <c r="E378" s="45"/>
      <c r="F378" s="19"/>
      <c r="G378" s="19"/>
      <c r="H378" s="19"/>
    </row>
    <row r="379" customFormat="false" ht="15" hidden="false" customHeight="true" outlineLevel="0" collapsed="false">
      <c r="B379" s="44"/>
      <c r="C379" s="19"/>
      <c r="D379" s="19"/>
      <c r="E379" s="45"/>
      <c r="F379" s="19"/>
      <c r="G379" s="19"/>
      <c r="H379" s="19"/>
    </row>
    <row r="380" customFormat="false" ht="15" hidden="false" customHeight="true" outlineLevel="0" collapsed="false">
      <c r="B380" s="44"/>
      <c r="C380" s="19"/>
      <c r="D380" s="19"/>
      <c r="E380" s="45"/>
      <c r="F380" s="19"/>
      <c r="G380" s="19"/>
      <c r="H380" s="19"/>
    </row>
    <row r="381" customFormat="false" ht="15" hidden="false" customHeight="true" outlineLevel="0" collapsed="false">
      <c r="B381" s="44"/>
      <c r="C381" s="19"/>
      <c r="D381" s="19"/>
      <c r="E381" s="45"/>
      <c r="F381" s="19"/>
      <c r="G381" s="19"/>
      <c r="H381" s="19"/>
    </row>
    <row r="382" customFormat="false" ht="15" hidden="false" customHeight="true" outlineLevel="0" collapsed="false">
      <c r="B382" s="44"/>
      <c r="C382" s="19"/>
      <c r="D382" s="19"/>
      <c r="E382" s="45"/>
      <c r="F382" s="19"/>
      <c r="G382" s="19"/>
      <c r="H382" s="19"/>
    </row>
    <row r="383" customFormat="false" ht="15" hidden="false" customHeight="true" outlineLevel="0" collapsed="false">
      <c r="B383" s="44"/>
      <c r="C383" s="19"/>
      <c r="D383" s="19"/>
      <c r="E383" s="45"/>
      <c r="F383" s="19"/>
      <c r="G383" s="19"/>
      <c r="H383" s="19"/>
    </row>
    <row r="384" customFormat="false" ht="15" hidden="false" customHeight="true" outlineLevel="0" collapsed="false">
      <c r="B384" s="44"/>
      <c r="C384" s="19"/>
      <c r="D384" s="19"/>
      <c r="E384" s="45"/>
      <c r="F384" s="19"/>
      <c r="G384" s="19"/>
      <c r="H384" s="19"/>
    </row>
    <row r="385" customFormat="false" ht="15" hidden="false" customHeight="true" outlineLevel="0" collapsed="false">
      <c r="B385" s="44"/>
      <c r="C385" s="19"/>
      <c r="D385" s="19"/>
      <c r="E385" s="45"/>
      <c r="F385" s="19"/>
      <c r="G385" s="19"/>
      <c r="H385" s="19"/>
    </row>
    <row r="386" customFormat="false" ht="15" hidden="false" customHeight="true" outlineLevel="0" collapsed="false">
      <c r="B386" s="44"/>
      <c r="C386" s="19"/>
      <c r="D386" s="19"/>
      <c r="E386" s="45"/>
      <c r="F386" s="19"/>
      <c r="G386" s="19"/>
      <c r="H386" s="19"/>
    </row>
    <row r="387" customFormat="false" ht="15" hidden="false" customHeight="true" outlineLevel="0" collapsed="false">
      <c r="B387" s="44"/>
      <c r="C387" s="19"/>
      <c r="D387" s="19"/>
      <c r="E387" s="45"/>
      <c r="F387" s="19"/>
      <c r="G387" s="19"/>
      <c r="H387" s="19"/>
    </row>
    <row r="388" customFormat="false" ht="15" hidden="false" customHeight="true" outlineLevel="0" collapsed="false">
      <c r="B388" s="44"/>
      <c r="C388" s="19"/>
      <c r="D388" s="19"/>
      <c r="E388" s="45"/>
      <c r="F388" s="19"/>
      <c r="G388" s="19"/>
      <c r="H388" s="19"/>
    </row>
    <row r="389" customFormat="false" ht="15" hidden="false" customHeight="true" outlineLevel="0" collapsed="false">
      <c r="B389" s="44"/>
      <c r="C389" s="19"/>
      <c r="D389" s="19"/>
      <c r="E389" s="45"/>
      <c r="F389" s="19"/>
      <c r="G389" s="19"/>
      <c r="H389" s="19"/>
    </row>
    <row r="390" customFormat="false" ht="15" hidden="false" customHeight="true" outlineLevel="0" collapsed="false">
      <c r="B390" s="44"/>
      <c r="C390" s="19"/>
      <c r="D390" s="19"/>
      <c r="E390" s="45"/>
      <c r="F390" s="19"/>
      <c r="G390" s="19"/>
      <c r="H390" s="19"/>
    </row>
    <row r="391" customFormat="false" ht="15" hidden="false" customHeight="true" outlineLevel="0" collapsed="false">
      <c r="B391" s="44"/>
      <c r="C391" s="19"/>
      <c r="D391" s="19"/>
      <c r="E391" s="45"/>
      <c r="F391" s="19"/>
      <c r="G391" s="19"/>
      <c r="H391" s="19"/>
    </row>
    <row r="392" customFormat="false" ht="15" hidden="false" customHeight="true" outlineLevel="0" collapsed="false">
      <c r="B392" s="44"/>
      <c r="C392" s="19"/>
      <c r="D392" s="19"/>
      <c r="E392" s="45"/>
      <c r="F392" s="19"/>
      <c r="G392" s="19"/>
      <c r="H392" s="19"/>
    </row>
    <row r="393" customFormat="false" ht="15" hidden="false" customHeight="true" outlineLevel="0" collapsed="false">
      <c r="B393" s="44"/>
      <c r="C393" s="19"/>
      <c r="D393" s="19"/>
      <c r="E393" s="45"/>
      <c r="F393" s="19"/>
      <c r="G393" s="19"/>
      <c r="H393" s="19"/>
    </row>
    <row r="394" customFormat="false" ht="15" hidden="false" customHeight="true" outlineLevel="0" collapsed="false">
      <c r="B394" s="44"/>
      <c r="C394" s="19"/>
      <c r="D394" s="19"/>
      <c r="E394" s="45"/>
      <c r="F394" s="19"/>
      <c r="G394" s="19"/>
      <c r="H394" s="19"/>
    </row>
    <row r="395" customFormat="false" ht="15" hidden="false" customHeight="true" outlineLevel="0" collapsed="false">
      <c r="B395" s="44"/>
      <c r="C395" s="19"/>
      <c r="D395" s="19"/>
      <c r="E395" s="45"/>
      <c r="F395" s="19"/>
      <c r="G395" s="19"/>
      <c r="H395" s="19"/>
    </row>
    <row r="396" customFormat="false" ht="15" hidden="false" customHeight="true" outlineLevel="0" collapsed="false">
      <c r="B396" s="44"/>
      <c r="C396" s="19"/>
      <c r="D396" s="19"/>
      <c r="E396" s="45"/>
      <c r="F396" s="19"/>
      <c r="G396" s="19"/>
      <c r="H396" s="19"/>
    </row>
    <row r="397" customFormat="false" ht="15" hidden="false" customHeight="true" outlineLevel="0" collapsed="false">
      <c r="B397" s="44"/>
      <c r="C397" s="19"/>
      <c r="D397" s="19"/>
      <c r="E397" s="45"/>
      <c r="F397" s="19"/>
      <c r="G397" s="19"/>
      <c r="H397" s="19"/>
    </row>
    <row r="398" customFormat="false" ht="15" hidden="false" customHeight="true" outlineLevel="0" collapsed="false">
      <c r="B398" s="44"/>
      <c r="C398" s="19"/>
      <c r="D398" s="19"/>
      <c r="E398" s="45"/>
      <c r="F398" s="19"/>
      <c r="G398" s="19"/>
      <c r="H398" s="19"/>
    </row>
    <row r="399" customFormat="false" ht="15" hidden="false" customHeight="true" outlineLevel="0" collapsed="false">
      <c r="B399" s="44"/>
      <c r="C399" s="19"/>
      <c r="D399" s="19"/>
      <c r="E399" s="45"/>
      <c r="F399" s="19"/>
      <c r="G399" s="19"/>
      <c r="H399" s="19"/>
    </row>
    <row r="400" customFormat="false" ht="15" hidden="false" customHeight="true" outlineLevel="0" collapsed="false">
      <c r="B400" s="44"/>
      <c r="C400" s="19"/>
      <c r="D400" s="19"/>
      <c r="E400" s="45"/>
      <c r="F400" s="19"/>
      <c r="G400" s="19"/>
      <c r="H400" s="19"/>
    </row>
    <row r="401" customFormat="false" ht="15" hidden="false" customHeight="true" outlineLevel="0" collapsed="false">
      <c r="B401" s="44"/>
      <c r="C401" s="19"/>
      <c r="D401" s="19"/>
      <c r="E401" s="45"/>
      <c r="F401" s="19"/>
      <c r="G401" s="19"/>
      <c r="H401" s="19"/>
    </row>
    <row r="402" customFormat="false" ht="15" hidden="false" customHeight="true" outlineLevel="0" collapsed="false">
      <c r="B402" s="44"/>
      <c r="C402" s="19"/>
      <c r="D402" s="19"/>
      <c r="E402" s="45"/>
      <c r="F402" s="19"/>
      <c r="G402" s="19"/>
      <c r="H402" s="19"/>
    </row>
    <row r="403" customFormat="false" ht="15" hidden="false" customHeight="true" outlineLevel="0" collapsed="false">
      <c r="B403" s="44"/>
      <c r="C403" s="19"/>
      <c r="D403" s="19"/>
      <c r="E403" s="45"/>
      <c r="F403" s="19"/>
      <c r="G403" s="19"/>
      <c r="H403" s="19"/>
    </row>
    <row r="404" customFormat="false" ht="15" hidden="false" customHeight="true" outlineLevel="0" collapsed="false">
      <c r="B404" s="44"/>
      <c r="C404" s="19"/>
      <c r="D404" s="19"/>
      <c r="E404" s="45"/>
      <c r="F404" s="19"/>
      <c r="G404" s="19"/>
      <c r="H404" s="19"/>
    </row>
    <row r="405" customFormat="false" ht="15" hidden="false" customHeight="true" outlineLevel="0" collapsed="false">
      <c r="B405" s="44"/>
      <c r="C405" s="19"/>
      <c r="D405" s="19"/>
      <c r="E405" s="45"/>
      <c r="F405" s="19"/>
      <c r="G405" s="19"/>
      <c r="H405" s="19"/>
    </row>
    <row r="406" customFormat="false" ht="15" hidden="false" customHeight="true" outlineLevel="0" collapsed="false">
      <c r="B406" s="44"/>
      <c r="C406" s="19"/>
      <c r="D406" s="19"/>
      <c r="E406" s="45"/>
      <c r="F406" s="19"/>
      <c r="G406" s="19"/>
      <c r="H406" s="19"/>
    </row>
    <row r="407" customFormat="false" ht="15" hidden="false" customHeight="true" outlineLevel="0" collapsed="false">
      <c r="B407" s="44"/>
      <c r="C407" s="19"/>
      <c r="D407" s="19"/>
      <c r="E407" s="45"/>
      <c r="F407" s="19"/>
      <c r="G407" s="19"/>
      <c r="H407" s="19"/>
    </row>
    <row r="408" customFormat="false" ht="15" hidden="false" customHeight="true" outlineLevel="0" collapsed="false">
      <c r="B408" s="44"/>
      <c r="C408" s="19"/>
      <c r="D408" s="19"/>
      <c r="E408" s="45"/>
      <c r="F408" s="19"/>
      <c r="G408" s="19"/>
      <c r="H408" s="19"/>
    </row>
    <row r="409" customFormat="false" ht="15" hidden="false" customHeight="true" outlineLevel="0" collapsed="false">
      <c r="B409" s="44"/>
      <c r="C409" s="19"/>
      <c r="D409" s="19"/>
      <c r="E409" s="45"/>
      <c r="F409" s="19"/>
      <c r="G409" s="19"/>
      <c r="H409" s="19"/>
    </row>
    <row r="410" customFormat="false" ht="15" hidden="false" customHeight="true" outlineLevel="0" collapsed="false">
      <c r="B410" s="44"/>
      <c r="C410" s="19"/>
      <c r="D410" s="19"/>
      <c r="E410" s="45"/>
      <c r="F410" s="19"/>
      <c r="G410" s="19"/>
      <c r="H410" s="19"/>
    </row>
    <row r="411" customFormat="false" ht="15" hidden="false" customHeight="true" outlineLevel="0" collapsed="false">
      <c r="B411" s="44"/>
      <c r="C411" s="19"/>
      <c r="D411" s="19"/>
      <c r="E411" s="45"/>
      <c r="F411" s="19"/>
      <c r="G411" s="19"/>
      <c r="H411" s="19"/>
    </row>
    <row r="412" customFormat="false" ht="15" hidden="false" customHeight="true" outlineLevel="0" collapsed="false">
      <c r="B412" s="44"/>
      <c r="C412" s="19"/>
      <c r="D412" s="19"/>
      <c r="E412" s="45"/>
      <c r="F412" s="19"/>
      <c r="G412" s="19"/>
      <c r="H412" s="19"/>
    </row>
    <row r="413" customFormat="false" ht="15" hidden="false" customHeight="true" outlineLevel="0" collapsed="false">
      <c r="B413" s="44"/>
      <c r="C413" s="19"/>
      <c r="D413" s="19"/>
      <c r="E413" s="45"/>
      <c r="F413" s="19"/>
      <c r="G413" s="19"/>
      <c r="H413" s="19"/>
    </row>
    <row r="414" customFormat="false" ht="15" hidden="false" customHeight="true" outlineLevel="0" collapsed="false">
      <c r="B414" s="44"/>
      <c r="C414" s="19"/>
      <c r="D414" s="19"/>
      <c r="E414" s="45"/>
      <c r="F414" s="19"/>
      <c r="G414" s="19"/>
      <c r="H414" s="19"/>
    </row>
    <row r="415" customFormat="false" ht="15" hidden="false" customHeight="true" outlineLevel="0" collapsed="false">
      <c r="B415" s="44"/>
      <c r="C415" s="19"/>
      <c r="D415" s="19"/>
      <c r="E415" s="45"/>
      <c r="F415" s="19"/>
      <c r="G415" s="19"/>
      <c r="H415" s="19"/>
    </row>
    <row r="416" customFormat="false" ht="15" hidden="false" customHeight="true" outlineLevel="0" collapsed="false">
      <c r="B416" s="44"/>
      <c r="C416" s="19"/>
      <c r="D416" s="19"/>
      <c r="E416" s="45"/>
      <c r="F416" s="19"/>
      <c r="G416" s="19"/>
      <c r="H416" s="19"/>
    </row>
    <row r="417" customFormat="false" ht="15" hidden="false" customHeight="true" outlineLevel="0" collapsed="false">
      <c r="B417" s="44"/>
      <c r="C417" s="19"/>
      <c r="D417" s="19"/>
      <c r="E417" s="45"/>
      <c r="F417" s="19"/>
      <c r="G417" s="19"/>
      <c r="H417" s="19"/>
    </row>
    <row r="418" customFormat="false" ht="15" hidden="false" customHeight="true" outlineLevel="0" collapsed="false">
      <c r="B418" s="44"/>
      <c r="C418" s="19"/>
      <c r="D418" s="19"/>
      <c r="E418" s="45"/>
      <c r="F418" s="19"/>
      <c r="G418" s="19"/>
      <c r="H418" s="19"/>
    </row>
    <row r="419" customFormat="false" ht="15" hidden="false" customHeight="true" outlineLevel="0" collapsed="false">
      <c r="B419" s="44"/>
      <c r="C419" s="19"/>
      <c r="D419" s="19"/>
      <c r="E419" s="45"/>
      <c r="F419" s="19"/>
      <c r="G419" s="19"/>
      <c r="H419" s="19"/>
    </row>
    <row r="420" customFormat="false" ht="15" hidden="false" customHeight="true" outlineLevel="0" collapsed="false">
      <c r="B420" s="44"/>
      <c r="C420" s="19"/>
      <c r="D420" s="19"/>
      <c r="E420" s="45"/>
      <c r="F420" s="19"/>
      <c r="G420" s="19"/>
      <c r="H420" s="19"/>
    </row>
    <row r="421" customFormat="false" ht="15" hidden="false" customHeight="true" outlineLevel="0" collapsed="false">
      <c r="B421" s="44"/>
      <c r="C421" s="19"/>
      <c r="D421" s="19"/>
      <c r="E421" s="45"/>
      <c r="F421" s="19"/>
      <c r="G421" s="19"/>
      <c r="H421" s="19"/>
    </row>
    <row r="422" customFormat="false" ht="15" hidden="false" customHeight="true" outlineLevel="0" collapsed="false">
      <c r="B422" s="44"/>
      <c r="C422" s="19"/>
      <c r="D422" s="19"/>
      <c r="E422" s="45"/>
      <c r="F422" s="19"/>
      <c r="G422" s="19"/>
      <c r="H422" s="19"/>
    </row>
    <row r="423" customFormat="false" ht="15" hidden="false" customHeight="true" outlineLevel="0" collapsed="false">
      <c r="B423" s="44"/>
      <c r="C423" s="19"/>
      <c r="D423" s="19"/>
      <c r="E423" s="45"/>
      <c r="F423" s="19"/>
      <c r="G423" s="19"/>
      <c r="H423" s="19"/>
    </row>
    <row r="424" customFormat="false" ht="15" hidden="false" customHeight="true" outlineLevel="0" collapsed="false">
      <c r="B424" s="44"/>
      <c r="C424" s="19"/>
      <c r="D424" s="19"/>
      <c r="E424" s="45"/>
      <c r="F424" s="19"/>
      <c r="G424" s="19"/>
      <c r="H424" s="19"/>
    </row>
    <row r="425" customFormat="false" ht="15" hidden="false" customHeight="true" outlineLevel="0" collapsed="false">
      <c r="B425" s="44"/>
      <c r="C425" s="19"/>
      <c r="D425" s="19"/>
      <c r="E425" s="45"/>
      <c r="F425" s="19"/>
      <c r="G425" s="19"/>
      <c r="H425" s="19"/>
    </row>
    <row r="426" customFormat="false" ht="15" hidden="false" customHeight="true" outlineLevel="0" collapsed="false">
      <c r="B426" s="44"/>
      <c r="C426" s="19"/>
      <c r="D426" s="19"/>
      <c r="E426" s="45"/>
      <c r="F426" s="19"/>
      <c r="G426" s="19"/>
      <c r="H426" s="19"/>
    </row>
    <row r="427" customFormat="false" ht="15" hidden="false" customHeight="true" outlineLevel="0" collapsed="false">
      <c r="B427" s="44"/>
      <c r="C427" s="19"/>
      <c r="D427" s="19"/>
      <c r="E427" s="45"/>
      <c r="F427" s="19"/>
      <c r="G427" s="19"/>
      <c r="H427" s="19"/>
    </row>
    <row r="428" customFormat="false" ht="15" hidden="false" customHeight="true" outlineLevel="0" collapsed="false">
      <c r="B428" s="44"/>
      <c r="C428" s="19"/>
      <c r="D428" s="19"/>
      <c r="E428" s="45"/>
      <c r="F428" s="19"/>
      <c r="G428" s="19"/>
      <c r="H428" s="19"/>
    </row>
    <row r="429" customFormat="false" ht="15" hidden="false" customHeight="true" outlineLevel="0" collapsed="false">
      <c r="B429" s="44"/>
      <c r="C429" s="19"/>
      <c r="D429" s="19"/>
      <c r="E429" s="45"/>
      <c r="F429" s="19"/>
      <c r="G429" s="19"/>
      <c r="H429" s="19"/>
    </row>
    <row r="430" customFormat="false" ht="15" hidden="false" customHeight="true" outlineLevel="0" collapsed="false">
      <c r="B430" s="44"/>
      <c r="C430" s="19"/>
      <c r="D430" s="19"/>
      <c r="E430" s="45"/>
      <c r="F430" s="19"/>
      <c r="G430" s="19"/>
      <c r="H430" s="19"/>
    </row>
    <row r="431" customFormat="false" ht="15" hidden="false" customHeight="true" outlineLevel="0" collapsed="false">
      <c r="B431" s="44"/>
      <c r="C431" s="19"/>
      <c r="D431" s="19"/>
      <c r="E431" s="45"/>
      <c r="F431" s="19"/>
      <c r="G431" s="19"/>
      <c r="H431" s="19"/>
    </row>
    <row r="432" customFormat="false" ht="15" hidden="false" customHeight="true" outlineLevel="0" collapsed="false">
      <c r="B432" s="44"/>
      <c r="C432" s="19"/>
      <c r="D432" s="19"/>
      <c r="E432" s="45"/>
      <c r="F432" s="19"/>
      <c r="G432" s="19"/>
      <c r="H432" s="19"/>
    </row>
    <row r="433" customFormat="false" ht="15" hidden="false" customHeight="true" outlineLevel="0" collapsed="false">
      <c r="B433" s="44"/>
      <c r="C433" s="19"/>
      <c r="D433" s="19"/>
      <c r="E433" s="45"/>
      <c r="F433" s="19"/>
      <c r="G433" s="19"/>
      <c r="H433" s="19"/>
    </row>
    <row r="434" customFormat="false" ht="15" hidden="false" customHeight="true" outlineLevel="0" collapsed="false">
      <c r="B434" s="44"/>
      <c r="C434" s="19"/>
      <c r="D434" s="19"/>
      <c r="E434" s="45"/>
      <c r="F434" s="19"/>
      <c r="G434" s="19"/>
      <c r="H434" s="19"/>
    </row>
    <row r="435" customFormat="false" ht="15" hidden="false" customHeight="true" outlineLevel="0" collapsed="false">
      <c r="B435" s="44"/>
      <c r="C435" s="19"/>
      <c r="D435" s="19"/>
      <c r="E435" s="45"/>
      <c r="F435" s="19"/>
      <c r="G435" s="19"/>
      <c r="H435" s="19"/>
    </row>
    <row r="436" customFormat="false" ht="15" hidden="false" customHeight="true" outlineLevel="0" collapsed="false">
      <c r="B436" s="44"/>
      <c r="C436" s="19"/>
      <c r="D436" s="19"/>
      <c r="E436" s="45"/>
      <c r="F436" s="19"/>
      <c r="G436" s="19"/>
      <c r="H436" s="19"/>
    </row>
    <row r="437" customFormat="false" ht="15" hidden="false" customHeight="true" outlineLevel="0" collapsed="false">
      <c r="B437" s="44"/>
      <c r="C437" s="19"/>
      <c r="D437" s="19"/>
      <c r="E437" s="45"/>
      <c r="F437" s="19"/>
      <c r="G437" s="19"/>
      <c r="H437" s="19"/>
    </row>
    <row r="438" customFormat="false" ht="15" hidden="false" customHeight="true" outlineLevel="0" collapsed="false">
      <c r="B438" s="44"/>
      <c r="C438" s="19"/>
      <c r="D438" s="19"/>
      <c r="E438" s="45"/>
      <c r="F438" s="19"/>
      <c r="G438" s="19"/>
      <c r="H438" s="19"/>
    </row>
    <row r="439" customFormat="false" ht="15" hidden="false" customHeight="true" outlineLevel="0" collapsed="false">
      <c r="B439" s="44"/>
      <c r="C439" s="19"/>
      <c r="D439" s="19"/>
      <c r="E439" s="45"/>
      <c r="F439" s="19"/>
      <c r="G439" s="19"/>
      <c r="H439" s="19"/>
    </row>
    <row r="440" customFormat="false" ht="15" hidden="false" customHeight="true" outlineLevel="0" collapsed="false">
      <c r="B440" s="44"/>
      <c r="C440" s="19"/>
      <c r="D440" s="19"/>
      <c r="E440" s="45"/>
      <c r="F440" s="19"/>
      <c r="G440" s="19"/>
      <c r="H440" s="19"/>
    </row>
    <row r="441" customFormat="false" ht="15" hidden="false" customHeight="true" outlineLevel="0" collapsed="false">
      <c r="B441" s="44"/>
      <c r="C441" s="19"/>
      <c r="D441" s="19"/>
      <c r="E441" s="45"/>
      <c r="F441" s="19"/>
      <c r="G441" s="19"/>
      <c r="H441" s="19"/>
    </row>
    <row r="442" customFormat="false" ht="15" hidden="false" customHeight="true" outlineLevel="0" collapsed="false">
      <c r="B442" s="44"/>
      <c r="C442" s="19"/>
      <c r="D442" s="19"/>
      <c r="E442" s="45"/>
      <c r="F442" s="19"/>
      <c r="G442" s="19"/>
      <c r="H442" s="19"/>
    </row>
    <row r="443" customFormat="false" ht="15" hidden="false" customHeight="true" outlineLevel="0" collapsed="false">
      <c r="B443" s="44"/>
      <c r="C443" s="19"/>
      <c r="D443" s="19"/>
      <c r="E443" s="45"/>
      <c r="F443" s="19"/>
      <c r="G443" s="19"/>
      <c r="H443" s="19"/>
    </row>
    <row r="444" customFormat="false" ht="15" hidden="false" customHeight="true" outlineLevel="0" collapsed="false">
      <c r="B444" s="44"/>
      <c r="C444" s="19"/>
      <c r="D444" s="19"/>
      <c r="E444" s="45"/>
      <c r="F444" s="19"/>
      <c r="G444" s="19"/>
      <c r="H444" s="19"/>
    </row>
    <row r="445" customFormat="false" ht="15" hidden="false" customHeight="true" outlineLevel="0" collapsed="false">
      <c r="B445" s="44"/>
      <c r="C445" s="19"/>
      <c r="D445" s="19"/>
      <c r="E445" s="45"/>
      <c r="F445" s="19"/>
      <c r="G445" s="19"/>
      <c r="H445" s="19"/>
    </row>
    <row r="446" customFormat="false" ht="15" hidden="false" customHeight="true" outlineLevel="0" collapsed="false">
      <c r="B446" s="44"/>
      <c r="C446" s="19"/>
      <c r="D446" s="19"/>
      <c r="E446" s="45"/>
      <c r="F446" s="19"/>
      <c r="G446" s="19"/>
      <c r="H446" s="19"/>
    </row>
    <row r="447" customFormat="false" ht="15" hidden="false" customHeight="true" outlineLevel="0" collapsed="false">
      <c r="B447" s="44"/>
      <c r="C447" s="19"/>
      <c r="D447" s="19"/>
      <c r="E447" s="45"/>
      <c r="F447" s="19"/>
      <c r="G447" s="19"/>
      <c r="H447" s="19"/>
    </row>
    <row r="448" customFormat="false" ht="15" hidden="false" customHeight="true" outlineLevel="0" collapsed="false">
      <c r="B448" s="44"/>
      <c r="C448" s="19"/>
      <c r="D448" s="19"/>
      <c r="E448" s="45"/>
      <c r="F448" s="19"/>
      <c r="G448" s="19"/>
      <c r="H448" s="19"/>
    </row>
    <row r="449" customFormat="false" ht="15" hidden="false" customHeight="true" outlineLevel="0" collapsed="false">
      <c r="B449" s="44"/>
      <c r="C449" s="19"/>
      <c r="D449" s="19"/>
      <c r="E449" s="45"/>
      <c r="F449" s="19"/>
      <c r="G449" s="19"/>
      <c r="H449" s="19"/>
    </row>
    <row r="450" customFormat="false" ht="15" hidden="false" customHeight="true" outlineLevel="0" collapsed="false">
      <c r="B450" s="44"/>
      <c r="C450" s="19"/>
      <c r="D450" s="19"/>
      <c r="E450" s="45"/>
      <c r="F450" s="19"/>
      <c r="G450" s="19"/>
      <c r="H450" s="19"/>
    </row>
    <row r="451" customFormat="false" ht="15" hidden="false" customHeight="true" outlineLevel="0" collapsed="false">
      <c r="B451" s="44"/>
      <c r="C451" s="19"/>
      <c r="D451" s="19"/>
      <c r="E451" s="45"/>
      <c r="F451" s="19"/>
      <c r="G451" s="19"/>
      <c r="H451" s="19"/>
    </row>
    <row r="452" customFormat="false" ht="15" hidden="false" customHeight="true" outlineLevel="0" collapsed="false">
      <c r="B452" s="44"/>
      <c r="C452" s="19"/>
      <c r="D452" s="19"/>
      <c r="E452" s="45"/>
      <c r="F452" s="19"/>
      <c r="G452" s="19"/>
      <c r="H452" s="19"/>
    </row>
    <row r="453" customFormat="false" ht="15" hidden="false" customHeight="true" outlineLevel="0" collapsed="false">
      <c r="B453" s="44"/>
      <c r="C453" s="19"/>
      <c r="D453" s="19"/>
      <c r="E453" s="45"/>
      <c r="F453" s="19"/>
      <c r="G453" s="19"/>
      <c r="H453" s="19"/>
    </row>
    <row r="454" customFormat="false" ht="15" hidden="false" customHeight="true" outlineLevel="0" collapsed="false">
      <c r="B454" s="44"/>
      <c r="C454" s="19"/>
      <c r="D454" s="19"/>
      <c r="E454" s="45"/>
      <c r="F454" s="19"/>
      <c r="G454" s="19"/>
      <c r="H454" s="19"/>
    </row>
    <row r="455" customFormat="false" ht="15" hidden="false" customHeight="true" outlineLevel="0" collapsed="false">
      <c r="B455" s="44"/>
      <c r="C455" s="19"/>
      <c r="D455" s="19"/>
      <c r="E455" s="45"/>
      <c r="F455" s="19"/>
      <c r="G455" s="19"/>
      <c r="H455" s="19"/>
    </row>
    <row r="456" customFormat="false" ht="15" hidden="false" customHeight="true" outlineLevel="0" collapsed="false">
      <c r="B456" s="44"/>
      <c r="C456" s="19"/>
      <c r="D456" s="19"/>
      <c r="E456" s="45"/>
      <c r="F456" s="19"/>
      <c r="G456" s="19"/>
      <c r="H456" s="19"/>
    </row>
    <row r="457" customFormat="false" ht="15" hidden="false" customHeight="true" outlineLevel="0" collapsed="false">
      <c r="B457" s="44"/>
      <c r="C457" s="19"/>
      <c r="D457" s="19"/>
      <c r="E457" s="45"/>
      <c r="F457" s="19"/>
      <c r="G457" s="19"/>
      <c r="H457" s="19"/>
    </row>
    <row r="458" customFormat="false" ht="15" hidden="false" customHeight="true" outlineLevel="0" collapsed="false">
      <c r="B458" s="44"/>
      <c r="C458" s="19"/>
      <c r="D458" s="19"/>
      <c r="E458" s="45"/>
      <c r="F458" s="19"/>
      <c r="G458" s="19"/>
      <c r="H458" s="19"/>
    </row>
    <row r="459" customFormat="false" ht="15" hidden="false" customHeight="true" outlineLevel="0" collapsed="false">
      <c r="B459" s="44"/>
      <c r="C459" s="19"/>
      <c r="D459" s="19"/>
      <c r="E459" s="45"/>
      <c r="F459" s="19"/>
      <c r="G459" s="19"/>
      <c r="H459" s="19"/>
    </row>
    <row r="460" customFormat="false" ht="15" hidden="false" customHeight="true" outlineLevel="0" collapsed="false">
      <c r="B460" s="44"/>
      <c r="C460" s="19"/>
      <c r="D460" s="19"/>
      <c r="E460" s="45"/>
      <c r="F460" s="19"/>
      <c r="G460" s="19"/>
      <c r="H460" s="19"/>
    </row>
    <row r="461" customFormat="false" ht="15" hidden="false" customHeight="true" outlineLevel="0" collapsed="false">
      <c r="B461" s="44"/>
      <c r="C461" s="19"/>
      <c r="D461" s="19"/>
      <c r="E461" s="45"/>
      <c r="F461" s="19"/>
      <c r="G461" s="19"/>
      <c r="H461" s="19"/>
    </row>
    <row r="462" customFormat="false" ht="15" hidden="false" customHeight="true" outlineLevel="0" collapsed="false">
      <c r="B462" s="44"/>
      <c r="C462" s="19"/>
      <c r="D462" s="19"/>
      <c r="E462" s="45"/>
      <c r="F462" s="19"/>
      <c r="G462" s="19"/>
      <c r="H462" s="19"/>
    </row>
    <row r="463" customFormat="false" ht="15" hidden="false" customHeight="true" outlineLevel="0" collapsed="false">
      <c r="B463" s="44"/>
      <c r="C463" s="19"/>
      <c r="D463" s="19"/>
      <c r="E463" s="45"/>
      <c r="F463" s="19"/>
      <c r="G463" s="19"/>
      <c r="H463" s="19"/>
    </row>
    <row r="464" customFormat="false" ht="15" hidden="false" customHeight="true" outlineLevel="0" collapsed="false">
      <c r="B464" s="44"/>
      <c r="C464" s="19"/>
      <c r="D464" s="19"/>
      <c r="E464" s="45"/>
      <c r="F464" s="19"/>
      <c r="G464" s="19"/>
      <c r="H464" s="19"/>
    </row>
    <row r="465" customFormat="false" ht="15" hidden="false" customHeight="true" outlineLevel="0" collapsed="false">
      <c r="B465" s="44"/>
      <c r="C465" s="19"/>
      <c r="D465" s="19"/>
      <c r="E465" s="45"/>
      <c r="F465" s="19"/>
      <c r="G465" s="19"/>
      <c r="H465" s="19"/>
    </row>
    <row r="466" customFormat="false" ht="15" hidden="false" customHeight="true" outlineLevel="0" collapsed="false">
      <c r="B466" s="44"/>
      <c r="C466" s="19"/>
      <c r="D466" s="19"/>
      <c r="E466" s="45"/>
      <c r="F466" s="19"/>
      <c r="G466" s="19"/>
      <c r="H466" s="19"/>
    </row>
    <row r="467" customFormat="false" ht="15" hidden="false" customHeight="true" outlineLevel="0" collapsed="false">
      <c r="B467" s="44"/>
      <c r="C467" s="19"/>
      <c r="D467" s="19"/>
      <c r="E467" s="45"/>
      <c r="F467" s="19"/>
      <c r="G467" s="19"/>
      <c r="H467" s="19"/>
    </row>
    <row r="468" customFormat="false" ht="15" hidden="false" customHeight="true" outlineLevel="0" collapsed="false">
      <c r="B468" s="44"/>
      <c r="C468" s="19"/>
      <c r="D468" s="19"/>
      <c r="E468" s="45"/>
      <c r="F468" s="19"/>
      <c r="G468" s="19"/>
      <c r="H468" s="19"/>
    </row>
    <row r="469" customFormat="false" ht="15" hidden="false" customHeight="true" outlineLevel="0" collapsed="false">
      <c r="B469" s="44"/>
      <c r="C469" s="19"/>
      <c r="D469" s="19"/>
      <c r="E469" s="45"/>
      <c r="F469" s="19"/>
      <c r="G469" s="19"/>
      <c r="H469" s="19"/>
    </row>
    <row r="470" customFormat="false" ht="15" hidden="false" customHeight="true" outlineLevel="0" collapsed="false">
      <c r="B470" s="44"/>
      <c r="C470" s="19"/>
      <c r="D470" s="19"/>
      <c r="E470" s="45"/>
      <c r="F470" s="19"/>
      <c r="G470" s="19"/>
      <c r="H470" s="19"/>
    </row>
    <row r="471" customFormat="false" ht="15" hidden="false" customHeight="true" outlineLevel="0" collapsed="false">
      <c r="B471" s="44"/>
      <c r="C471" s="19"/>
      <c r="D471" s="19"/>
      <c r="E471" s="45"/>
      <c r="F471" s="19"/>
      <c r="G471" s="19"/>
      <c r="H471" s="19"/>
    </row>
    <row r="472" customFormat="false" ht="15" hidden="false" customHeight="true" outlineLevel="0" collapsed="false">
      <c r="B472" s="44"/>
      <c r="C472" s="19"/>
      <c r="D472" s="19"/>
      <c r="E472" s="45"/>
      <c r="F472" s="19"/>
      <c r="G472" s="19"/>
      <c r="H472" s="19"/>
    </row>
    <row r="473" customFormat="false" ht="15" hidden="false" customHeight="true" outlineLevel="0" collapsed="false">
      <c r="B473" s="44"/>
      <c r="C473" s="19"/>
      <c r="D473" s="19"/>
      <c r="E473" s="45"/>
      <c r="F473" s="19"/>
      <c r="G473" s="19"/>
      <c r="H473" s="19"/>
    </row>
    <row r="474" customFormat="false" ht="15" hidden="false" customHeight="true" outlineLevel="0" collapsed="false">
      <c r="B474" s="44"/>
      <c r="C474" s="19"/>
      <c r="D474" s="19"/>
      <c r="E474" s="45"/>
      <c r="F474" s="19"/>
      <c r="G474" s="19"/>
      <c r="H474" s="19"/>
    </row>
    <row r="475" customFormat="false" ht="15" hidden="false" customHeight="true" outlineLevel="0" collapsed="false">
      <c r="B475" s="44"/>
      <c r="C475" s="19"/>
      <c r="D475" s="19"/>
      <c r="E475" s="45"/>
      <c r="F475" s="19"/>
      <c r="G475" s="19"/>
      <c r="H475" s="19"/>
    </row>
    <row r="476" customFormat="false" ht="15" hidden="false" customHeight="true" outlineLevel="0" collapsed="false">
      <c r="B476" s="44"/>
      <c r="C476" s="19"/>
      <c r="D476" s="19"/>
      <c r="E476" s="45"/>
      <c r="F476" s="19"/>
      <c r="G476" s="19"/>
      <c r="H476" s="19"/>
    </row>
    <row r="477" customFormat="false" ht="15" hidden="false" customHeight="true" outlineLevel="0" collapsed="false">
      <c r="B477" s="44"/>
      <c r="C477" s="19"/>
      <c r="D477" s="19"/>
      <c r="E477" s="45"/>
      <c r="F477" s="19"/>
      <c r="G477" s="19"/>
      <c r="H477" s="19"/>
    </row>
    <row r="478" customFormat="false" ht="15" hidden="false" customHeight="true" outlineLevel="0" collapsed="false">
      <c r="B478" s="44"/>
      <c r="C478" s="19"/>
      <c r="D478" s="19"/>
      <c r="E478" s="45"/>
      <c r="F478" s="19"/>
      <c r="G478" s="19"/>
      <c r="H478" s="19"/>
    </row>
    <row r="479" customFormat="false" ht="15" hidden="false" customHeight="true" outlineLevel="0" collapsed="false">
      <c r="B479" s="44"/>
      <c r="C479" s="19"/>
      <c r="D479" s="19"/>
      <c r="E479" s="45"/>
      <c r="F479" s="19"/>
      <c r="G479" s="19"/>
      <c r="H479" s="19"/>
    </row>
    <row r="480" customFormat="false" ht="15" hidden="false" customHeight="true" outlineLevel="0" collapsed="false">
      <c r="B480" s="44"/>
      <c r="C480" s="19"/>
      <c r="D480" s="19"/>
      <c r="E480" s="45"/>
      <c r="F480" s="19"/>
      <c r="G480" s="19"/>
      <c r="H480" s="19"/>
    </row>
    <row r="481" customFormat="false" ht="15" hidden="false" customHeight="true" outlineLevel="0" collapsed="false">
      <c r="B481" s="44"/>
      <c r="C481" s="19"/>
      <c r="D481" s="19"/>
      <c r="E481" s="45"/>
      <c r="F481" s="19"/>
      <c r="G481" s="19"/>
      <c r="H481" s="19"/>
    </row>
    <row r="482" customFormat="false" ht="15" hidden="false" customHeight="true" outlineLevel="0" collapsed="false">
      <c r="B482" s="44"/>
      <c r="C482" s="19"/>
      <c r="D482" s="19"/>
      <c r="E482" s="45"/>
      <c r="F482" s="19"/>
      <c r="G482" s="19"/>
      <c r="H482" s="19"/>
    </row>
    <row r="483" customFormat="false" ht="15" hidden="false" customHeight="true" outlineLevel="0" collapsed="false">
      <c r="B483" s="44"/>
      <c r="C483" s="19"/>
      <c r="D483" s="19"/>
      <c r="E483" s="45"/>
      <c r="F483" s="19"/>
      <c r="G483" s="19"/>
      <c r="H483" s="19"/>
    </row>
    <row r="484" customFormat="false" ht="15" hidden="false" customHeight="true" outlineLevel="0" collapsed="false">
      <c r="B484" s="44"/>
      <c r="C484" s="19"/>
      <c r="D484" s="19"/>
      <c r="E484" s="45"/>
      <c r="F484" s="19"/>
      <c r="G484" s="19"/>
      <c r="H484" s="19"/>
    </row>
    <row r="485" customFormat="false" ht="15" hidden="false" customHeight="true" outlineLevel="0" collapsed="false">
      <c r="B485" s="44"/>
      <c r="C485" s="19"/>
      <c r="D485" s="19"/>
      <c r="E485" s="45"/>
      <c r="F485" s="19"/>
      <c r="G485" s="19"/>
      <c r="H485" s="19"/>
    </row>
    <row r="486" customFormat="false" ht="15" hidden="false" customHeight="true" outlineLevel="0" collapsed="false">
      <c r="B486" s="44"/>
      <c r="C486" s="19"/>
      <c r="D486" s="19"/>
      <c r="E486" s="45"/>
      <c r="F486" s="19"/>
      <c r="G486" s="19"/>
      <c r="H486" s="19"/>
    </row>
    <row r="487" customFormat="false" ht="15" hidden="false" customHeight="true" outlineLevel="0" collapsed="false">
      <c r="B487" s="44"/>
      <c r="C487" s="19"/>
      <c r="D487" s="19"/>
      <c r="E487" s="45"/>
      <c r="F487" s="19"/>
      <c r="G487" s="19"/>
      <c r="H487" s="19"/>
    </row>
    <row r="488" customFormat="false" ht="15" hidden="false" customHeight="true" outlineLevel="0" collapsed="false">
      <c r="B488" s="44"/>
      <c r="C488" s="19"/>
      <c r="D488" s="19"/>
      <c r="E488" s="45"/>
      <c r="F488" s="19"/>
      <c r="G488" s="19"/>
      <c r="H488" s="19"/>
    </row>
    <row r="489" customFormat="false" ht="15" hidden="false" customHeight="true" outlineLevel="0" collapsed="false">
      <c r="B489" s="44"/>
      <c r="C489" s="19"/>
      <c r="D489" s="19"/>
      <c r="E489" s="45"/>
      <c r="F489" s="19"/>
      <c r="G489" s="19"/>
      <c r="H489" s="19"/>
    </row>
    <row r="490" customFormat="false" ht="15" hidden="false" customHeight="true" outlineLevel="0" collapsed="false">
      <c r="B490" s="44"/>
      <c r="C490" s="19"/>
      <c r="D490" s="19"/>
      <c r="E490" s="45"/>
      <c r="F490" s="19"/>
      <c r="G490" s="19"/>
      <c r="H490" s="19"/>
    </row>
    <row r="491" customFormat="false" ht="15" hidden="false" customHeight="true" outlineLevel="0" collapsed="false">
      <c r="B491" s="44"/>
      <c r="C491" s="19"/>
      <c r="D491" s="19"/>
      <c r="E491" s="45"/>
      <c r="F491" s="19"/>
      <c r="G491" s="19"/>
      <c r="H491" s="19"/>
    </row>
    <row r="492" customFormat="false" ht="15" hidden="false" customHeight="true" outlineLevel="0" collapsed="false">
      <c r="B492" s="44"/>
      <c r="C492" s="19"/>
      <c r="D492" s="19"/>
      <c r="E492" s="45"/>
      <c r="F492" s="19"/>
      <c r="G492" s="19"/>
      <c r="H492" s="19"/>
    </row>
    <row r="493" customFormat="false" ht="15" hidden="false" customHeight="true" outlineLevel="0" collapsed="false">
      <c r="B493" s="44"/>
      <c r="C493" s="19"/>
      <c r="D493" s="19"/>
      <c r="E493" s="45"/>
      <c r="F493" s="19"/>
      <c r="G493" s="19"/>
      <c r="H493" s="19"/>
    </row>
    <row r="494" customFormat="false" ht="15" hidden="false" customHeight="true" outlineLevel="0" collapsed="false">
      <c r="B494" s="44"/>
      <c r="C494" s="19"/>
      <c r="D494" s="19"/>
      <c r="E494" s="45"/>
      <c r="F494" s="19"/>
      <c r="G494" s="19"/>
      <c r="H494" s="19"/>
    </row>
    <row r="495" customFormat="false" ht="15" hidden="false" customHeight="true" outlineLevel="0" collapsed="false">
      <c r="B495" s="44"/>
      <c r="C495" s="19"/>
      <c r="D495" s="19"/>
      <c r="E495" s="45"/>
      <c r="F495" s="19"/>
      <c r="G495" s="19"/>
      <c r="H495" s="19"/>
    </row>
    <row r="496" customFormat="false" ht="15" hidden="false" customHeight="true" outlineLevel="0" collapsed="false">
      <c r="B496" s="44"/>
      <c r="C496" s="19"/>
      <c r="D496" s="19"/>
      <c r="E496" s="45"/>
      <c r="F496" s="19"/>
      <c r="G496" s="19"/>
      <c r="H496" s="19"/>
    </row>
    <row r="497" customFormat="false" ht="15" hidden="false" customHeight="true" outlineLevel="0" collapsed="false">
      <c r="B497" s="44"/>
      <c r="C497" s="19"/>
      <c r="D497" s="19"/>
      <c r="E497" s="45"/>
      <c r="F497" s="19"/>
      <c r="G497" s="19"/>
      <c r="H497" s="19"/>
    </row>
    <row r="498" customFormat="false" ht="15" hidden="false" customHeight="true" outlineLevel="0" collapsed="false">
      <c r="B498" s="44"/>
      <c r="C498" s="19"/>
      <c r="D498" s="19"/>
      <c r="E498" s="45"/>
      <c r="F498" s="19"/>
      <c r="G498" s="19"/>
      <c r="H498" s="19"/>
    </row>
    <row r="499" customFormat="false" ht="15" hidden="false" customHeight="true" outlineLevel="0" collapsed="false">
      <c r="B499" s="44"/>
      <c r="C499" s="19"/>
      <c r="D499" s="19"/>
      <c r="E499" s="45"/>
      <c r="F499" s="19"/>
      <c r="G499" s="19"/>
      <c r="H499" s="19"/>
    </row>
    <row r="500" customFormat="false" ht="15" hidden="false" customHeight="true" outlineLevel="0" collapsed="false">
      <c r="B500" s="44"/>
      <c r="C500" s="19"/>
      <c r="D500" s="19"/>
      <c r="E500" s="45"/>
      <c r="F500" s="19"/>
      <c r="G500" s="19"/>
      <c r="H500" s="19"/>
    </row>
  </sheetData>
  <mergeCells count="1">
    <mergeCell ref="B3:H3"/>
  </mergeCells>
  <dataValidations count="1">
    <dataValidation allowBlank="true" errorStyle="stop" operator="between" showDropDown="false" showErrorMessage="false" showInputMessage="false" sqref="C6:C500" type="list">
      <formula1>$L$5:$L$17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14" min="3" style="1" width="11"/>
    <col collapsed="false" customWidth="true" hidden="false" outlineLevel="0" max="15" min="15" style="1" width="14"/>
  </cols>
  <sheetData>
    <row r="2" customFormat="false" ht="17.25" hidden="false" customHeight="true" outlineLevel="0" collapsed="false">
      <c r="B2" s="9" t="s">
        <v>956</v>
      </c>
    </row>
    <row r="3" customFormat="false" ht="15" hidden="false" customHeight="true" outlineLevel="0" collapsed="false">
      <c r="B3" s="3" t="s">
        <v>957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customFormat="false" ht="15" hidden="false" customHeight="true" outlineLevel="0" collapsed="false">
      <c r="B5" s="6" t="s">
        <v>958</v>
      </c>
      <c r="C5" s="46" t="n">
        <v>2026</v>
      </c>
    </row>
    <row r="7" customFormat="false" ht="15" hidden="false" customHeight="true" outlineLevel="0" collapsed="false">
      <c r="B7" s="10" t="s">
        <v>959</v>
      </c>
      <c r="C7" s="10" t="s">
        <v>960</v>
      </c>
      <c r="D7" s="10" t="s">
        <v>961</v>
      </c>
      <c r="E7" s="10" t="s">
        <v>962</v>
      </c>
      <c r="F7" s="10" t="s">
        <v>963</v>
      </c>
      <c r="G7" s="10" t="s">
        <v>964</v>
      </c>
      <c r="H7" s="10" t="s">
        <v>965</v>
      </c>
      <c r="I7" s="10" t="s">
        <v>966</v>
      </c>
      <c r="J7" s="10" t="s">
        <v>967</v>
      </c>
      <c r="K7" s="10" t="s">
        <v>968</v>
      </c>
      <c r="L7" s="10" t="s">
        <v>969</v>
      </c>
      <c r="M7" s="10" t="s">
        <v>970</v>
      </c>
      <c r="N7" s="10" t="s">
        <v>971</v>
      </c>
      <c r="O7" s="10" t="s">
        <v>972</v>
      </c>
    </row>
    <row r="8" customFormat="false" ht="15" hidden="false" customHeight="true" outlineLevel="0" collapsed="false">
      <c r="B8" s="47" t="s">
        <v>973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customFormat="false" ht="15" hidden="false" customHeight="true" outlineLevel="0" collapsed="false">
      <c r="B9" s="33" t="s">
        <v>974</v>
      </c>
      <c r="C9" s="13" t="n">
        <f aca="false">SUMPRODUCT((MONTH('Daily Sales'!$B$6:$B$371)=1)*(YEAR('Daily Sales'!$B$6:$B$371)=$C$5)*'Daily Sales'!$D$6:$D$371)</f>
        <v>1789.8</v>
      </c>
      <c r="D9" s="13" t="n">
        <f aca="false">SUMPRODUCT((MONTH('Daily Sales'!$B$6:$B$371)=2)*(YEAR('Daily Sales'!$B$6:$B$371)=$C$5)*'Daily Sales'!$D$6:$D$371)</f>
        <v>1712.7</v>
      </c>
      <c r="E9" s="13" t="n">
        <f aca="false">SUMPRODUCT((MONTH('Daily Sales'!$B$6:$B$371)=3)*(YEAR('Daily Sales'!$B$6:$B$371)=$C$5)*'Daily Sales'!$D$6:$D$371)</f>
        <v>2405.44</v>
      </c>
      <c r="F9" s="13" t="n">
        <f aca="false">SUMPRODUCT((MONTH('Daily Sales'!$B$6:$B$371)=4)*(YEAR('Daily Sales'!$B$6:$B$371)=$C$5)*'Daily Sales'!$D$6:$D$371)</f>
        <v>1293.05</v>
      </c>
      <c r="G9" s="13" t="n">
        <f aca="false">SUMPRODUCT((MONTH('Daily Sales'!$B$6:$B$371)=5)*(YEAR('Daily Sales'!$B$6:$B$371)=$C$5)*'Daily Sales'!$D$6:$D$371)</f>
        <v>0</v>
      </c>
      <c r="H9" s="13" t="n">
        <f aca="false">SUMPRODUCT((MONTH('Daily Sales'!$B$6:$B$371)=6)*(YEAR('Daily Sales'!$B$6:$B$371)=$C$5)*'Daily Sales'!$D$6:$D$371)</f>
        <v>0</v>
      </c>
      <c r="I9" s="13" t="n">
        <f aca="false">SUMPRODUCT((MONTH('Daily Sales'!$B$6:$B$371)=7)*(YEAR('Daily Sales'!$B$6:$B$371)=$C$5)*'Daily Sales'!$D$6:$D$371)</f>
        <v>0</v>
      </c>
      <c r="J9" s="13" t="n">
        <f aca="false">SUMPRODUCT((MONTH('Daily Sales'!$B$6:$B$371)=8)*(YEAR('Daily Sales'!$B$6:$B$371)=$C$5)*'Daily Sales'!$D$6:$D$371)</f>
        <v>0</v>
      </c>
      <c r="K9" s="13" t="n">
        <f aca="false">SUMPRODUCT((MONTH('Daily Sales'!$B$6:$B$371)=9)*(YEAR('Daily Sales'!$B$6:$B$371)=$C$5)*'Daily Sales'!$D$6:$D$371)</f>
        <v>0</v>
      </c>
      <c r="L9" s="13" t="n">
        <f aca="false">SUMPRODUCT((MONTH('Daily Sales'!$B$6:$B$371)=10)*(YEAR('Daily Sales'!$B$6:$B$371)=$C$5)*'Daily Sales'!$D$6:$D$371)</f>
        <v>0</v>
      </c>
      <c r="M9" s="13" t="n">
        <f aca="false">SUMPRODUCT((MONTH('Daily Sales'!$B$6:$B$371)=11)*(YEAR('Daily Sales'!$B$6:$B$371)=$C$5)*'Daily Sales'!$D$6:$D$371)</f>
        <v>0</v>
      </c>
      <c r="N9" s="13" t="n">
        <f aca="false">SUMPRODUCT((MONTH('Daily Sales'!$B$6:$B$371)=12)*(YEAR('Daily Sales'!$B$6:$B$371)=$C$5)*'Daily Sales'!$D$6:$D$371)</f>
        <v>0</v>
      </c>
      <c r="O9" s="48" t="n">
        <f aca="false">SUM(C9:N9)</f>
        <v>7200.99</v>
      </c>
    </row>
    <row r="10" customFormat="false" ht="15" hidden="false" customHeight="true" outlineLevel="0" collapsed="false">
      <c r="B10" s="33" t="s">
        <v>975</v>
      </c>
      <c r="C10" s="13" t="n">
        <f aca="false">SUMPRODUCT((MONTH('Daily Sales'!$B$6:$B$371)=1)*(YEAR('Daily Sales'!$B$6:$B$371)=$C$5)*'Daily Sales'!$E$6:$E$371)</f>
        <v>17.73</v>
      </c>
      <c r="D10" s="13" t="n">
        <f aca="false">SUMPRODUCT((MONTH('Daily Sales'!$B$6:$B$371)=2)*(YEAR('Daily Sales'!$B$6:$B$371)=$C$5)*'Daily Sales'!$E$6:$E$371)</f>
        <v>20.12</v>
      </c>
      <c r="E10" s="13" t="n">
        <f aca="false">SUMPRODUCT((MONTH('Daily Sales'!$B$6:$B$371)=3)*(YEAR('Daily Sales'!$B$6:$B$371)=$C$5)*'Daily Sales'!$E$6:$E$371)</f>
        <v>31.77</v>
      </c>
      <c r="F10" s="13" t="n">
        <f aca="false">SUMPRODUCT((MONTH('Daily Sales'!$B$6:$B$371)=4)*(YEAR('Daily Sales'!$B$6:$B$371)=$C$5)*'Daily Sales'!$E$6:$E$371)</f>
        <v>0</v>
      </c>
      <c r="G10" s="13" t="n">
        <f aca="false">SUMPRODUCT((MONTH('Daily Sales'!$B$6:$B$371)=5)*(YEAR('Daily Sales'!$B$6:$B$371)=$C$5)*'Daily Sales'!$E$6:$E$371)</f>
        <v>0</v>
      </c>
      <c r="H10" s="13" t="n">
        <f aca="false">SUMPRODUCT((MONTH('Daily Sales'!$B$6:$B$371)=6)*(YEAR('Daily Sales'!$B$6:$B$371)=$C$5)*'Daily Sales'!$E$6:$E$371)</f>
        <v>0</v>
      </c>
      <c r="I10" s="13" t="n">
        <f aca="false">SUMPRODUCT((MONTH('Daily Sales'!$B$6:$B$371)=7)*(YEAR('Daily Sales'!$B$6:$B$371)=$C$5)*'Daily Sales'!$E$6:$E$371)</f>
        <v>0</v>
      </c>
      <c r="J10" s="13" t="n">
        <f aca="false">SUMPRODUCT((MONTH('Daily Sales'!$B$6:$B$371)=8)*(YEAR('Daily Sales'!$B$6:$B$371)=$C$5)*'Daily Sales'!$E$6:$E$371)</f>
        <v>0</v>
      </c>
      <c r="K10" s="13" t="n">
        <f aca="false">SUMPRODUCT((MONTH('Daily Sales'!$B$6:$B$371)=9)*(YEAR('Daily Sales'!$B$6:$B$371)=$C$5)*'Daily Sales'!$E$6:$E$371)</f>
        <v>0</v>
      </c>
      <c r="L10" s="13" t="n">
        <f aca="false">SUMPRODUCT((MONTH('Daily Sales'!$B$6:$B$371)=10)*(YEAR('Daily Sales'!$B$6:$B$371)=$C$5)*'Daily Sales'!$E$6:$E$371)</f>
        <v>0</v>
      </c>
      <c r="M10" s="13" t="n">
        <f aca="false">SUMPRODUCT((MONTH('Daily Sales'!$B$6:$B$371)=11)*(YEAR('Daily Sales'!$B$6:$B$371)=$C$5)*'Daily Sales'!$E$6:$E$371)</f>
        <v>0</v>
      </c>
      <c r="N10" s="13" t="n">
        <f aca="false">SUMPRODUCT((MONTH('Daily Sales'!$B$6:$B$371)=12)*(YEAR('Daily Sales'!$B$6:$B$371)=$C$5)*'Daily Sales'!$E$6:$E$371)</f>
        <v>0</v>
      </c>
      <c r="O10" s="48" t="n">
        <f aca="false">SUM(C10:N10)</f>
        <v>69.62</v>
      </c>
    </row>
    <row r="11" customFormat="false" ht="15" hidden="false" customHeight="true" outlineLevel="0" collapsed="false">
      <c r="B11" s="33" t="s">
        <v>976</v>
      </c>
      <c r="C11" s="13" t="n">
        <f aca="false">SUMPRODUCT((MONTH('Daily Sales'!$B$6:$B$371)=1)*(YEAR('Daily Sales'!$B$6:$B$371)=$C$5)*IF('Daily Sales'!$G$6:$G$371&gt;0,'Daily Sales'!$G$6:$G$371,'Daily Sales'!$F$6:$F$371))</f>
        <v>0</v>
      </c>
      <c r="D11" s="13" t="n">
        <f aca="false">SUMPRODUCT((MONTH('Daily Sales'!$B$6:$B$371)=2)*(YEAR('Daily Sales'!$B$6:$B$371)=$C$5)*IF('Daily Sales'!$G$6:$G$371&gt;0,'Daily Sales'!$G$6:$G$371,'Daily Sales'!$F$6:$F$371))</f>
        <v>0</v>
      </c>
      <c r="E11" s="13" t="n">
        <f aca="false">SUMPRODUCT((MONTH('Daily Sales'!$B$6:$B$371)=3)*(YEAR('Daily Sales'!$B$6:$B$371)=$C$5)*IF('Daily Sales'!$G$6:$G$371&gt;0,'Daily Sales'!$G$6:$G$371,'Daily Sales'!$F$6:$F$371))</f>
        <v>0</v>
      </c>
      <c r="F11" s="13" t="n">
        <f aca="false">SUMPRODUCT((MONTH('Daily Sales'!$B$6:$B$371)=4)*(YEAR('Daily Sales'!$B$6:$B$371)=$C$5)*IF('Daily Sales'!$G$6:$G$371&gt;0,'Daily Sales'!$G$6:$G$371,'Daily Sales'!$F$6:$F$371))</f>
        <v>0</v>
      </c>
      <c r="G11" s="13" t="n">
        <f aca="false">SUMPRODUCT((MONTH('Daily Sales'!$B$6:$B$371)=5)*(YEAR('Daily Sales'!$B$6:$B$371)=$C$5)*IF('Daily Sales'!$G$6:$G$371&gt;0,'Daily Sales'!$G$6:$G$371,'Daily Sales'!$F$6:$F$371))</f>
        <v>0</v>
      </c>
      <c r="H11" s="13" t="n">
        <f aca="false">SUMPRODUCT((MONTH('Daily Sales'!$B$6:$B$371)=6)*(YEAR('Daily Sales'!$B$6:$B$371)=$C$5)*IF('Daily Sales'!$G$6:$G$371&gt;0,'Daily Sales'!$G$6:$G$371,'Daily Sales'!$F$6:$F$371))</f>
        <v>0</v>
      </c>
      <c r="I11" s="13" t="n">
        <f aca="false">SUMPRODUCT((MONTH('Daily Sales'!$B$6:$B$371)=7)*(YEAR('Daily Sales'!$B$6:$B$371)=$C$5)*IF('Daily Sales'!$G$6:$G$371&gt;0,'Daily Sales'!$G$6:$G$371,'Daily Sales'!$F$6:$F$371))</f>
        <v>0</v>
      </c>
      <c r="J11" s="13" t="n">
        <f aca="false">SUMPRODUCT((MONTH('Daily Sales'!$B$6:$B$371)=8)*(YEAR('Daily Sales'!$B$6:$B$371)=$C$5)*IF('Daily Sales'!$G$6:$G$371&gt;0,'Daily Sales'!$G$6:$G$371,'Daily Sales'!$F$6:$F$371))</f>
        <v>0</v>
      </c>
      <c r="K11" s="13" t="n">
        <f aca="false">SUMPRODUCT((MONTH('Daily Sales'!$B$6:$B$371)=9)*(YEAR('Daily Sales'!$B$6:$B$371)=$C$5)*IF('Daily Sales'!$G$6:$G$371&gt;0,'Daily Sales'!$G$6:$G$371,'Daily Sales'!$F$6:$F$371))</f>
        <v>0</v>
      </c>
      <c r="L11" s="13" t="n">
        <f aca="false">SUMPRODUCT((MONTH('Daily Sales'!$B$6:$B$371)=10)*(YEAR('Daily Sales'!$B$6:$B$371)=$C$5)*IF('Daily Sales'!$G$6:$G$371&gt;0,'Daily Sales'!$G$6:$G$371,'Daily Sales'!$F$6:$F$371))</f>
        <v>0</v>
      </c>
      <c r="M11" s="13" t="n">
        <f aca="false">SUMPRODUCT((MONTH('Daily Sales'!$B$6:$B$371)=11)*(YEAR('Daily Sales'!$B$6:$B$371)=$C$5)*IF('Daily Sales'!$G$6:$G$371&gt;0,'Daily Sales'!$G$6:$G$371,'Daily Sales'!$F$6:$F$371))</f>
        <v>0</v>
      </c>
      <c r="N11" s="13" t="n">
        <f aca="false">SUMPRODUCT((MONTH('Daily Sales'!$B$6:$B$371)=12)*(YEAR('Daily Sales'!$B$6:$B$371)=$C$5)*IF('Daily Sales'!$G$6:$G$371&gt;0,'Daily Sales'!$G$6:$G$371,'Daily Sales'!$F$6:$F$371))</f>
        <v>0</v>
      </c>
      <c r="O11" s="48" t="n">
        <f aca="false">SUM(C11:N11)</f>
        <v>0</v>
      </c>
    </row>
    <row r="12" customFormat="false" ht="15" hidden="false" customHeight="true" outlineLevel="0" collapsed="false">
      <c r="B12" s="47" t="s">
        <v>977</v>
      </c>
      <c r="C12" s="49" t="n">
        <f aca="false">C9+C10+C11</f>
        <v>1807.53</v>
      </c>
      <c r="D12" s="49" t="n">
        <f aca="false">D9+D10+D11</f>
        <v>1732.82</v>
      </c>
      <c r="E12" s="49" t="n">
        <f aca="false">E9+E10+E11</f>
        <v>2437.21</v>
      </c>
      <c r="F12" s="49" t="n">
        <f aca="false">F9+F10+F11</f>
        <v>1293.05</v>
      </c>
      <c r="G12" s="49" t="n">
        <f aca="false">G9+G10+G11</f>
        <v>0</v>
      </c>
      <c r="H12" s="49" t="n">
        <f aca="false">H9+H10+H11</f>
        <v>0</v>
      </c>
      <c r="I12" s="49" t="n">
        <f aca="false">I9+I10+I11</f>
        <v>0</v>
      </c>
      <c r="J12" s="49" t="n">
        <f aca="false">J9+J10+J11</f>
        <v>0</v>
      </c>
      <c r="K12" s="49" t="n">
        <f aca="false">K9+K10+K11</f>
        <v>0</v>
      </c>
      <c r="L12" s="49" t="n">
        <f aca="false">L9+L10+L11</f>
        <v>0</v>
      </c>
      <c r="M12" s="49" t="n">
        <f aca="false">M9+M10+M11</f>
        <v>0</v>
      </c>
      <c r="N12" s="49" t="n">
        <f aca="false">N9+N10+N11</f>
        <v>0</v>
      </c>
      <c r="O12" s="48" t="n">
        <f aca="false">SUM(C12:N12)</f>
        <v>7270.61</v>
      </c>
    </row>
    <row r="13" customFormat="false" ht="15" hidden="false" customHeight="true" outlineLevel="0" collapsed="false">
      <c r="B13" s="33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customFormat="false" ht="15" hidden="false" customHeight="true" outlineLevel="0" collapsed="false">
      <c r="B14" s="47" t="s">
        <v>978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customFormat="false" ht="15" hidden="false" customHeight="true" outlineLevel="0" collapsed="false">
      <c r="B15" s="33" t="s">
        <v>867</v>
      </c>
      <c r="C15" s="13" t="n">
        <f aca="false">SUMPRODUCT((MONTH(Expenses!$B$6:$B$500)=1)*(YEAR(Expenses!$B$6:$B$500)=$C$5)*(Expenses!$C$6:$C$500="Stock — coffee")*Expenses!$E$6:$E$500)</f>
        <v>38</v>
      </c>
      <c r="D15" s="13" t="n">
        <f aca="false">SUMPRODUCT((MONTH(Expenses!$B$6:$B$500)=2)*(YEAR(Expenses!$B$6:$B$500)=$C$5)*(Expenses!$C$6:$C$500="Stock — coffee")*Expenses!$E$6:$E$500)</f>
        <v>114</v>
      </c>
      <c r="E15" s="13" t="n">
        <f aca="false">SUMPRODUCT((MONTH(Expenses!$B$6:$B$500)=3)*(YEAR(Expenses!$B$6:$B$500)=$C$5)*(Expenses!$C$6:$C$500="Stock — coffee")*Expenses!$E$6:$E$500)</f>
        <v>76</v>
      </c>
      <c r="F15" s="13" t="n">
        <f aca="false">SUMPRODUCT((MONTH(Expenses!$B$6:$B$500)=4)*(YEAR(Expenses!$B$6:$B$500)=$C$5)*(Expenses!$C$6:$C$500="Stock — coffee")*Expenses!$E$6:$E$500)</f>
        <v>0</v>
      </c>
      <c r="G15" s="13" t="n">
        <f aca="false">SUMPRODUCT((MONTH(Expenses!$B$6:$B$500)=5)*(YEAR(Expenses!$B$6:$B$500)=$C$5)*(Expenses!$C$6:$C$500="Stock — coffee")*Expenses!$E$6:$E$500)</f>
        <v>0</v>
      </c>
      <c r="H15" s="13" t="n">
        <f aca="false">SUMPRODUCT((MONTH(Expenses!$B$6:$B$500)=6)*(YEAR(Expenses!$B$6:$B$500)=$C$5)*(Expenses!$C$6:$C$500="Stock — coffee")*Expenses!$E$6:$E$500)</f>
        <v>0</v>
      </c>
      <c r="I15" s="13" t="n">
        <f aca="false">SUMPRODUCT((MONTH(Expenses!$B$6:$B$500)=7)*(YEAR(Expenses!$B$6:$B$500)=$C$5)*(Expenses!$C$6:$C$500="Stock — coffee")*Expenses!$E$6:$E$500)</f>
        <v>0</v>
      </c>
      <c r="J15" s="13" t="n">
        <f aca="false">SUMPRODUCT((MONTH(Expenses!$B$6:$B$500)=8)*(YEAR(Expenses!$B$6:$B$500)=$C$5)*(Expenses!$C$6:$C$500="Stock — coffee")*Expenses!$E$6:$E$500)</f>
        <v>0</v>
      </c>
      <c r="K15" s="13" t="n">
        <f aca="false">SUMPRODUCT((MONTH(Expenses!$B$6:$B$500)=9)*(YEAR(Expenses!$B$6:$B$500)=$C$5)*(Expenses!$C$6:$C$500="Stock — coffee")*Expenses!$E$6:$E$500)</f>
        <v>0</v>
      </c>
      <c r="L15" s="13" t="n">
        <f aca="false">SUMPRODUCT((MONTH(Expenses!$B$6:$B$500)=10)*(YEAR(Expenses!$B$6:$B$500)=$C$5)*(Expenses!$C$6:$C$500="Stock — coffee")*Expenses!$E$6:$E$500)</f>
        <v>0</v>
      </c>
      <c r="M15" s="13" t="n">
        <f aca="false">SUMPRODUCT((MONTH(Expenses!$B$6:$B$500)=11)*(YEAR(Expenses!$B$6:$B$500)=$C$5)*(Expenses!$C$6:$C$500="Stock — coffee")*Expenses!$E$6:$E$500)</f>
        <v>0</v>
      </c>
      <c r="N15" s="13" t="n">
        <f aca="false">SUMPRODUCT((MONTH(Expenses!$B$6:$B$500)=12)*(YEAR(Expenses!$B$6:$B$500)=$C$5)*(Expenses!$C$6:$C$500="Stock — coffee")*Expenses!$E$6:$E$500)</f>
        <v>0</v>
      </c>
      <c r="O15" s="48" t="n">
        <f aca="false">SUM(C15:N15)</f>
        <v>228</v>
      </c>
    </row>
    <row r="16" customFormat="false" ht="15" hidden="false" customHeight="true" outlineLevel="0" collapsed="false">
      <c r="B16" s="33" t="s">
        <v>871</v>
      </c>
      <c r="C16" s="13" t="n">
        <f aca="false">SUMPRODUCT((MONTH(Expenses!$B$6:$B$500)=1)*(YEAR(Expenses!$B$6:$B$500)=$C$5)*(Expenses!$C$6:$C$500="Stock — dairy")*Expenses!$E$6:$E$500)</f>
        <v>0</v>
      </c>
      <c r="D16" s="13" t="n">
        <f aca="false">SUMPRODUCT((MONTH(Expenses!$B$6:$B$500)=2)*(YEAR(Expenses!$B$6:$B$500)=$C$5)*(Expenses!$C$6:$C$500="Stock — dairy")*Expenses!$E$6:$E$500)</f>
        <v>0</v>
      </c>
      <c r="E16" s="13" t="n">
        <f aca="false">SUMPRODUCT((MONTH(Expenses!$B$6:$B$500)=3)*(YEAR(Expenses!$B$6:$B$500)=$C$5)*(Expenses!$C$6:$C$500="Stock — dairy")*Expenses!$E$6:$E$500)</f>
        <v>0</v>
      </c>
      <c r="F16" s="13" t="n">
        <f aca="false">SUMPRODUCT((MONTH(Expenses!$B$6:$B$500)=4)*(YEAR(Expenses!$B$6:$B$500)=$C$5)*(Expenses!$C$6:$C$500="Stock — dairy")*Expenses!$E$6:$E$500)</f>
        <v>0</v>
      </c>
      <c r="G16" s="13" t="n">
        <f aca="false">SUMPRODUCT((MONTH(Expenses!$B$6:$B$500)=5)*(YEAR(Expenses!$B$6:$B$500)=$C$5)*(Expenses!$C$6:$C$500="Stock — dairy")*Expenses!$E$6:$E$500)</f>
        <v>0</v>
      </c>
      <c r="H16" s="13" t="n">
        <f aca="false">SUMPRODUCT((MONTH(Expenses!$B$6:$B$500)=6)*(YEAR(Expenses!$B$6:$B$500)=$C$5)*(Expenses!$C$6:$C$500="Stock — dairy")*Expenses!$E$6:$E$500)</f>
        <v>0</v>
      </c>
      <c r="I16" s="13" t="n">
        <f aca="false">SUMPRODUCT((MONTH(Expenses!$B$6:$B$500)=7)*(YEAR(Expenses!$B$6:$B$500)=$C$5)*(Expenses!$C$6:$C$500="Stock — dairy")*Expenses!$E$6:$E$500)</f>
        <v>0</v>
      </c>
      <c r="J16" s="13" t="n">
        <f aca="false">SUMPRODUCT((MONTH(Expenses!$B$6:$B$500)=8)*(YEAR(Expenses!$B$6:$B$500)=$C$5)*(Expenses!$C$6:$C$500="Stock — dairy")*Expenses!$E$6:$E$500)</f>
        <v>0</v>
      </c>
      <c r="K16" s="13" t="n">
        <f aca="false">SUMPRODUCT((MONTH(Expenses!$B$6:$B$500)=9)*(YEAR(Expenses!$B$6:$B$500)=$C$5)*(Expenses!$C$6:$C$500="Stock — dairy")*Expenses!$E$6:$E$500)</f>
        <v>0</v>
      </c>
      <c r="L16" s="13" t="n">
        <f aca="false">SUMPRODUCT((MONTH(Expenses!$B$6:$B$500)=10)*(YEAR(Expenses!$B$6:$B$500)=$C$5)*(Expenses!$C$6:$C$500="Stock — dairy")*Expenses!$E$6:$E$500)</f>
        <v>0</v>
      </c>
      <c r="M16" s="13" t="n">
        <f aca="false">SUMPRODUCT((MONTH(Expenses!$B$6:$B$500)=11)*(YEAR(Expenses!$B$6:$B$500)=$C$5)*(Expenses!$C$6:$C$500="Stock — dairy")*Expenses!$E$6:$E$500)</f>
        <v>0</v>
      </c>
      <c r="N16" s="13" t="n">
        <f aca="false">SUMPRODUCT((MONTH(Expenses!$B$6:$B$500)=12)*(YEAR(Expenses!$B$6:$B$500)=$C$5)*(Expenses!$C$6:$C$500="Stock — dairy")*Expenses!$E$6:$E$500)</f>
        <v>0</v>
      </c>
      <c r="O16" s="48" t="n">
        <f aca="false">SUM(C16:N16)</f>
        <v>0</v>
      </c>
    </row>
    <row r="17" customFormat="false" ht="15" hidden="false" customHeight="true" outlineLevel="0" collapsed="false">
      <c r="B17" s="33" t="s">
        <v>875</v>
      </c>
      <c r="C17" s="13" t="n">
        <f aca="false">SUMPRODUCT((MONTH(Expenses!$B$6:$B$500)=1)*(YEAR(Expenses!$B$6:$B$500)=$C$5)*(Expenses!$C$6:$C$500="Stock — syrups")*Expenses!$E$6:$E$500)</f>
        <v>0</v>
      </c>
      <c r="D17" s="13" t="n">
        <f aca="false">SUMPRODUCT((MONTH(Expenses!$B$6:$B$500)=2)*(YEAR(Expenses!$B$6:$B$500)=$C$5)*(Expenses!$C$6:$C$500="Stock — syrups")*Expenses!$E$6:$E$500)</f>
        <v>0</v>
      </c>
      <c r="E17" s="13" t="n">
        <f aca="false">SUMPRODUCT((MONTH(Expenses!$B$6:$B$500)=3)*(YEAR(Expenses!$B$6:$B$500)=$C$5)*(Expenses!$C$6:$C$500="Stock — syrups")*Expenses!$E$6:$E$500)</f>
        <v>0</v>
      </c>
      <c r="F17" s="13" t="n">
        <f aca="false">SUMPRODUCT((MONTH(Expenses!$B$6:$B$500)=4)*(YEAR(Expenses!$B$6:$B$500)=$C$5)*(Expenses!$C$6:$C$500="Stock — syrups")*Expenses!$E$6:$E$500)</f>
        <v>0</v>
      </c>
      <c r="G17" s="13" t="n">
        <f aca="false">SUMPRODUCT((MONTH(Expenses!$B$6:$B$500)=5)*(YEAR(Expenses!$B$6:$B$500)=$C$5)*(Expenses!$C$6:$C$500="Stock — syrups")*Expenses!$E$6:$E$500)</f>
        <v>0</v>
      </c>
      <c r="H17" s="13" t="n">
        <f aca="false">SUMPRODUCT((MONTH(Expenses!$B$6:$B$500)=6)*(YEAR(Expenses!$B$6:$B$500)=$C$5)*(Expenses!$C$6:$C$500="Stock — syrups")*Expenses!$E$6:$E$500)</f>
        <v>0</v>
      </c>
      <c r="I17" s="13" t="n">
        <f aca="false">SUMPRODUCT((MONTH(Expenses!$B$6:$B$500)=7)*(YEAR(Expenses!$B$6:$B$500)=$C$5)*(Expenses!$C$6:$C$500="Stock — syrups")*Expenses!$E$6:$E$500)</f>
        <v>0</v>
      </c>
      <c r="J17" s="13" t="n">
        <f aca="false">SUMPRODUCT((MONTH(Expenses!$B$6:$B$500)=8)*(YEAR(Expenses!$B$6:$B$500)=$C$5)*(Expenses!$C$6:$C$500="Stock — syrups")*Expenses!$E$6:$E$500)</f>
        <v>0</v>
      </c>
      <c r="K17" s="13" t="n">
        <f aca="false">SUMPRODUCT((MONTH(Expenses!$B$6:$B$500)=9)*(YEAR(Expenses!$B$6:$B$500)=$C$5)*(Expenses!$C$6:$C$500="Stock — syrups")*Expenses!$E$6:$E$500)</f>
        <v>0</v>
      </c>
      <c r="L17" s="13" t="n">
        <f aca="false">SUMPRODUCT((MONTH(Expenses!$B$6:$B$500)=10)*(YEAR(Expenses!$B$6:$B$500)=$C$5)*(Expenses!$C$6:$C$500="Stock — syrups")*Expenses!$E$6:$E$500)</f>
        <v>0</v>
      </c>
      <c r="M17" s="13" t="n">
        <f aca="false">SUMPRODUCT((MONTH(Expenses!$B$6:$B$500)=11)*(YEAR(Expenses!$B$6:$B$500)=$C$5)*(Expenses!$C$6:$C$500="Stock — syrups")*Expenses!$E$6:$E$500)</f>
        <v>0</v>
      </c>
      <c r="N17" s="13" t="n">
        <f aca="false">SUMPRODUCT((MONTH(Expenses!$B$6:$B$500)=12)*(YEAR(Expenses!$B$6:$B$500)=$C$5)*(Expenses!$C$6:$C$500="Stock — syrups")*Expenses!$E$6:$E$500)</f>
        <v>0</v>
      </c>
      <c r="O17" s="48" t="n">
        <f aca="false">SUM(C17:N17)</f>
        <v>0</v>
      </c>
    </row>
    <row r="18" customFormat="false" ht="15" hidden="false" customHeight="true" outlineLevel="0" collapsed="false">
      <c r="B18" s="33" t="s">
        <v>877</v>
      </c>
      <c r="C18" s="13" t="n">
        <f aca="false">SUMPRODUCT((MONTH(Expenses!$B$6:$B$500)=1)*(YEAR(Expenses!$B$6:$B$500)=$C$5)*(Expenses!$C$6:$C$500="Stock — cakes")*Expenses!$E$6:$E$500)</f>
        <v>0</v>
      </c>
      <c r="D18" s="13" t="n">
        <f aca="false">SUMPRODUCT((MONTH(Expenses!$B$6:$B$500)=2)*(YEAR(Expenses!$B$6:$B$500)=$C$5)*(Expenses!$C$6:$C$500="Stock — cakes")*Expenses!$E$6:$E$500)</f>
        <v>0</v>
      </c>
      <c r="E18" s="13" t="n">
        <f aca="false">SUMPRODUCT((MONTH(Expenses!$B$6:$B$500)=3)*(YEAR(Expenses!$B$6:$B$500)=$C$5)*(Expenses!$C$6:$C$500="Stock — cakes")*Expenses!$E$6:$E$500)</f>
        <v>0</v>
      </c>
      <c r="F18" s="13" t="n">
        <f aca="false">SUMPRODUCT((MONTH(Expenses!$B$6:$B$500)=4)*(YEAR(Expenses!$B$6:$B$500)=$C$5)*(Expenses!$C$6:$C$500="Stock — cakes")*Expenses!$E$6:$E$500)</f>
        <v>0</v>
      </c>
      <c r="G18" s="13" t="n">
        <f aca="false">SUMPRODUCT((MONTH(Expenses!$B$6:$B$500)=5)*(YEAR(Expenses!$B$6:$B$500)=$C$5)*(Expenses!$C$6:$C$500="Stock — cakes")*Expenses!$E$6:$E$500)</f>
        <v>0</v>
      </c>
      <c r="H18" s="13" t="n">
        <f aca="false">SUMPRODUCT((MONTH(Expenses!$B$6:$B$500)=6)*(YEAR(Expenses!$B$6:$B$500)=$C$5)*(Expenses!$C$6:$C$500="Stock — cakes")*Expenses!$E$6:$E$500)</f>
        <v>0</v>
      </c>
      <c r="I18" s="13" t="n">
        <f aca="false">SUMPRODUCT((MONTH(Expenses!$B$6:$B$500)=7)*(YEAR(Expenses!$B$6:$B$500)=$C$5)*(Expenses!$C$6:$C$500="Stock — cakes")*Expenses!$E$6:$E$500)</f>
        <v>0</v>
      </c>
      <c r="J18" s="13" t="n">
        <f aca="false">SUMPRODUCT((MONTH(Expenses!$B$6:$B$500)=8)*(YEAR(Expenses!$B$6:$B$500)=$C$5)*(Expenses!$C$6:$C$500="Stock — cakes")*Expenses!$E$6:$E$500)</f>
        <v>0</v>
      </c>
      <c r="K18" s="13" t="n">
        <f aca="false">SUMPRODUCT((MONTH(Expenses!$B$6:$B$500)=9)*(YEAR(Expenses!$B$6:$B$500)=$C$5)*(Expenses!$C$6:$C$500="Stock — cakes")*Expenses!$E$6:$E$500)</f>
        <v>0</v>
      </c>
      <c r="L18" s="13" t="n">
        <f aca="false">SUMPRODUCT((MONTH(Expenses!$B$6:$B$500)=10)*(YEAR(Expenses!$B$6:$B$500)=$C$5)*(Expenses!$C$6:$C$500="Stock — cakes")*Expenses!$E$6:$E$500)</f>
        <v>0</v>
      </c>
      <c r="M18" s="13" t="n">
        <f aca="false">SUMPRODUCT((MONTH(Expenses!$B$6:$B$500)=11)*(YEAR(Expenses!$B$6:$B$500)=$C$5)*(Expenses!$C$6:$C$500="Stock — cakes")*Expenses!$E$6:$E$500)</f>
        <v>0</v>
      </c>
      <c r="N18" s="13" t="n">
        <f aca="false">SUMPRODUCT((MONTH(Expenses!$B$6:$B$500)=12)*(YEAR(Expenses!$B$6:$B$500)=$C$5)*(Expenses!$C$6:$C$500="Stock — cakes")*Expenses!$E$6:$E$500)</f>
        <v>0</v>
      </c>
      <c r="O18" s="48" t="n">
        <f aca="false">SUM(C18:N18)</f>
        <v>0</v>
      </c>
    </row>
    <row r="19" customFormat="false" ht="15" hidden="false" customHeight="true" outlineLevel="0" collapsed="false">
      <c r="B19" s="33" t="s">
        <v>881</v>
      </c>
      <c r="C19" s="13" t="n">
        <f aca="false">SUMPRODUCT((MONTH(Expenses!$B$6:$B$500)=1)*(YEAR(Expenses!$B$6:$B$500)=$C$5)*(Expenses!$C$6:$C$500="Stock — food")*Expenses!$E$6:$E$500)</f>
        <v>462.16</v>
      </c>
      <c r="D19" s="13" t="n">
        <f aca="false">SUMPRODUCT((MONTH(Expenses!$B$6:$B$500)=2)*(YEAR(Expenses!$B$6:$B$500)=$C$5)*(Expenses!$C$6:$C$500="Stock — food")*Expenses!$E$6:$E$500)</f>
        <v>375.18</v>
      </c>
      <c r="E19" s="13" t="n">
        <f aca="false">SUMPRODUCT((MONTH(Expenses!$B$6:$B$500)=3)*(YEAR(Expenses!$B$6:$B$500)=$C$5)*(Expenses!$C$6:$C$500="Stock — food")*Expenses!$E$6:$E$500)</f>
        <v>410.48</v>
      </c>
      <c r="F19" s="13" t="n">
        <f aca="false">SUMPRODUCT((MONTH(Expenses!$B$6:$B$500)=4)*(YEAR(Expenses!$B$6:$B$500)=$C$5)*(Expenses!$C$6:$C$500="Stock — food")*Expenses!$E$6:$E$500)</f>
        <v>0</v>
      </c>
      <c r="G19" s="13" t="n">
        <f aca="false">SUMPRODUCT((MONTH(Expenses!$B$6:$B$500)=5)*(YEAR(Expenses!$B$6:$B$500)=$C$5)*(Expenses!$C$6:$C$500="Stock — food")*Expenses!$E$6:$E$500)</f>
        <v>0</v>
      </c>
      <c r="H19" s="13" t="n">
        <f aca="false">SUMPRODUCT((MONTH(Expenses!$B$6:$B$500)=6)*(YEAR(Expenses!$B$6:$B$500)=$C$5)*(Expenses!$C$6:$C$500="Stock — food")*Expenses!$E$6:$E$500)</f>
        <v>0</v>
      </c>
      <c r="I19" s="13" t="n">
        <f aca="false">SUMPRODUCT((MONTH(Expenses!$B$6:$B$500)=7)*(YEAR(Expenses!$B$6:$B$500)=$C$5)*(Expenses!$C$6:$C$500="Stock — food")*Expenses!$E$6:$E$500)</f>
        <v>0</v>
      </c>
      <c r="J19" s="13" t="n">
        <f aca="false">SUMPRODUCT((MONTH(Expenses!$B$6:$B$500)=8)*(YEAR(Expenses!$B$6:$B$500)=$C$5)*(Expenses!$C$6:$C$500="Stock — food")*Expenses!$E$6:$E$500)</f>
        <v>0</v>
      </c>
      <c r="K19" s="13" t="n">
        <f aca="false">SUMPRODUCT((MONTH(Expenses!$B$6:$B$500)=9)*(YEAR(Expenses!$B$6:$B$500)=$C$5)*(Expenses!$C$6:$C$500="Stock — food")*Expenses!$E$6:$E$500)</f>
        <v>0</v>
      </c>
      <c r="L19" s="13" t="n">
        <f aca="false">SUMPRODUCT((MONTH(Expenses!$B$6:$B$500)=10)*(YEAR(Expenses!$B$6:$B$500)=$C$5)*(Expenses!$C$6:$C$500="Stock — food")*Expenses!$E$6:$E$500)</f>
        <v>0</v>
      </c>
      <c r="M19" s="13" t="n">
        <f aca="false">SUMPRODUCT((MONTH(Expenses!$B$6:$B$500)=11)*(YEAR(Expenses!$B$6:$B$500)=$C$5)*(Expenses!$C$6:$C$500="Stock — food")*Expenses!$E$6:$E$500)</f>
        <v>0</v>
      </c>
      <c r="N19" s="13" t="n">
        <f aca="false">SUMPRODUCT((MONTH(Expenses!$B$6:$B$500)=12)*(YEAR(Expenses!$B$6:$B$500)=$C$5)*(Expenses!$C$6:$C$500="Stock — food")*Expenses!$E$6:$E$500)</f>
        <v>0</v>
      </c>
      <c r="O19" s="48" t="n">
        <f aca="false">SUM(C19:N19)</f>
        <v>1247.82</v>
      </c>
    </row>
    <row r="20" customFormat="false" ht="15" hidden="false" customHeight="true" outlineLevel="0" collapsed="false">
      <c r="B20" s="33" t="s">
        <v>885</v>
      </c>
      <c r="C20" s="13" t="n">
        <f aca="false">SUMPRODUCT((MONTH(Expenses!$B$6:$B$500)=1)*(YEAR(Expenses!$B$6:$B$500)=$C$5)*(Expenses!$C$6:$C$500="Stock — packaging")*Expenses!$E$6:$E$500)</f>
        <v>0</v>
      </c>
      <c r="D20" s="13" t="n">
        <f aca="false">SUMPRODUCT((MONTH(Expenses!$B$6:$B$500)=2)*(YEAR(Expenses!$B$6:$B$500)=$C$5)*(Expenses!$C$6:$C$500="Stock — packaging")*Expenses!$E$6:$E$500)</f>
        <v>0</v>
      </c>
      <c r="E20" s="13" t="n">
        <f aca="false">SUMPRODUCT((MONTH(Expenses!$B$6:$B$500)=3)*(YEAR(Expenses!$B$6:$B$500)=$C$5)*(Expenses!$C$6:$C$500="Stock — packaging")*Expenses!$E$6:$E$500)</f>
        <v>0</v>
      </c>
      <c r="F20" s="13" t="n">
        <f aca="false">SUMPRODUCT((MONTH(Expenses!$B$6:$B$500)=4)*(YEAR(Expenses!$B$6:$B$500)=$C$5)*(Expenses!$C$6:$C$500="Stock — packaging")*Expenses!$E$6:$E$500)</f>
        <v>0</v>
      </c>
      <c r="G20" s="13" t="n">
        <f aca="false">SUMPRODUCT((MONTH(Expenses!$B$6:$B$500)=5)*(YEAR(Expenses!$B$6:$B$500)=$C$5)*(Expenses!$C$6:$C$500="Stock — packaging")*Expenses!$E$6:$E$500)</f>
        <v>0</v>
      </c>
      <c r="H20" s="13" t="n">
        <f aca="false">SUMPRODUCT((MONTH(Expenses!$B$6:$B$500)=6)*(YEAR(Expenses!$B$6:$B$500)=$C$5)*(Expenses!$C$6:$C$500="Stock — packaging")*Expenses!$E$6:$E$500)</f>
        <v>0</v>
      </c>
      <c r="I20" s="13" t="n">
        <f aca="false">SUMPRODUCT((MONTH(Expenses!$B$6:$B$500)=7)*(YEAR(Expenses!$B$6:$B$500)=$C$5)*(Expenses!$C$6:$C$500="Stock — packaging")*Expenses!$E$6:$E$500)</f>
        <v>0</v>
      </c>
      <c r="J20" s="13" t="n">
        <f aca="false">SUMPRODUCT((MONTH(Expenses!$B$6:$B$500)=8)*(YEAR(Expenses!$B$6:$B$500)=$C$5)*(Expenses!$C$6:$C$500="Stock — packaging")*Expenses!$E$6:$E$500)</f>
        <v>0</v>
      </c>
      <c r="K20" s="13" t="n">
        <f aca="false">SUMPRODUCT((MONTH(Expenses!$B$6:$B$500)=9)*(YEAR(Expenses!$B$6:$B$500)=$C$5)*(Expenses!$C$6:$C$500="Stock — packaging")*Expenses!$E$6:$E$500)</f>
        <v>0</v>
      </c>
      <c r="L20" s="13" t="n">
        <f aca="false">SUMPRODUCT((MONTH(Expenses!$B$6:$B$500)=10)*(YEAR(Expenses!$B$6:$B$500)=$C$5)*(Expenses!$C$6:$C$500="Stock — packaging")*Expenses!$E$6:$E$500)</f>
        <v>0</v>
      </c>
      <c r="M20" s="13" t="n">
        <f aca="false">SUMPRODUCT((MONTH(Expenses!$B$6:$B$500)=11)*(YEAR(Expenses!$B$6:$B$500)=$C$5)*(Expenses!$C$6:$C$500="Stock — packaging")*Expenses!$E$6:$E$500)</f>
        <v>0</v>
      </c>
      <c r="N20" s="13" t="n">
        <f aca="false">SUMPRODUCT((MONTH(Expenses!$B$6:$B$500)=12)*(YEAR(Expenses!$B$6:$B$500)=$C$5)*(Expenses!$C$6:$C$500="Stock — packaging")*Expenses!$E$6:$E$500)</f>
        <v>0</v>
      </c>
      <c r="O20" s="48" t="n">
        <f aca="false">SUM(C20:N20)</f>
        <v>0</v>
      </c>
    </row>
    <row r="21" customFormat="false" ht="15" hidden="false" customHeight="true" outlineLevel="0" collapsed="false">
      <c r="B21" s="33" t="s">
        <v>890</v>
      </c>
      <c r="C21" s="13" t="n">
        <f aca="false">SUMPRODUCT((MONTH(Expenses!$B$6:$B$500)=1)*(YEAR(Expenses!$B$6:$B$500)=$C$5)*(Expenses!$C$6:$C$500="Stock — other")*Expenses!$E$6:$E$500)</f>
        <v>560.17</v>
      </c>
      <c r="D21" s="13" t="n">
        <f aca="false">SUMPRODUCT((MONTH(Expenses!$B$6:$B$500)=2)*(YEAR(Expenses!$B$6:$B$500)=$C$5)*(Expenses!$C$6:$C$500="Stock — other")*Expenses!$E$6:$E$500)</f>
        <v>309.16</v>
      </c>
      <c r="E21" s="13" t="n">
        <f aca="false">SUMPRODUCT((MONTH(Expenses!$B$6:$B$500)=3)*(YEAR(Expenses!$B$6:$B$500)=$C$5)*(Expenses!$C$6:$C$500="Stock — other")*Expenses!$E$6:$E$500)</f>
        <v>393.07</v>
      </c>
      <c r="F21" s="13" t="n">
        <f aca="false">SUMPRODUCT((MONTH(Expenses!$B$6:$B$500)=4)*(YEAR(Expenses!$B$6:$B$500)=$C$5)*(Expenses!$C$6:$C$500="Stock — other")*Expenses!$E$6:$E$500)</f>
        <v>0</v>
      </c>
      <c r="G21" s="13" t="n">
        <f aca="false">SUMPRODUCT((MONTH(Expenses!$B$6:$B$500)=5)*(YEAR(Expenses!$B$6:$B$500)=$C$5)*(Expenses!$C$6:$C$500="Stock — other")*Expenses!$E$6:$E$500)</f>
        <v>0</v>
      </c>
      <c r="H21" s="13" t="n">
        <f aca="false">SUMPRODUCT((MONTH(Expenses!$B$6:$B$500)=6)*(YEAR(Expenses!$B$6:$B$500)=$C$5)*(Expenses!$C$6:$C$500="Stock — other")*Expenses!$E$6:$E$500)</f>
        <v>0</v>
      </c>
      <c r="I21" s="13" t="n">
        <f aca="false">SUMPRODUCT((MONTH(Expenses!$B$6:$B$500)=7)*(YEAR(Expenses!$B$6:$B$500)=$C$5)*(Expenses!$C$6:$C$500="Stock — other")*Expenses!$E$6:$E$500)</f>
        <v>0</v>
      </c>
      <c r="J21" s="13" t="n">
        <f aca="false">SUMPRODUCT((MONTH(Expenses!$B$6:$B$500)=8)*(YEAR(Expenses!$B$6:$B$500)=$C$5)*(Expenses!$C$6:$C$500="Stock — other")*Expenses!$E$6:$E$500)</f>
        <v>0</v>
      </c>
      <c r="K21" s="13" t="n">
        <f aca="false">SUMPRODUCT((MONTH(Expenses!$B$6:$B$500)=9)*(YEAR(Expenses!$B$6:$B$500)=$C$5)*(Expenses!$C$6:$C$500="Stock — other")*Expenses!$E$6:$E$500)</f>
        <v>0</v>
      </c>
      <c r="L21" s="13" t="n">
        <f aca="false">SUMPRODUCT((MONTH(Expenses!$B$6:$B$500)=10)*(YEAR(Expenses!$B$6:$B$500)=$C$5)*(Expenses!$C$6:$C$500="Stock — other")*Expenses!$E$6:$E$500)</f>
        <v>0</v>
      </c>
      <c r="M21" s="13" t="n">
        <f aca="false">SUMPRODUCT((MONTH(Expenses!$B$6:$B$500)=11)*(YEAR(Expenses!$B$6:$B$500)=$C$5)*(Expenses!$C$6:$C$500="Stock — other")*Expenses!$E$6:$E$500)</f>
        <v>0</v>
      </c>
      <c r="N21" s="13" t="n">
        <f aca="false">SUMPRODUCT((MONTH(Expenses!$B$6:$B$500)=12)*(YEAR(Expenses!$B$6:$B$500)=$C$5)*(Expenses!$C$6:$C$500="Stock — other")*Expenses!$E$6:$E$500)</f>
        <v>0</v>
      </c>
      <c r="O21" s="48" t="n">
        <f aca="false">SUM(C21:N21)</f>
        <v>1262.4</v>
      </c>
    </row>
    <row r="22" customFormat="false" ht="15" hidden="false" customHeight="true" outlineLevel="0" collapsed="false">
      <c r="B22" s="50" t="s">
        <v>979</v>
      </c>
      <c r="C22" s="13" t="n">
        <f aca="false">SUM(C15:C21)</f>
        <v>1060.33</v>
      </c>
      <c r="D22" s="13" t="n">
        <f aca="false">SUM(D15:D21)</f>
        <v>798.34</v>
      </c>
      <c r="E22" s="13" t="n">
        <f aca="false">SUM(E15:E21)</f>
        <v>879.55</v>
      </c>
      <c r="F22" s="13" t="n">
        <f aca="false">SUM(F15:F21)</f>
        <v>0</v>
      </c>
      <c r="G22" s="13" t="n">
        <f aca="false">SUM(G15:G21)</f>
        <v>0</v>
      </c>
      <c r="H22" s="13" t="n">
        <f aca="false">SUM(H15:H21)</f>
        <v>0</v>
      </c>
      <c r="I22" s="13" t="n">
        <f aca="false">SUM(I15:I21)</f>
        <v>0</v>
      </c>
      <c r="J22" s="13" t="n">
        <f aca="false">SUM(J15:J21)</f>
        <v>0</v>
      </c>
      <c r="K22" s="13" t="n">
        <f aca="false">SUM(K15:K21)</f>
        <v>0</v>
      </c>
      <c r="L22" s="13" t="n">
        <f aca="false">SUM(L15:L21)</f>
        <v>0</v>
      </c>
      <c r="M22" s="13" t="n">
        <f aca="false">SUM(M15:M21)</f>
        <v>0</v>
      </c>
      <c r="N22" s="13" t="n">
        <f aca="false">SUM(N15:N21)</f>
        <v>0</v>
      </c>
      <c r="O22" s="48" t="n">
        <f aca="false">SUM(C22:N22)</f>
        <v>2738.22</v>
      </c>
    </row>
    <row r="23" customFormat="false" ht="15" hidden="false" customHeight="true" outlineLevel="0" collapsed="false">
      <c r="B23" s="33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customFormat="false" ht="15" hidden="false" customHeight="true" outlineLevel="0" collapsed="false">
      <c r="B24" s="47" t="s">
        <v>980</v>
      </c>
      <c r="C24" s="49" t="n">
        <f aca="false">C12-C22</f>
        <v>747.2</v>
      </c>
      <c r="D24" s="49" t="n">
        <f aca="false">D12-D22</f>
        <v>934.48</v>
      </c>
      <c r="E24" s="49" t="n">
        <f aca="false">E12-E22</f>
        <v>1557.66</v>
      </c>
      <c r="F24" s="49" t="n">
        <f aca="false">F12-F22</f>
        <v>1293.05</v>
      </c>
      <c r="G24" s="49" t="n">
        <f aca="false">G12-G22</f>
        <v>0</v>
      </c>
      <c r="H24" s="49" t="n">
        <f aca="false">H12-H22</f>
        <v>0</v>
      </c>
      <c r="I24" s="49" t="n">
        <f aca="false">I12-I22</f>
        <v>0</v>
      </c>
      <c r="J24" s="49" t="n">
        <f aca="false">J12-J22</f>
        <v>0</v>
      </c>
      <c r="K24" s="49" t="n">
        <f aca="false">K12-K22</f>
        <v>0</v>
      </c>
      <c r="L24" s="49" t="n">
        <f aca="false">L12-L22</f>
        <v>0</v>
      </c>
      <c r="M24" s="49" t="n">
        <f aca="false">M12-M22</f>
        <v>0</v>
      </c>
      <c r="N24" s="49" t="n">
        <f aca="false">N12-N22</f>
        <v>0</v>
      </c>
      <c r="O24" s="48" t="n">
        <f aca="false">SUM(C24:N24)</f>
        <v>4532.39</v>
      </c>
    </row>
    <row r="25" customFormat="false" ht="15" hidden="false" customHeight="true" outlineLevel="0" collapsed="false">
      <c r="B25" s="50" t="s">
        <v>981</v>
      </c>
      <c r="C25" s="23" t="n">
        <f aca="false">IFERROR(C24/C12,0)</f>
        <v>0.413381797259243</v>
      </c>
      <c r="D25" s="23" t="n">
        <f aca="false">IFERROR(D24/D12,0)</f>
        <v>0.539282787594788</v>
      </c>
      <c r="E25" s="23" t="n">
        <f aca="false">IFERROR(E24/E12,0)</f>
        <v>0.639116038420981</v>
      </c>
      <c r="F25" s="23" t="n">
        <f aca="false">IFERROR(F24/F12,0)</f>
        <v>1</v>
      </c>
      <c r="G25" s="23" t="n">
        <f aca="false">IFERROR(G24/G12,0)</f>
        <v>0</v>
      </c>
      <c r="H25" s="23" t="n">
        <f aca="false">IFERROR(H24/H12,0)</f>
        <v>0</v>
      </c>
      <c r="I25" s="23" t="n">
        <f aca="false">IFERROR(I24/I12,0)</f>
        <v>0</v>
      </c>
      <c r="J25" s="23" t="n">
        <f aca="false">IFERROR(J24/J12,0)</f>
        <v>0</v>
      </c>
      <c r="K25" s="23" t="n">
        <f aca="false">IFERROR(K24/K12,0)</f>
        <v>0</v>
      </c>
      <c r="L25" s="23" t="n">
        <f aca="false">IFERROR(L24/L12,0)</f>
        <v>0</v>
      </c>
      <c r="M25" s="23" t="n">
        <f aca="false">IFERROR(M24/M12,0)</f>
        <v>0</v>
      </c>
      <c r="N25" s="23" t="n">
        <f aca="false">IFERROR(N24/N12,0)</f>
        <v>0</v>
      </c>
      <c r="O25" s="51" t="n">
        <f aca="false">IFERROR(AVERAGE(C25:N25),0)</f>
        <v>0.215981718606251</v>
      </c>
    </row>
    <row r="26" customFormat="false" ht="15" hidden="false" customHeight="true" outlineLevel="0" collapsed="false">
      <c r="B26" s="33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customFormat="false" ht="15" hidden="false" customHeight="true" outlineLevel="0" collapsed="false">
      <c r="B27" s="47" t="s">
        <v>982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customFormat="false" ht="15" hidden="false" customHeight="true" outlineLevel="0" collapsed="false">
      <c r="B28" s="33" t="s">
        <v>886</v>
      </c>
      <c r="C28" s="13" t="n">
        <f aca="false">SUMPRODUCT((MONTH(Expenses!$B$6:$B$500)=1)*(YEAR(Expenses!$B$6:$B$500)=$C$5)*(Expenses!$C$6:$C$500="Rent")*Expenses!$E$6:$E$500)</f>
        <v>625</v>
      </c>
      <c r="D28" s="13" t="n">
        <f aca="false">SUMPRODUCT((MONTH(Expenses!$B$6:$B$500)=2)*(YEAR(Expenses!$B$6:$B$500)=$C$5)*(Expenses!$C$6:$C$500="Rent")*Expenses!$E$6:$E$500)</f>
        <v>625</v>
      </c>
      <c r="E28" s="13" t="n">
        <f aca="false">SUMPRODUCT((MONTH(Expenses!$B$6:$B$500)=3)*(YEAR(Expenses!$B$6:$B$500)=$C$5)*(Expenses!$C$6:$C$500="Rent")*Expenses!$E$6:$E$500)</f>
        <v>625</v>
      </c>
      <c r="F28" s="13" t="n">
        <f aca="false">SUMPRODUCT((MONTH(Expenses!$B$6:$B$500)=4)*(YEAR(Expenses!$B$6:$B$500)=$C$5)*(Expenses!$C$6:$C$500="Rent")*Expenses!$E$6:$E$500)</f>
        <v>0</v>
      </c>
      <c r="G28" s="13" t="n">
        <f aca="false">SUMPRODUCT((MONTH(Expenses!$B$6:$B$500)=5)*(YEAR(Expenses!$B$6:$B$500)=$C$5)*(Expenses!$C$6:$C$500="Rent")*Expenses!$E$6:$E$500)</f>
        <v>0</v>
      </c>
      <c r="H28" s="13" t="n">
        <f aca="false">SUMPRODUCT((MONTH(Expenses!$B$6:$B$500)=6)*(YEAR(Expenses!$B$6:$B$500)=$C$5)*(Expenses!$C$6:$C$500="Rent")*Expenses!$E$6:$E$500)</f>
        <v>0</v>
      </c>
      <c r="I28" s="13" t="n">
        <f aca="false">SUMPRODUCT((MONTH(Expenses!$B$6:$B$500)=7)*(YEAR(Expenses!$B$6:$B$500)=$C$5)*(Expenses!$C$6:$C$500="Rent")*Expenses!$E$6:$E$500)</f>
        <v>0</v>
      </c>
      <c r="J28" s="13" t="n">
        <f aca="false">SUMPRODUCT((MONTH(Expenses!$B$6:$B$500)=8)*(YEAR(Expenses!$B$6:$B$500)=$C$5)*(Expenses!$C$6:$C$500="Rent")*Expenses!$E$6:$E$500)</f>
        <v>0</v>
      </c>
      <c r="K28" s="13" t="n">
        <f aca="false">SUMPRODUCT((MONTH(Expenses!$B$6:$B$500)=9)*(YEAR(Expenses!$B$6:$B$500)=$C$5)*(Expenses!$C$6:$C$500="Rent")*Expenses!$E$6:$E$500)</f>
        <v>0</v>
      </c>
      <c r="L28" s="13" t="n">
        <f aca="false">SUMPRODUCT((MONTH(Expenses!$B$6:$B$500)=10)*(YEAR(Expenses!$B$6:$B$500)=$C$5)*(Expenses!$C$6:$C$500="Rent")*Expenses!$E$6:$E$500)</f>
        <v>0</v>
      </c>
      <c r="M28" s="13" t="n">
        <f aca="false">SUMPRODUCT((MONTH(Expenses!$B$6:$B$500)=11)*(YEAR(Expenses!$B$6:$B$500)=$C$5)*(Expenses!$C$6:$C$500="Rent")*Expenses!$E$6:$E$500)</f>
        <v>0</v>
      </c>
      <c r="N28" s="13" t="n">
        <f aca="false">SUMPRODUCT((MONTH(Expenses!$B$6:$B$500)=12)*(YEAR(Expenses!$B$6:$B$500)=$C$5)*(Expenses!$C$6:$C$500="Rent")*Expenses!$E$6:$E$500)</f>
        <v>0</v>
      </c>
      <c r="O28" s="48" t="n">
        <f aca="false">SUM(C28:N28)</f>
        <v>1875</v>
      </c>
    </row>
    <row r="29" customFormat="false" ht="15" hidden="false" customHeight="true" outlineLevel="0" collapsed="false">
      <c r="B29" s="33" t="s">
        <v>882</v>
      </c>
      <c r="C29" s="13" t="n">
        <f aca="false">SUMPRODUCT((MONTH(Expenses!$B$6:$B$500)=1)*(YEAR(Expenses!$B$6:$B$500)=$C$5)*(Expenses!$C$6:$C$500="Utilities")*Expenses!$E$6:$E$500)</f>
        <v>385</v>
      </c>
      <c r="D29" s="13" t="n">
        <f aca="false">SUMPRODUCT((MONTH(Expenses!$B$6:$B$500)=2)*(YEAR(Expenses!$B$6:$B$500)=$C$5)*(Expenses!$C$6:$C$500="Utilities")*Expenses!$E$6:$E$500)</f>
        <v>588.68</v>
      </c>
      <c r="E29" s="13" t="n">
        <f aca="false">SUMPRODUCT((MONTH(Expenses!$B$6:$B$500)=3)*(YEAR(Expenses!$B$6:$B$500)=$C$5)*(Expenses!$C$6:$C$500="Utilities")*Expenses!$E$6:$E$500)</f>
        <v>446.13</v>
      </c>
      <c r="F29" s="13" t="n">
        <f aca="false">SUMPRODUCT((MONTH(Expenses!$B$6:$B$500)=4)*(YEAR(Expenses!$B$6:$B$500)=$C$5)*(Expenses!$C$6:$C$500="Utilities")*Expenses!$E$6:$E$500)</f>
        <v>0</v>
      </c>
      <c r="G29" s="13" t="n">
        <f aca="false">SUMPRODUCT((MONTH(Expenses!$B$6:$B$500)=5)*(YEAR(Expenses!$B$6:$B$500)=$C$5)*(Expenses!$C$6:$C$500="Utilities")*Expenses!$E$6:$E$500)</f>
        <v>0</v>
      </c>
      <c r="H29" s="13" t="n">
        <f aca="false">SUMPRODUCT((MONTH(Expenses!$B$6:$B$500)=6)*(YEAR(Expenses!$B$6:$B$500)=$C$5)*(Expenses!$C$6:$C$500="Utilities")*Expenses!$E$6:$E$500)</f>
        <v>0</v>
      </c>
      <c r="I29" s="13" t="n">
        <f aca="false">SUMPRODUCT((MONTH(Expenses!$B$6:$B$500)=7)*(YEAR(Expenses!$B$6:$B$500)=$C$5)*(Expenses!$C$6:$C$500="Utilities")*Expenses!$E$6:$E$500)</f>
        <v>0</v>
      </c>
      <c r="J29" s="13" t="n">
        <f aca="false">SUMPRODUCT((MONTH(Expenses!$B$6:$B$500)=8)*(YEAR(Expenses!$B$6:$B$500)=$C$5)*(Expenses!$C$6:$C$500="Utilities")*Expenses!$E$6:$E$500)</f>
        <v>0</v>
      </c>
      <c r="K29" s="13" t="n">
        <f aca="false">SUMPRODUCT((MONTH(Expenses!$B$6:$B$500)=9)*(YEAR(Expenses!$B$6:$B$500)=$C$5)*(Expenses!$C$6:$C$500="Utilities")*Expenses!$E$6:$E$500)</f>
        <v>0</v>
      </c>
      <c r="L29" s="13" t="n">
        <f aca="false">SUMPRODUCT((MONTH(Expenses!$B$6:$B$500)=10)*(YEAR(Expenses!$B$6:$B$500)=$C$5)*(Expenses!$C$6:$C$500="Utilities")*Expenses!$E$6:$E$500)</f>
        <v>0</v>
      </c>
      <c r="M29" s="13" t="n">
        <f aca="false">SUMPRODUCT((MONTH(Expenses!$B$6:$B$500)=11)*(YEAR(Expenses!$B$6:$B$500)=$C$5)*(Expenses!$C$6:$C$500="Utilities")*Expenses!$E$6:$E$500)</f>
        <v>0</v>
      </c>
      <c r="N29" s="13" t="n">
        <f aca="false">SUMPRODUCT((MONTH(Expenses!$B$6:$B$500)=12)*(YEAR(Expenses!$B$6:$B$500)=$C$5)*(Expenses!$C$6:$C$500="Utilities")*Expenses!$E$6:$E$500)</f>
        <v>0</v>
      </c>
      <c r="O29" s="48" t="n">
        <f aca="false">SUM(C29:N29)</f>
        <v>1419.81</v>
      </c>
    </row>
    <row r="30" customFormat="false" ht="15" hidden="false" customHeight="true" outlineLevel="0" collapsed="false">
      <c r="B30" s="33" t="s">
        <v>896</v>
      </c>
      <c r="C30" s="13" t="n">
        <f aca="false">SUMPRODUCT((MONTH(Expenses!$B$6:$B$500)=1)*(YEAR(Expenses!$B$6:$B$500)=$C$5)*(Expenses!$C$6:$C$500="Wages")*Expenses!$E$6:$E$500)</f>
        <v>0</v>
      </c>
      <c r="D30" s="13" t="n">
        <f aca="false">SUMPRODUCT((MONTH(Expenses!$B$6:$B$500)=2)*(YEAR(Expenses!$B$6:$B$500)=$C$5)*(Expenses!$C$6:$C$500="Wages")*Expenses!$E$6:$E$500)</f>
        <v>0</v>
      </c>
      <c r="E30" s="13" t="n">
        <f aca="false">SUMPRODUCT((MONTH(Expenses!$B$6:$B$500)=3)*(YEAR(Expenses!$B$6:$B$500)=$C$5)*(Expenses!$C$6:$C$500="Wages")*Expenses!$E$6:$E$500)</f>
        <v>0</v>
      </c>
      <c r="F30" s="13" t="n">
        <f aca="false">SUMPRODUCT((MONTH(Expenses!$B$6:$B$500)=4)*(YEAR(Expenses!$B$6:$B$500)=$C$5)*(Expenses!$C$6:$C$500="Wages")*Expenses!$E$6:$E$500)</f>
        <v>0</v>
      </c>
      <c r="G30" s="13" t="n">
        <f aca="false">SUMPRODUCT((MONTH(Expenses!$B$6:$B$500)=5)*(YEAR(Expenses!$B$6:$B$500)=$C$5)*(Expenses!$C$6:$C$500="Wages")*Expenses!$E$6:$E$500)</f>
        <v>0</v>
      </c>
      <c r="H30" s="13" t="n">
        <f aca="false">SUMPRODUCT((MONTH(Expenses!$B$6:$B$500)=6)*(YEAR(Expenses!$B$6:$B$500)=$C$5)*(Expenses!$C$6:$C$500="Wages")*Expenses!$E$6:$E$500)</f>
        <v>0</v>
      </c>
      <c r="I30" s="13" t="n">
        <f aca="false">SUMPRODUCT((MONTH(Expenses!$B$6:$B$500)=7)*(YEAR(Expenses!$B$6:$B$500)=$C$5)*(Expenses!$C$6:$C$500="Wages")*Expenses!$E$6:$E$500)</f>
        <v>0</v>
      </c>
      <c r="J30" s="13" t="n">
        <f aca="false">SUMPRODUCT((MONTH(Expenses!$B$6:$B$500)=8)*(YEAR(Expenses!$B$6:$B$500)=$C$5)*(Expenses!$C$6:$C$500="Wages")*Expenses!$E$6:$E$500)</f>
        <v>0</v>
      </c>
      <c r="K30" s="13" t="n">
        <f aca="false">SUMPRODUCT((MONTH(Expenses!$B$6:$B$500)=9)*(YEAR(Expenses!$B$6:$B$500)=$C$5)*(Expenses!$C$6:$C$500="Wages")*Expenses!$E$6:$E$500)</f>
        <v>0</v>
      </c>
      <c r="L30" s="13" t="n">
        <f aca="false">SUMPRODUCT((MONTH(Expenses!$B$6:$B$500)=10)*(YEAR(Expenses!$B$6:$B$500)=$C$5)*(Expenses!$C$6:$C$500="Wages")*Expenses!$E$6:$E$500)</f>
        <v>0</v>
      </c>
      <c r="M30" s="13" t="n">
        <f aca="false">SUMPRODUCT((MONTH(Expenses!$B$6:$B$500)=11)*(YEAR(Expenses!$B$6:$B$500)=$C$5)*(Expenses!$C$6:$C$500="Wages")*Expenses!$E$6:$E$500)</f>
        <v>0</v>
      </c>
      <c r="N30" s="13" t="n">
        <f aca="false">SUMPRODUCT((MONTH(Expenses!$B$6:$B$500)=12)*(YEAR(Expenses!$B$6:$B$500)=$C$5)*(Expenses!$C$6:$C$500="Wages")*Expenses!$E$6:$E$500)</f>
        <v>0</v>
      </c>
      <c r="O30" s="48" t="n">
        <f aca="false">SUM(C30:N30)</f>
        <v>0</v>
      </c>
    </row>
    <row r="31" customFormat="false" ht="15" hidden="false" customHeight="true" outlineLevel="0" collapsed="false">
      <c r="B31" s="33" t="s">
        <v>899</v>
      </c>
      <c r="C31" s="13" t="n">
        <f aca="false">SUMPRODUCT((MONTH(Expenses!$B$6:$B$500)=1)*(YEAR(Expenses!$B$6:$B$500)=$C$5)*(Expenses!$C$6:$C$500="Marketing")*Expenses!$E$6:$E$500)</f>
        <v>0</v>
      </c>
      <c r="D31" s="13" t="n">
        <f aca="false">SUMPRODUCT((MONTH(Expenses!$B$6:$B$500)=2)*(YEAR(Expenses!$B$6:$B$500)=$C$5)*(Expenses!$C$6:$C$500="Marketing")*Expenses!$E$6:$E$500)</f>
        <v>0</v>
      </c>
      <c r="E31" s="13" t="n">
        <f aca="false">SUMPRODUCT((MONTH(Expenses!$B$6:$B$500)=3)*(YEAR(Expenses!$B$6:$B$500)=$C$5)*(Expenses!$C$6:$C$500="Marketing")*Expenses!$E$6:$E$500)</f>
        <v>0</v>
      </c>
      <c r="F31" s="13" t="n">
        <f aca="false">SUMPRODUCT((MONTH(Expenses!$B$6:$B$500)=4)*(YEAR(Expenses!$B$6:$B$500)=$C$5)*(Expenses!$C$6:$C$500="Marketing")*Expenses!$E$6:$E$500)</f>
        <v>0</v>
      </c>
      <c r="G31" s="13" t="n">
        <f aca="false">SUMPRODUCT((MONTH(Expenses!$B$6:$B$500)=5)*(YEAR(Expenses!$B$6:$B$500)=$C$5)*(Expenses!$C$6:$C$500="Marketing")*Expenses!$E$6:$E$500)</f>
        <v>0</v>
      </c>
      <c r="H31" s="13" t="n">
        <f aca="false">SUMPRODUCT((MONTH(Expenses!$B$6:$B$500)=6)*(YEAR(Expenses!$B$6:$B$500)=$C$5)*(Expenses!$C$6:$C$500="Marketing")*Expenses!$E$6:$E$500)</f>
        <v>0</v>
      </c>
      <c r="I31" s="13" t="n">
        <f aca="false">SUMPRODUCT((MONTH(Expenses!$B$6:$B$500)=7)*(YEAR(Expenses!$B$6:$B$500)=$C$5)*(Expenses!$C$6:$C$500="Marketing")*Expenses!$E$6:$E$500)</f>
        <v>0</v>
      </c>
      <c r="J31" s="13" t="n">
        <f aca="false">SUMPRODUCT((MONTH(Expenses!$B$6:$B$500)=8)*(YEAR(Expenses!$B$6:$B$500)=$C$5)*(Expenses!$C$6:$C$500="Marketing")*Expenses!$E$6:$E$500)</f>
        <v>0</v>
      </c>
      <c r="K31" s="13" t="n">
        <f aca="false">SUMPRODUCT((MONTH(Expenses!$B$6:$B$500)=9)*(YEAR(Expenses!$B$6:$B$500)=$C$5)*(Expenses!$C$6:$C$500="Marketing")*Expenses!$E$6:$E$500)</f>
        <v>0</v>
      </c>
      <c r="L31" s="13" t="n">
        <f aca="false">SUMPRODUCT((MONTH(Expenses!$B$6:$B$500)=10)*(YEAR(Expenses!$B$6:$B$500)=$C$5)*(Expenses!$C$6:$C$500="Marketing")*Expenses!$E$6:$E$500)</f>
        <v>0</v>
      </c>
      <c r="M31" s="13" t="n">
        <f aca="false">SUMPRODUCT((MONTH(Expenses!$B$6:$B$500)=11)*(YEAR(Expenses!$B$6:$B$500)=$C$5)*(Expenses!$C$6:$C$500="Marketing")*Expenses!$E$6:$E$500)</f>
        <v>0</v>
      </c>
      <c r="N31" s="13" t="n">
        <f aca="false">SUMPRODUCT((MONTH(Expenses!$B$6:$B$500)=12)*(YEAR(Expenses!$B$6:$B$500)=$C$5)*(Expenses!$C$6:$C$500="Marketing")*Expenses!$E$6:$E$500)</f>
        <v>0</v>
      </c>
      <c r="O31" s="48" t="n">
        <f aca="false">SUM(C31:N31)</f>
        <v>0</v>
      </c>
    </row>
    <row r="32" customFormat="false" ht="15" hidden="false" customHeight="true" outlineLevel="0" collapsed="false">
      <c r="B32" s="33" t="s">
        <v>902</v>
      </c>
      <c r="C32" s="13" t="n">
        <f aca="false">SUMPRODUCT((MONTH(Expenses!$B$6:$B$500)=1)*(YEAR(Expenses!$B$6:$B$500)=$C$5)*(Expenses!$C$6:$C$500="Square fees")*Expenses!$E$6:$E$500)</f>
        <v>0</v>
      </c>
      <c r="D32" s="13" t="n">
        <f aca="false">SUMPRODUCT((MONTH(Expenses!$B$6:$B$500)=2)*(YEAR(Expenses!$B$6:$B$500)=$C$5)*(Expenses!$C$6:$C$500="Square fees")*Expenses!$E$6:$E$500)</f>
        <v>0</v>
      </c>
      <c r="E32" s="13" t="n">
        <f aca="false">SUMPRODUCT((MONTH(Expenses!$B$6:$B$500)=3)*(YEAR(Expenses!$B$6:$B$500)=$C$5)*(Expenses!$C$6:$C$500="Square fees")*Expenses!$E$6:$E$500)</f>
        <v>0</v>
      </c>
      <c r="F32" s="13" t="n">
        <f aca="false">SUMPRODUCT((MONTH(Expenses!$B$6:$B$500)=4)*(YEAR(Expenses!$B$6:$B$500)=$C$5)*(Expenses!$C$6:$C$500="Square fees")*Expenses!$E$6:$E$500)</f>
        <v>0</v>
      </c>
      <c r="G32" s="13" t="n">
        <f aca="false">SUMPRODUCT((MONTH(Expenses!$B$6:$B$500)=5)*(YEAR(Expenses!$B$6:$B$500)=$C$5)*(Expenses!$C$6:$C$500="Square fees")*Expenses!$E$6:$E$500)</f>
        <v>0</v>
      </c>
      <c r="H32" s="13" t="n">
        <f aca="false">SUMPRODUCT((MONTH(Expenses!$B$6:$B$500)=6)*(YEAR(Expenses!$B$6:$B$500)=$C$5)*(Expenses!$C$6:$C$500="Square fees")*Expenses!$E$6:$E$500)</f>
        <v>0</v>
      </c>
      <c r="I32" s="13" t="n">
        <f aca="false">SUMPRODUCT((MONTH(Expenses!$B$6:$B$500)=7)*(YEAR(Expenses!$B$6:$B$500)=$C$5)*(Expenses!$C$6:$C$500="Square fees")*Expenses!$E$6:$E$500)</f>
        <v>0</v>
      </c>
      <c r="J32" s="13" t="n">
        <f aca="false">SUMPRODUCT((MONTH(Expenses!$B$6:$B$500)=8)*(YEAR(Expenses!$B$6:$B$500)=$C$5)*(Expenses!$C$6:$C$500="Square fees")*Expenses!$E$6:$E$500)</f>
        <v>0</v>
      </c>
      <c r="K32" s="13" t="n">
        <f aca="false">SUMPRODUCT((MONTH(Expenses!$B$6:$B$500)=9)*(YEAR(Expenses!$B$6:$B$500)=$C$5)*(Expenses!$C$6:$C$500="Square fees")*Expenses!$E$6:$E$500)</f>
        <v>0</v>
      </c>
      <c r="L32" s="13" t="n">
        <f aca="false">SUMPRODUCT((MONTH(Expenses!$B$6:$B$500)=10)*(YEAR(Expenses!$B$6:$B$500)=$C$5)*(Expenses!$C$6:$C$500="Square fees")*Expenses!$E$6:$E$500)</f>
        <v>0</v>
      </c>
      <c r="M32" s="13" t="n">
        <f aca="false">SUMPRODUCT((MONTH(Expenses!$B$6:$B$500)=11)*(YEAR(Expenses!$B$6:$B$500)=$C$5)*(Expenses!$C$6:$C$500="Square fees")*Expenses!$E$6:$E$500)</f>
        <v>0</v>
      </c>
      <c r="N32" s="13" t="n">
        <f aca="false">SUMPRODUCT((MONTH(Expenses!$B$6:$B$500)=12)*(YEAR(Expenses!$B$6:$B$500)=$C$5)*(Expenses!$C$6:$C$500="Square fees")*Expenses!$E$6:$E$500)</f>
        <v>0</v>
      </c>
      <c r="O32" s="48" t="n">
        <f aca="false">SUM(C32:N32)</f>
        <v>0</v>
      </c>
    </row>
    <row r="33" customFormat="false" ht="15" hidden="false" customHeight="true" outlineLevel="0" collapsed="false">
      <c r="B33" s="33" t="s">
        <v>511</v>
      </c>
      <c r="C33" s="13" t="n">
        <f aca="false">SUMPRODUCT((MONTH(Expenses!$B$6:$B$500)=1)*(YEAR(Expenses!$B$6:$B$500)=$C$5)*(Expenses!$C$6:$C$500="Other")*Expenses!$E$6:$E$500)</f>
        <v>20.69</v>
      </c>
      <c r="D33" s="13" t="n">
        <f aca="false">SUMPRODUCT((MONTH(Expenses!$B$6:$B$500)=2)*(YEAR(Expenses!$B$6:$B$500)=$C$5)*(Expenses!$C$6:$C$500="Other")*Expenses!$E$6:$E$500)</f>
        <v>44.19</v>
      </c>
      <c r="E33" s="13" t="n">
        <f aca="false">SUMPRODUCT((MONTH(Expenses!$B$6:$B$500)=3)*(YEAR(Expenses!$B$6:$B$500)=$C$5)*(Expenses!$C$6:$C$500="Other")*Expenses!$E$6:$E$500)</f>
        <v>909.42</v>
      </c>
      <c r="F33" s="13" t="n">
        <f aca="false">SUMPRODUCT((MONTH(Expenses!$B$6:$B$500)=4)*(YEAR(Expenses!$B$6:$B$500)=$C$5)*(Expenses!$C$6:$C$500="Other")*Expenses!$E$6:$E$500)</f>
        <v>0</v>
      </c>
      <c r="G33" s="13" t="n">
        <f aca="false">SUMPRODUCT((MONTH(Expenses!$B$6:$B$500)=5)*(YEAR(Expenses!$B$6:$B$500)=$C$5)*(Expenses!$C$6:$C$500="Other")*Expenses!$E$6:$E$500)</f>
        <v>0</v>
      </c>
      <c r="H33" s="13" t="n">
        <f aca="false">SUMPRODUCT((MONTH(Expenses!$B$6:$B$500)=6)*(YEAR(Expenses!$B$6:$B$500)=$C$5)*(Expenses!$C$6:$C$500="Other")*Expenses!$E$6:$E$500)</f>
        <v>0</v>
      </c>
      <c r="I33" s="13" t="n">
        <f aca="false">SUMPRODUCT((MONTH(Expenses!$B$6:$B$500)=7)*(YEAR(Expenses!$B$6:$B$500)=$C$5)*(Expenses!$C$6:$C$500="Other")*Expenses!$E$6:$E$500)</f>
        <v>0</v>
      </c>
      <c r="J33" s="13" t="n">
        <f aca="false">SUMPRODUCT((MONTH(Expenses!$B$6:$B$500)=8)*(YEAR(Expenses!$B$6:$B$500)=$C$5)*(Expenses!$C$6:$C$500="Other")*Expenses!$E$6:$E$500)</f>
        <v>0</v>
      </c>
      <c r="K33" s="13" t="n">
        <f aca="false">SUMPRODUCT((MONTH(Expenses!$B$6:$B$500)=9)*(YEAR(Expenses!$B$6:$B$500)=$C$5)*(Expenses!$C$6:$C$500="Other")*Expenses!$E$6:$E$500)</f>
        <v>0</v>
      </c>
      <c r="L33" s="13" t="n">
        <f aca="false">SUMPRODUCT((MONTH(Expenses!$B$6:$B$500)=10)*(YEAR(Expenses!$B$6:$B$500)=$C$5)*(Expenses!$C$6:$C$500="Other")*Expenses!$E$6:$E$500)</f>
        <v>0</v>
      </c>
      <c r="M33" s="13" t="n">
        <f aca="false">SUMPRODUCT((MONTH(Expenses!$B$6:$B$500)=11)*(YEAR(Expenses!$B$6:$B$500)=$C$5)*(Expenses!$C$6:$C$500="Other")*Expenses!$E$6:$E$500)</f>
        <v>0</v>
      </c>
      <c r="N33" s="13" t="n">
        <f aca="false">SUMPRODUCT((MONTH(Expenses!$B$6:$B$500)=12)*(YEAR(Expenses!$B$6:$B$500)=$C$5)*(Expenses!$C$6:$C$500="Other")*Expenses!$E$6:$E$500)</f>
        <v>0</v>
      </c>
      <c r="O33" s="48" t="n">
        <f aca="false">SUM(C33:N33)</f>
        <v>974.3</v>
      </c>
    </row>
    <row r="34" customFormat="false" ht="15" hidden="false" customHeight="true" outlineLevel="0" collapsed="false">
      <c r="B34" s="50" t="s">
        <v>983</v>
      </c>
      <c r="C34" s="13" t="n">
        <f aca="false">SUM(C28:C33)</f>
        <v>1030.69</v>
      </c>
      <c r="D34" s="13" t="n">
        <f aca="false">SUM(D28:D33)</f>
        <v>1257.87</v>
      </c>
      <c r="E34" s="13" t="n">
        <f aca="false">SUM(E28:E33)</f>
        <v>1980.55</v>
      </c>
      <c r="F34" s="13" t="n">
        <f aca="false">SUM(F28:F33)</f>
        <v>0</v>
      </c>
      <c r="G34" s="13" t="n">
        <f aca="false">SUM(G28:G33)</f>
        <v>0</v>
      </c>
      <c r="H34" s="13" t="n">
        <f aca="false">SUM(H28:H33)</f>
        <v>0</v>
      </c>
      <c r="I34" s="13" t="n">
        <f aca="false">SUM(I28:I33)</f>
        <v>0</v>
      </c>
      <c r="J34" s="13" t="n">
        <f aca="false">SUM(J28:J33)</f>
        <v>0</v>
      </c>
      <c r="K34" s="13" t="n">
        <f aca="false">SUM(K28:K33)</f>
        <v>0</v>
      </c>
      <c r="L34" s="13" t="n">
        <f aca="false">SUM(L28:L33)</f>
        <v>0</v>
      </c>
      <c r="M34" s="13" t="n">
        <f aca="false">SUM(M28:M33)</f>
        <v>0</v>
      </c>
      <c r="N34" s="13" t="n">
        <f aca="false">SUM(N28:N33)</f>
        <v>0</v>
      </c>
      <c r="O34" s="48" t="n">
        <f aca="false">SUM(C34:N34)</f>
        <v>4269.11</v>
      </c>
    </row>
    <row r="35" customFormat="false" ht="15" hidden="false" customHeight="true" outlineLevel="0" collapsed="false">
      <c r="B35" s="33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customFormat="false" ht="15" hidden="false" customHeight="true" outlineLevel="0" collapsed="false">
      <c r="B36" s="47" t="s">
        <v>984</v>
      </c>
      <c r="C36" s="49" t="n">
        <f aca="false">C24-C34</f>
        <v>-283.49</v>
      </c>
      <c r="D36" s="49" t="n">
        <f aca="false">D24-D34</f>
        <v>-323.39</v>
      </c>
      <c r="E36" s="49" t="n">
        <f aca="false">E24-E34</f>
        <v>-422.89</v>
      </c>
      <c r="F36" s="49" t="n">
        <f aca="false">F24-F34</f>
        <v>1293.05</v>
      </c>
      <c r="G36" s="49" t="n">
        <f aca="false">G24-G34</f>
        <v>0</v>
      </c>
      <c r="H36" s="49" t="n">
        <f aca="false">H24-H34</f>
        <v>0</v>
      </c>
      <c r="I36" s="49" t="n">
        <f aca="false">I24-I34</f>
        <v>0</v>
      </c>
      <c r="J36" s="49" t="n">
        <f aca="false">J24-J34</f>
        <v>0</v>
      </c>
      <c r="K36" s="49" t="n">
        <f aca="false">K24-K34</f>
        <v>0</v>
      </c>
      <c r="L36" s="49" t="n">
        <f aca="false">L24-L34</f>
        <v>0</v>
      </c>
      <c r="M36" s="49" t="n">
        <f aca="false">M24-M34</f>
        <v>0</v>
      </c>
      <c r="N36" s="49" t="n">
        <f aca="false">N24-N34</f>
        <v>0</v>
      </c>
      <c r="O36" s="48" t="n">
        <f aca="false">SUM(C36:N36)</f>
        <v>263.28</v>
      </c>
    </row>
    <row r="37" customFormat="false" ht="15" hidden="false" customHeight="true" outlineLevel="0" collapsed="false">
      <c r="B37" s="50" t="s">
        <v>985</v>
      </c>
      <c r="C37" s="23" t="n">
        <f aca="false">IFERROR(C36/C12,0)</f>
        <v>-0.156838337399656</v>
      </c>
      <c r="D37" s="23" t="n">
        <f aca="false">IFERROR(D36/D12,0)</f>
        <v>-0.186626423979409</v>
      </c>
      <c r="E37" s="23" t="n">
        <f aca="false">IFERROR(E36/E12,0)</f>
        <v>-0.173513977047526</v>
      </c>
      <c r="F37" s="23" t="n">
        <f aca="false">IFERROR(F36/F12,0)</f>
        <v>1</v>
      </c>
      <c r="G37" s="23" t="n">
        <f aca="false">IFERROR(G36/G12,0)</f>
        <v>0</v>
      </c>
      <c r="H37" s="23" t="n">
        <f aca="false">IFERROR(H36/H12,0)</f>
        <v>0</v>
      </c>
      <c r="I37" s="23" t="n">
        <f aca="false">IFERROR(I36/I12,0)</f>
        <v>0</v>
      </c>
      <c r="J37" s="23" t="n">
        <f aca="false">IFERROR(J36/J12,0)</f>
        <v>0</v>
      </c>
      <c r="K37" s="23" t="n">
        <f aca="false">IFERROR(K36/K12,0)</f>
        <v>0</v>
      </c>
      <c r="L37" s="23" t="n">
        <f aca="false">IFERROR(L36/L12,0)</f>
        <v>0</v>
      </c>
      <c r="M37" s="23" t="n">
        <f aca="false">IFERROR(M36/M12,0)</f>
        <v>0</v>
      </c>
      <c r="N37" s="23" t="n">
        <f aca="false">IFERROR(N36/N12,0)</f>
        <v>0</v>
      </c>
      <c r="O37" s="51" t="n">
        <f aca="false">IFERROR(AVERAGE(C37:N37),0)</f>
        <v>0.0402517717977841</v>
      </c>
    </row>
    <row r="38" customFormat="false" ht="15" hidden="false" customHeight="true" outlineLevel="0" collapsed="false">
      <c r="B38" s="33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customFormat="false" ht="15" hidden="false" customHeight="true" outlineLevel="0" collapsed="false">
      <c r="B39" s="50" t="s">
        <v>986</v>
      </c>
      <c r="C39" s="13" t="n">
        <f aca="false">MAX(0,C36)*0.19</f>
        <v>0</v>
      </c>
      <c r="D39" s="13" t="n">
        <f aca="false">MAX(0,D36)*0.19</f>
        <v>0</v>
      </c>
      <c r="E39" s="13" t="n">
        <f aca="false">MAX(0,E36)*0.19</f>
        <v>0</v>
      </c>
      <c r="F39" s="13" t="n">
        <f aca="false">MAX(0,F36)*0.19</f>
        <v>245.6795</v>
      </c>
      <c r="G39" s="13" t="n">
        <f aca="false">MAX(0,G36)*0.19</f>
        <v>0</v>
      </c>
      <c r="H39" s="13" t="n">
        <f aca="false">MAX(0,H36)*0.19</f>
        <v>0</v>
      </c>
      <c r="I39" s="13" t="n">
        <f aca="false">MAX(0,I36)*0.19</f>
        <v>0</v>
      </c>
      <c r="J39" s="13" t="n">
        <f aca="false">MAX(0,J36)*0.19</f>
        <v>0</v>
      </c>
      <c r="K39" s="13" t="n">
        <f aca="false">MAX(0,K36)*0.19</f>
        <v>0</v>
      </c>
      <c r="L39" s="13" t="n">
        <f aca="false">MAX(0,L36)*0.19</f>
        <v>0</v>
      </c>
      <c r="M39" s="13" t="n">
        <f aca="false">MAX(0,M36)*0.19</f>
        <v>0</v>
      </c>
      <c r="N39" s="13" t="n">
        <f aca="false">MAX(0,N36)*0.19</f>
        <v>0</v>
      </c>
      <c r="O39" s="48" t="n">
        <f aca="false">SUM(C39:N39)</f>
        <v>245.6795</v>
      </c>
    </row>
    <row r="40" customFormat="false" ht="15" hidden="false" customHeight="true" outlineLevel="0" collapsed="false">
      <c r="B40" s="47" t="s">
        <v>987</v>
      </c>
      <c r="C40" s="49" t="n">
        <f aca="false">C36-C39</f>
        <v>-283.49</v>
      </c>
      <c r="D40" s="49" t="n">
        <f aca="false">D36-D39</f>
        <v>-323.39</v>
      </c>
      <c r="E40" s="49" t="n">
        <f aca="false">E36-E39</f>
        <v>-422.89</v>
      </c>
      <c r="F40" s="49" t="n">
        <f aca="false">F36-F39</f>
        <v>1047.3705</v>
      </c>
      <c r="G40" s="49" t="n">
        <f aca="false">G36-G39</f>
        <v>0</v>
      </c>
      <c r="H40" s="49" t="n">
        <f aca="false">H36-H39</f>
        <v>0</v>
      </c>
      <c r="I40" s="49" t="n">
        <f aca="false">I36-I39</f>
        <v>0</v>
      </c>
      <c r="J40" s="49" t="n">
        <f aca="false">J36-J39</f>
        <v>0</v>
      </c>
      <c r="K40" s="49" t="n">
        <f aca="false">K36-K39</f>
        <v>0</v>
      </c>
      <c r="L40" s="49" t="n">
        <f aca="false">L36-L39</f>
        <v>0</v>
      </c>
      <c r="M40" s="49" t="n">
        <f aca="false">M36-M39</f>
        <v>0</v>
      </c>
      <c r="N40" s="49" t="n">
        <f aca="false">N36-N39</f>
        <v>0</v>
      </c>
      <c r="O40" s="48" t="n">
        <f aca="false">SUM(C40:N40)</f>
        <v>17.6005</v>
      </c>
    </row>
  </sheetData>
  <mergeCells count="1"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2"/>
    <col collapsed="false" customWidth="true" hidden="false" outlineLevel="0" max="4" min="4" style="1" width="18"/>
    <col collapsed="false" customWidth="true" hidden="false" outlineLevel="0" max="5" min="5" style="1" width="4"/>
  </cols>
  <sheetData>
    <row r="2" customFormat="false" ht="17.25" hidden="false" customHeight="true" outlineLevel="0" collapsed="false">
      <c r="B2" s="9" t="s">
        <v>28</v>
      </c>
    </row>
    <row r="3" customFormat="false" ht="15" hidden="false" customHeight="true" outlineLevel="0" collapsed="false">
      <c r="B3" s="3" t="s">
        <v>988</v>
      </c>
      <c r="C3" s="3"/>
      <c r="D3" s="3"/>
      <c r="E3" s="3"/>
      <c r="F3" s="3"/>
    </row>
    <row r="5" customFormat="false" ht="15" hidden="false" customHeight="true" outlineLevel="0" collapsed="false">
      <c r="B5" s="6" t="s">
        <v>958</v>
      </c>
      <c r="C5" s="52" t="n">
        <f aca="false">'Monthly P&amp;L'!C5</f>
        <v>2026</v>
      </c>
    </row>
    <row r="7" customFormat="false" ht="15" hidden="false" customHeight="true" outlineLevel="0" collapsed="false">
      <c r="B7" s="47" t="s">
        <v>989</v>
      </c>
      <c r="C7" s="47"/>
      <c r="D7" s="47"/>
    </row>
    <row r="8" customFormat="false" ht="15" hidden="false" customHeight="true" outlineLevel="0" collapsed="false">
      <c r="B8" s="53" t="s">
        <v>990</v>
      </c>
      <c r="C8" s="19"/>
      <c r="D8" s="54" t="n">
        <f aca="false">'Monthly P&amp;L'!O12</f>
        <v>7270.61</v>
      </c>
    </row>
    <row r="9" customFormat="false" ht="15" hidden="false" customHeight="true" outlineLevel="0" collapsed="false">
      <c r="B9" s="14" t="s">
        <v>991</v>
      </c>
      <c r="C9" s="19"/>
      <c r="D9" s="55" t="n">
        <f aca="false">'Monthly P&amp;L'!O9</f>
        <v>7200.99</v>
      </c>
    </row>
    <row r="10" customFormat="false" ht="15" hidden="false" customHeight="true" outlineLevel="0" collapsed="false">
      <c r="B10" s="14" t="s">
        <v>992</v>
      </c>
      <c r="C10" s="19"/>
      <c r="D10" s="55" t="n">
        <f aca="false">'Monthly P&amp;L'!O10</f>
        <v>69.62</v>
      </c>
    </row>
    <row r="11" customFormat="false" ht="15" hidden="false" customHeight="true" outlineLevel="0" collapsed="false">
      <c r="B11" s="14" t="s">
        <v>993</v>
      </c>
      <c r="C11" s="19"/>
      <c r="D11" s="55" t="n">
        <f aca="false">'Monthly P&amp;L'!O11</f>
        <v>0</v>
      </c>
    </row>
    <row r="12" customFormat="false" ht="15" hidden="false" customHeight="true" outlineLevel="0" collapsed="false">
      <c r="B12" s="53" t="s">
        <v>994</v>
      </c>
      <c r="C12" s="19"/>
      <c r="D12" s="54" t="n">
        <f aca="false">'Monthly P&amp;L'!O22</f>
        <v>2738.22</v>
      </c>
    </row>
    <row r="13" customFormat="false" ht="15" hidden="false" customHeight="true" outlineLevel="0" collapsed="false">
      <c r="B13" s="53" t="s">
        <v>995</v>
      </c>
      <c r="C13" s="19"/>
      <c r="D13" s="54" t="n">
        <f aca="false">'Monthly P&amp;L'!O24</f>
        <v>4532.39</v>
      </c>
    </row>
    <row r="14" customFormat="false" ht="15" hidden="false" customHeight="true" outlineLevel="0" collapsed="false">
      <c r="B14" s="53" t="s">
        <v>981</v>
      </c>
      <c r="C14" s="19"/>
      <c r="D14" s="56" t="n">
        <f aca="false">'Monthly P&amp;L'!O25</f>
        <v>0.215981718606251</v>
      </c>
    </row>
    <row r="15" customFormat="false" ht="15" hidden="false" customHeight="true" outlineLevel="0" collapsed="false">
      <c r="B15" s="53" t="s">
        <v>996</v>
      </c>
      <c r="C15" s="19"/>
      <c r="D15" s="54" t="n">
        <f aca="false">'Monthly P&amp;L'!O34</f>
        <v>4269.11</v>
      </c>
    </row>
    <row r="16" customFormat="false" ht="15" hidden="false" customHeight="true" outlineLevel="0" collapsed="false">
      <c r="B16" s="53" t="s">
        <v>997</v>
      </c>
      <c r="C16" s="19"/>
      <c r="D16" s="54" t="n">
        <f aca="false">'Monthly P&amp;L'!O36</f>
        <v>263.28</v>
      </c>
    </row>
    <row r="17" customFormat="false" ht="15" hidden="false" customHeight="true" outlineLevel="0" collapsed="false">
      <c r="B17" s="53" t="s">
        <v>985</v>
      </c>
      <c r="C17" s="19"/>
      <c r="D17" s="56" t="n">
        <f aca="false">'Monthly P&amp;L'!O37</f>
        <v>0.0402517717977841</v>
      </c>
    </row>
    <row r="18" customFormat="false" ht="15" hidden="false" customHeight="true" outlineLevel="0" collapsed="false">
      <c r="B18" s="53" t="s">
        <v>998</v>
      </c>
      <c r="C18" s="19"/>
      <c r="D18" s="54" t="n">
        <f aca="false">'Monthly P&amp;L'!O40</f>
        <v>17.6005</v>
      </c>
    </row>
    <row r="21" customFormat="false" ht="15" hidden="false" customHeight="true" outlineLevel="0" collapsed="false">
      <c r="B21" s="57" t="s">
        <v>999</v>
      </c>
      <c r="C21" s="57"/>
      <c r="D21" s="57"/>
      <c r="E21" s="57"/>
    </row>
    <row r="22" customFormat="false" ht="15" hidden="false" customHeight="true" outlineLevel="0" collapsed="false">
      <c r="B22" s="53" t="s">
        <v>1000</v>
      </c>
      <c r="C22" s="19"/>
      <c r="D22" s="23" t="n">
        <f aca="false">IFERROR('Monthly P&amp;L'!O9/'Monthly P&amp;L'!O12,0)</f>
        <v>0.990424462321594</v>
      </c>
    </row>
    <row r="23" customFormat="false" ht="15" hidden="false" customHeight="true" outlineLevel="0" collapsed="false">
      <c r="B23" s="53" t="s">
        <v>1001</v>
      </c>
      <c r="C23" s="19"/>
      <c r="D23" s="23" t="n">
        <f aca="false">IFERROR(('Monthly P&amp;L'!O10+'Monthly P&amp;L'!O11)/'Monthly P&amp;L'!O12,0)</f>
        <v>0.00957553767840663</v>
      </c>
    </row>
    <row r="24" customFormat="false" ht="15" hidden="false" customHeight="true" outlineLevel="0" collapsed="false">
      <c r="B24" s="53" t="s">
        <v>1002</v>
      </c>
      <c r="C24" s="19"/>
      <c r="D24" s="23" t="n">
        <f aca="false">IFERROR('Monthly P&amp;L'!O11/('Monthly P&amp;L'!O10+'Monthly P&amp;L'!O11),0)</f>
        <v>0</v>
      </c>
    </row>
    <row r="26" customFormat="false" ht="15" hidden="false" customHeight="true" outlineLevel="0" collapsed="false">
      <c r="B26" s="57" t="s">
        <v>1003</v>
      </c>
      <c r="C26" s="57"/>
      <c r="D26" s="57"/>
      <c r="E26" s="57"/>
    </row>
    <row r="27" customFormat="false" ht="15" hidden="false" customHeight="true" outlineLevel="0" collapsed="false">
      <c r="B27" s="53" t="s">
        <v>1004</v>
      </c>
      <c r="C27" s="19"/>
      <c r="D27" s="13" t="n">
        <f aca="false">MAX('Monthly P&amp;L'!C12:N12)</f>
        <v>2437.21</v>
      </c>
    </row>
    <row r="28" customFormat="false" ht="15" hidden="false" customHeight="true" outlineLevel="0" collapsed="false">
      <c r="B28" s="53" t="s">
        <v>1005</v>
      </c>
      <c r="C28" s="19"/>
      <c r="D28" s="33" t="str">
        <f aca="false">INDEX('Monthly P&amp;L'!C7:N7,MATCH(MAX('Monthly P&amp;L'!C12:N12),'Monthly P&amp;L'!C12:N12,0))</f>
        <v>Mar</v>
      </c>
    </row>
    <row r="29" customFormat="false" ht="15" hidden="false" customHeight="true" outlineLevel="0" collapsed="false">
      <c r="B29" s="53" t="s">
        <v>1006</v>
      </c>
      <c r="C29" s="19"/>
      <c r="D29" s="13" t="n">
        <f aca="false">IFERROR(MIN(IF('Monthly P&amp;L'!C12:N12&gt;0,'Monthly P&amp;L'!C12:N12)),0)</f>
        <v>0</v>
      </c>
    </row>
    <row r="30" customFormat="false" ht="15" hidden="false" customHeight="true" outlineLevel="0" collapsed="false">
      <c r="B30" s="53" t="s">
        <v>1007</v>
      </c>
      <c r="C30" s="19"/>
      <c r="D30" s="58" t="n">
        <f aca="false">COUNTIF('Monthly P&amp;L'!C12:N12,"&gt;0")</f>
        <v>4</v>
      </c>
    </row>
    <row r="31" customFormat="false" ht="15" hidden="false" customHeight="true" outlineLevel="0" collapsed="false">
      <c r="B31" s="53" t="s">
        <v>1008</v>
      </c>
      <c r="C31" s="19"/>
      <c r="D31" s="13" t="n">
        <f aca="false">IFERROR(AVERAGEIF('Monthly P&amp;L'!C12:N12,"&gt;0"),0)</f>
        <v>1817.6525</v>
      </c>
    </row>
    <row r="33" customFormat="false" ht="15" hidden="false" customHeight="true" outlineLevel="0" collapsed="false">
      <c r="B33" s="57" t="s">
        <v>1009</v>
      </c>
      <c r="C33" s="57"/>
      <c r="D33" s="57"/>
      <c r="E33" s="57"/>
    </row>
    <row r="34" customFormat="false" ht="15" hidden="false" customHeight="true" outlineLevel="0" collapsed="false">
      <c r="B34" s="53" t="s">
        <v>1010</v>
      </c>
      <c r="C34" s="19"/>
      <c r="D34" s="22" t="n">
        <v>5000</v>
      </c>
    </row>
    <row r="35" customFormat="false" ht="15" hidden="false" customHeight="true" outlineLevel="0" collapsed="false">
      <c r="B35" s="53" t="s">
        <v>1011</v>
      </c>
      <c r="C35" s="19"/>
      <c r="D35" s="23" t="n">
        <f aca="false">IFERROR(IFERROR(AVERAGEIF('Monthly P&amp;L'!C12:N12,"&gt;0"),0)/D34,0)</f>
        <v>0.3635305</v>
      </c>
    </row>
    <row r="36" customFormat="false" ht="15" hidden="false" customHeight="true" outlineLevel="0" collapsed="false">
      <c r="B36" s="53" t="s">
        <v>1012</v>
      </c>
      <c r="C36" s="19"/>
      <c r="D36" s="13" t="n">
        <f aca="false">D34*12</f>
        <v>60000</v>
      </c>
    </row>
    <row r="37" customFormat="false" ht="15" hidden="false" customHeight="true" outlineLevel="0" collapsed="false">
      <c r="B37" s="53" t="s">
        <v>1013</v>
      </c>
      <c r="C37" s="19"/>
      <c r="D37" s="23" t="n">
        <f aca="false">IFERROR('Monthly P&amp;L'!O12/D36,0)</f>
        <v>0.121176833333333</v>
      </c>
    </row>
  </sheetData>
  <mergeCells count="5">
    <mergeCell ref="B3:F3"/>
    <mergeCell ref="B7:D7"/>
    <mergeCell ref="B21:E21"/>
    <mergeCell ref="B26:E26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6" min="5" style="1" width="4"/>
    <col collapsed="false" customWidth="true" hidden="false" outlineLevel="0" max="7" min="7" style="1" width="28"/>
    <col collapsed="false" customWidth="true" hidden="false" outlineLevel="0" max="8" min="8" style="1" width="4"/>
    <col collapsed="false" customWidth="true" hidden="false" outlineLevel="0" max="9" min="9" style="1" width="16"/>
    <col collapsed="false" customWidth="true" hidden="false" outlineLevel="0" max="10" min="10" style="1" width="4"/>
  </cols>
  <sheetData>
    <row r="2" customFormat="false" ht="21.75" hidden="false" customHeight="true" outlineLevel="0" collapsed="false">
      <c r="B2" s="2" t="s">
        <v>1014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1015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6" t="s">
        <v>1016</v>
      </c>
      <c r="D5" s="59" t="n">
        <v>46113</v>
      </c>
    </row>
    <row r="7" customFormat="false" ht="15" hidden="false" customHeight="true" outlineLevel="0" collapsed="false">
      <c r="B7" s="57" t="s">
        <v>1017</v>
      </c>
      <c r="C7" s="57"/>
      <c r="D7" s="57"/>
      <c r="E7" s="57"/>
      <c r="G7" s="57" t="s">
        <v>1018</v>
      </c>
      <c r="H7" s="57"/>
      <c r="I7" s="57"/>
      <c r="J7" s="57"/>
    </row>
    <row r="8" customFormat="false" ht="15.75" hidden="false" customHeight="true" outlineLevel="0" collapsed="false">
      <c r="B8" s="60" t="s">
        <v>1019</v>
      </c>
      <c r="C8" s="60"/>
      <c r="D8" s="61" t="n">
        <f aca="false">INDEX('Monthly P&amp;L'!C12:N12,MATCH(MONTH($D$5),{1,2,3,4,5,6,7,8,9,10,11,12},0))</f>
        <v>1293.05</v>
      </c>
      <c r="G8" s="60" t="s">
        <v>1020</v>
      </c>
      <c r="H8" s="60"/>
      <c r="I8" s="61" t="n">
        <f aca="false">'Monthly P&amp;L'!O12</f>
        <v>7270.61</v>
      </c>
    </row>
    <row r="9" customFormat="false" ht="15.75" hidden="false" customHeight="true" outlineLevel="0" collapsed="false">
      <c r="B9" s="60" t="s">
        <v>974</v>
      </c>
      <c r="C9" s="60"/>
      <c r="D9" s="61" t="n">
        <f aca="false">INDEX('Monthly P&amp;L'!C9:N9,MATCH(MONTH($D$5),{1,2,3,4,5,6,7,8,9,10,11,12},0))</f>
        <v>1293.05</v>
      </c>
      <c r="G9" s="60" t="s">
        <v>1021</v>
      </c>
      <c r="H9" s="60"/>
      <c r="I9" s="61" t="n">
        <f aca="false">'Monthly P&amp;L'!O9</f>
        <v>7200.99</v>
      </c>
    </row>
    <row r="10" customFormat="false" ht="15.75" hidden="false" customHeight="true" outlineLevel="0" collapsed="false">
      <c r="B10" s="60" t="s">
        <v>1022</v>
      </c>
      <c r="C10" s="60"/>
      <c r="D10" s="61" t="n">
        <f aca="false">INDEX('Monthly P&amp;L'!C10:N10,MATCH(MONTH($D$5),{1,2,3,4,5,6,7,8,9,10,11,12},0))+INDEX('Monthly P&amp;L'!C11:N11,MATCH(MONTH($D$5),{1,2,3,4,5,6,7,8,9,10,11,12},0))</f>
        <v>0</v>
      </c>
      <c r="G10" s="60" t="s">
        <v>1023</v>
      </c>
      <c r="H10" s="60"/>
      <c r="I10" s="61" t="n">
        <f aca="false">'Monthly P&amp;L'!O10+'Monthly P&amp;L'!O11</f>
        <v>69.62</v>
      </c>
    </row>
    <row r="11" customFormat="false" ht="15.75" hidden="false" customHeight="true" outlineLevel="0" collapsed="false">
      <c r="B11" s="60" t="s">
        <v>995</v>
      </c>
      <c r="C11" s="60"/>
      <c r="D11" s="61" t="n">
        <f aca="false">INDEX('Monthly P&amp;L'!C24:N24,MATCH(MONTH($D$5),{1,2,3,4,5,6,7,8,9,10,11,12},0))</f>
        <v>1293.05</v>
      </c>
      <c r="G11" s="60" t="s">
        <v>1024</v>
      </c>
      <c r="H11" s="60"/>
      <c r="I11" s="61" t="n">
        <f aca="false">'Monthly P&amp;L'!O24</f>
        <v>4532.39</v>
      </c>
    </row>
    <row r="12" customFormat="false" ht="15.75" hidden="false" customHeight="true" outlineLevel="0" collapsed="false">
      <c r="B12" s="60" t="s">
        <v>997</v>
      </c>
      <c r="C12" s="60"/>
      <c r="D12" s="61" t="n">
        <f aca="false">INDEX('Monthly P&amp;L'!C36:N36,MATCH(MONTH($D$5),{1,2,3,4,5,6,7,8,9,10,11,12},0))</f>
        <v>1293.05</v>
      </c>
      <c r="G12" s="60" t="s">
        <v>1025</v>
      </c>
      <c r="H12" s="60"/>
      <c r="I12" s="61" t="n">
        <f aca="false">'Monthly P&amp;L'!O36</f>
        <v>263.28</v>
      </c>
    </row>
    <row r="13" customFormat="false" ht="15.75" hidden="false" customHeight="true" outlineLevel="0" collapsed="false">
      <c r="B13" s="60" t="s">
        <v>981</v>
      </c>
      <c r="C13" s="60"/>
      <c r="D13" s="62" t="n">
        <f aca="false">INDEX('Monthly P&amp;L'!C25:N25,MATCH(MONTH($D$5),{1,2,3,4,5,6,7,8,9,10,11,12},0))</f>
        <v>1</v>
      </c>
      <c r="G13" s="60" t="s">
        <v>1026</v>
      </c>
      <c r="H13" s="60"/>
      <c r="I13" s="62" t="n">
        <f aca="false">'Monthly P&amp;L'!O25</f>
        <v>0.215981718606251</v>
      </c>
    </row>
    <row r="14" customFormat="false" ht="15.75" hidden="false" customHeight="true" outlineLevel="0" collapsed="false">
      <c r="B14" s="60" t="s">
        <v>985</v>
      </c>
      <c r="C14" s="60"/>
      <c r="D14" s="62" t="n">
        <f aca="false">INDEX('Monthly P&amp;L'!C37:N37,MATCH(MONTH($D$5),{1,2,3,4,5,6,7,8,9,10,11,12},0))</f>
        <v>1</v>
      </c>
      <c r="G14" s="60" t="s">
        <v>1027</v>
      </c>
      <c r="H14" s="60"/>
      <c r="I14" s="62" t="n">
        <f aca="false">'Monthly P&amp;L'!O37</f>
        <v>0.0402517717977841</v>
      </c>
    </row>
    <row r="17" customFormat="false" ht="15" hidden="false" customHeight="true" outlineLevel="0" collapsed="false">
      <c r="B17" s="57" t="s">
        <v>1028</v>
      </c>
      <c r="C17" s="57"/>
      <c r="D17" s="57"/>
    </row>
    <row r="18" customFormat="false" ht="15" hidden="false" customHeight="true" outlineLevel="0" collapsed="false">
      <c r="B18" s="14" t="s">
        <v>1029</v>
      </c>
      <c r="C18" s="14"/>
      <c r="D18" s="22" t="n">
        <v>5000</v>
      </c>
    </row>
    <row r="19" customFormat="false" ht="15" hidden="false" customHeight="true" outlineLevel="0" collapsed="false">
      <c r="B19" s="14" t="s">
        <v>1030</v>
      </c>
      <c r="C19" s="14"/>
      <c r="D19" s="13" t="n">
        <f aca="false">INDEX('Monthly P&amp;L'!C12:N12,MATCH(MONTH($D$5),{1,2,3,4,5,6,7,8,9,10,11,12},0))</f>
        <v>1293.05</v>
      </c>
    </row>
    <row r="20" customFormat="false" ht="15" hidden="false" customHeight="true" outlineLevel="0" collapsed="false">
      <c r="B20" s="14" t="s">
        <v>1031</v>
      </c>
      <c r="C20" s="14"/>
      <c r="D20" s="63" t="n">
        <f aca="false">IFERROR(D19/D18,0)</f>
        <v>0.25861</v>
      </c>
    </row>
  </sheetData>
  <mergeCells count="22">
    <mergeCell ref="B2:G2"/>
    <mergeCell ref="B3:G3"/>
    <mergeCell ref="B7:E7"/>
    <mergeCell ref="G7:J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17:D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5" min="3" style="1" width="20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0"/>
  </cols>
  <sheetData>
    <row r="2" customFormat="false" ht="17.25" hidden="false" customHeight="true" outlineLevel="0" collapsed="false">
      <c r="B2" s="9" t="s">
        <v>1032</v>
      </c>
    </row>
    <row r="3" customFormat="false" ht="15" hidden="false" customHeight="true" outlineLevel="0" collapsed="false">
      <c r="B3" s="3" t="s">
        <v>1033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20" t="s">
        <v>1034</v>
      </c>
      <c r="C5" s="20"/>
      <c r="D5" s="20"/>
      <c r="E5" s="20"/>
      <c r="F5" s="20"/>
      <c r="G5" s="20"/>
    </row>
    <row r="6" customFormat="false" ht="24" hidden="false" customHeight="true" outlineLevel="0" collapsed="false">
      <c r="B6" s="6" t="s">
        <v>1035</v>
      </c>
      <c r="C6" s="5" t="s">
        <v>1036</v>
      </c>
      <c r="D6" s="5"/>
      <c r="E6" s="5"/>
      <c r="F6" s="5"/>
      <c r="G6" s="6"/>
    </row>
    <row r="7" customFormat="false" ht="24" hidden="false" customHeight="true" outlineLevel="0" collapsed="false">
      <c r="B7" s="6" t="s">
        <v>1037</v>
      </c>
      <c r="C7" s="5" t="s">
        <v>1038</v>
      </c>
      <c r="D7" s="5"/>
      <c r="E7" s="5"/>
      <c r="F7" s="5"/>
      <c r="G7" s="6"/>
    </row>
    <row r="8" customFormat="false" ht="24" hidden="false" customHeight="true" outlineLevel="0" collapsed="false">
      <c r="B8" s="6" t="s">
        <v>1039</v>
      </c>
      <c r="C8" s="5" t="s">
        <v>1040</v>
      </c>
      <c r="D8" s="5"/>
      <c r="E8" s="5"/>
      <c r="F8" s="5"/>
      <c r="G8" s="6"/>
    </row>
    <row r="9" customFormat="false" ht="24" hidden="false" customHeight="true" outlineLevel="0" collapsed="false">
      <c r="B9" s="6" t="s">
        <v>1041</v>
      </c>
      <c r="C9" s="5" t="s">
        <v>1042</v>
      </c>
      <c r="D9" s="5"/>
      <c r="E9" s="5"/>
      <c r="F9" s="5"/>
      <c r="G9" s="6"/>
    </row>
    <row r="11" customFormat="false" ht="15" hidden="false" customHeight="true" outlineLevel="0" collapsed="false">
      <c r="B11" s="20" t="s">
        <v>1043</v>
      </c>
      <c r="C11" s="20"/>
      <c r="D11" s="20"/>
      <c r="E11" s="20"/>
      <c r="F11" s="20"/>
      <c r="G11" s="20"/>
    </row>
    <row r="12" customFormat="false" ht="24" hidden="false" customHeight="true" outlineLevel="0" collapsed="false">
      <c r="B12" s="6" t="s">
        <v>1044</v>
      </c>
      <c r="C12" s="5" t="s">
        <v>1045</v>
      </c>
      <c r="D12" s="5"/>
      <c r="E12" s="5"/>
      <c r="F12" s="5"/>
      <c r="G12" s="6" t="s">
        <v>1046</v>
      </c>
    </row>
    <row r="13" customFormat="false" ht="24" hidden="false" customHeight="true" outlineLevel="0" collapsed="false">
      <c r="B13" s="6" t="s">
        <v>1047</v>
      </c>
      <c r="C13" s="5" t="s">
        <v>1048</v>
      </c>
      <c r="D13" s="5"/>
      <c r="E13" s="5"/>
      <c r="F13" s="5"/>
      <c r="G13" s="6" t="s">
        <v>1049</v>
      </c>
    </row>
    <row r="14" customFormat="false" ht="24" hidden="false" customHeight="true" outlineLevel="0" collapsed="false">
      <c r="B14" s="6" t="s">
        <v>1050</v>
      </c>
      <c r="C14" s="5" t="s">
        <v>1051</v>
      </c>
      <c r="D14" s="5"/>
      <c r="E14" s="5"/>
      <c r="F14" s="5"/>
      <c r="G14" s="6" t="s">
        <v>1052</v>
      </c>
    </row>
    <row r="15" customFormat="false" ht="24" hidden="false" customHeight="true" outlineLevel="0" collapsed="false">
      <c r="B15" s="6" t="s">
        <v>1053</v>
      </c>
      <c r="C15" s="5" t="s">
        <v>1054</v>
      </c>
      <c r="D15" s="5"/>
      <c r="E15" s="5"/>
      <c r="F15" s="5"/>
      <c r="G15" s="6" t="s">
        <v>1055</v>
      </c>
    </row>
    <row r="16" customFormat="false" ht="24" hidden="false" customHeight="true" outlineLevel="0" collapsed="false">
      <c r="B16" s="6" t="s">
        <v>1056</v>
      </c>
      <c r="C16" s="5" t="s">
        <v>1057</v>
      </c>
      <c r="D16" s="5"/>
      <c r="E16" s="5"/>
      <c r="F16" s="5"/>
      <c r="G16" s="6" t="s">
        <v>1058</v>
      </c>
    </row>
    <row r="17" customFormat="false" ht="24" hidden="false" customHeight="true" outlineLevel="0" collapsed="false">
      <c r="B17" s="6" t="s">
        <v>1059</v>
      </c>
      <c r="C17" s="5" t="s">
        <v>1060</v>
      </c>
      <c r="D17" s="5"/>
      <c r="E17" s="5"/>
      <c r="F17" s="5"/>
      <c r="G17" s="6" t="s">
        <v>1061</v>
      </c>
    </row>
    <row r="18" customFormat="false" ht="24" hidden="false" customHeight="true" outlineLevel="0" collapsed="false">
      <c r="B18" s="6" t="s">
        <v>1062</v>
      </c>
      <c r="C18" s="5" t="s">
        <v>1063</v>
      </c>
      <c r="D18" s="5"/>
      <c r="E18" s="5"/>
      <c r="F18" s="5"/>
      <c r="G18" s="6" t="s">
        <v>1064</v>
      </c>
    </row>
    <row r="19" customFormat="false" ht="24" hidden="false" customHeight="true" outlineLevel="0" collapsed="false">
      <c r="B19" s="6" t="s">
        <v>1065</v>
      </c>
      <c r="C19" s="5" t="s">
        <v>1066</v>
      </c>
      <c r="D19" s="5"/>
      <c r="E19" s="5"/>
      <c r="F19" s="5"/>
      <c r="G19" s="6" t="s">
        <v>1058</v>
      </c>
    </row>
    <row r="20" customFormat="false" ht="24" hidden="false" customHeight="true" outlineLevel="0" collapsed="false">
      <c r="B20" s="6" t="s">
        <v>1067</v>
      </c>
      <c r="C20" s="5" t="s">
        <v>1068</v>
      </c>
      <c r="D20" s="5"/>
      <c r="E20" s="5"/>
      <c r="F20" s="5"/>
      <c r="G20" s="6" t="s">
        <v>1069</v>
      </c>
    </row>
    <row r="21" customFormat="false" ht="24" hidden="false" customHeight="true" outlineLevel="0" collapsed="false">
      <c r="B21" s="6" t="s">
        <v>1070</v>
      </c>
      <c r="C21" s="5" t="s">
        <v>1071</v>
      </c>
      <c r="D21" s="5"/>
      <c r="E21" s="5"/>
      <c r="F21" s="5"/>
      <c r="G21" s="6" t="s">
        <v>1046</v>
      </c>
    </row>
    <row r="22" customFormat="false" ht="24" hidden="false" customHeight="true" outlineLevel="0" collapsed="false">
      <c r="B22" s="6" t="s">
        <v>1072</v>
      </c>
      <c r="C22" s="5" t="s">
        <v>1073</v>
      </c>
      <c r="D22" s="5"/>
      <c r="E22" s="5"/>
      <c r="F22" s="5"/>
      <c r="G22" s="6" t="s">
        <v>1046</v>
      </c>
    </row>
    <row r="23" customFormat="false" ht="24" hidden="false" customHeight="true" outlineLevel="0" collapsed="false">
      <c r="B23" s="6" t="s">
        <v>1074</v>
      </c>
      <c r="C23" s="5" t="s">
        <v>1075</v>
      </c>
      <c r="D23" s="5"/>
      <c r="E23" s="5"/>
      <c r="F23" s="5"/>
      <c r="G23" s="6" t="s">
        <v>1058</v>
      </c>
    </row>
    <row r="24" customFormat="false" ht="24" hidden="false" customHeight="true" outlineLevel="0" collapsed="false">
      <c r="B24" s="6" t="s">
        <v>1076</v>
      </c>
      <c r="C24" s="5" t="s">
        <v>1077</v>
      </c>
      <c r="D24" s="5"/>
      <c r="E24" s="5"/>
      <c r="F24" s="5"/>
      <c r="G24" s="6" t="s">
        <v>1049</v>
      </c>
    </row>
    <row r="26" customFormat="false" ht="15" hidden="false" customHeight="true" outlineLevel="0" collapsed="false">
      <c r="B26" s="20" t="s">
        <v>1078</v>
      </c>
      <c r="C26" s="20"/>
      <c r="D26" s="20"/>
      <c r="E26" s="20"/>
      <c r="F26" s="20"/>
      <c r="G26" s="20"/>
    </row>
    <row r="27" customFormat="false" ht="24" hidden="false" customHeight="true" outlineLevel="0" collapsed="false">
      <c r="B27" s="6" t="s">
        <v>1079</v>
      </c>
      <c r="C27" s="5" t="s">
        <v>1080</v>
      </c>
      <c r="D27" s="5"/>
      <c r="E27" s="5"/>
      <c r="F27" s="5"/>
      <c r="G27" s="6"/>
    </row>
    <row r="28" customFormat="false" ht="24" hidden="false" customHeight="true" outlineLevel="0" collapsed="false">
      <c r="B28" s="6" t="s">
        <v>1081</v>
      </c>
      <c r="C28" s="5" t="s">
        <v>1082</v>
      </c>
      <c r="D28" s="5"/>
      <c r="E28" s="5"/>
      <c r="F28" s="5"/>
      <c r="G28" s="6"/>
    </row>
    <row r="29" customFormat="false" ht="24" hidden="false" customHeight="true" outlineLevel="0" collapsed="false">
      <c r="B29" s="6" t="s">
        <v>1083</v>
      </c>
      <c r="C29" s="5" t="s">
        <v>1084</v>
      </c>
      <c r="D29" s="5"/>
      <c r="E29" s="5"/>
      <c r="F29" s="5"/>
      <c r="G29" s="6"/>
    </row>
    <row r="30" customFormat="false" ht="24" hidden="false" customHeight="true" outlineLevel="0" collapsed="false">
      <c r="B30" s="6" t="s">
        <v>1085</v>
      </c>
      <c r="C30" s="5" t="s">
        <v>1086</v>
      </c>
      <c r="D30" s="5"/>
      <c r="E30" s="5"/>
      <c r="F30" s="5"/>
      <c r="G30" s="6"/>
    </row>
    <row r="31" customFormat="false" ht="24" hidden="false" customHeight="true" outlineLevel="0" collapsed="false">
      <c r="B31" s="6" t="s">
        <v>1087</v>
      </c>
      <c r="C31" s="5" t="s">
        <v>1088</v>
      </c>
      <c r="D31" s="5"/>
      <c r="E31" s="5"/>
      <c r="F31" s="5"/>
      <c r="G31" s="6"/>
    </row>
    <row r="32" customFormat="false" ht="24" hidden="false" customHeight="true" outlineLevel="0" collapsed="false">
      <c r="B32" s="6" t="s">
        <v>1089</v>
      </c>
      <c r="C32" s="5" t="s">
        <v>1090</v>
      </c>
      <c r="D32" s="5"/>
      <c r="E32" s="5"/>
      <c r="F32" s="5"/>
      <c r="G32" s="6"/>
    </row>
    <row r="33" customFormat="false" ht="24" hidden="false" customHeight="true" outlineLevel="0" collapsed="false">
      <c r="B33" s="6" t="s">
        <v>1091</v>
      </c>
      <c r="C33" s="5" t="s">
        <v>1092</v>
      </c>
      <c r="D33" s="5"/>
      <c r="E33" s="5"/>
      <c r="F33" s="5"/>
      <c r="G33" s="6"/>
    </row>
    <row r="34" customFormat="false" ht="24" hidden="false" customHeight="true" outlineLevel="0" collapsed="false">
      <c r="B34" s="6" t="s">
        <v>1093</v>
      </c>
      <c r="C34" s="5" t="s">
        <v>1094</v>
      </c>
      <c r="D34" s="5"/>
      <c r="E34" s="5"/>
      <c r="F34" s="5"/>
      <c r="G34" s="6"/>
    </row>
    <row r="35" customFormat="false" ht="24" hidden="false" customHeight="true" outlineLevel="0" collapsed="false">
      <c r="B35" s="6" t="s">
        <v>1095</v>
      </c>
      <c r="C35" s="5" t="s">
        <v>1096</v>
      </c>
      <c r="D35" s="5"/>
      <c r="E35" s="5"/>
      <c r="F35" s="5"/>
      <c r="G35" s="6"/>
    </row>
    <row r="36" customFormat="false" ht="24" hidden="false" customHeight="true" outlineLevel="0" collapsed="false">
      <c r="B36" s="6" t="s">
        <v>1097</v>
      </c>
      <c r="C36" s="5" t="s">
        <v>1098</v>
      </c>
      <c r="D36" s="5"/>
      <c r="E36" s="5"/>
      <c r="F36" s="5"/>
      <c r="G36" s="6"/>
    </row>
    <row r="38" customFormat="false" ht="15" hidden="false" customHeight="true" outlineLevel="0" collapsed="false">
      <c r="B38" s="20" t="s">
        <v>1099</v>
      </c>
      <c r="C38" s="20"/>
      <c r="D38" s="20"/>
      <c r="E38" s="20"/>
      <c r="F38" s="20"/>
      <c r="G38" s="20"/>
    </row>
    <row r="39" customFormat="false" ht="24" hidden="false" customHeight="true" outlineLevel="0" collapsed="false">
      <c r="B39" s="6" t="s">
        <v>438</v>
      </c>
      <c r="C39" s="5" t="s">
        <v>1100</v>
      </c>
      <c r="D39" s="5"/>
      <c r="E39" s="5"/>
      <c r="F39" s="5"/>
      <c r="G39" s="6"/>
    </row>
    <row r="40" customFormat="false" ht="24" hidden="false" customHeight="true" outlineLevel="0" collapsed="false">
      <c r="B40" s="6" t="s">
        <v>310</v>
      </c>
      <c r="C40" s="5" t="s">
        <v>1101</v>
      </c>
      <c r="D40" s="5"/>
      <c r="E40" s="5"/>
      <c r="F40" s="5"/>
      <c r="G40" s="6"/>
    </row>
    <row r="41" customFormat="false" ht="24" hidden="false" customHeight="true" outlineLevel="0" collapsed="false">
      <c r="B41" s="6" t="s">
        <v>1102</v>
      </c>
      <c r="C41" s="5" t="s">
        <v>1103</v>
      </c>
      <c r="D41" s="5"/>
      <c r="E41" s="5"/>
      <c r="F41" s="5"/>
      <c r="G41" s="6"/>
    </row>
    <row r="42" customFormat="false" ht="24" hidden="false" customHeight="true" outlineLevel="0" collapsed="false">
      <c r="B42" s="6" t="s">
        <v>1104</v>
      </c>
      <c r="C42" s="5" t="s">
        <v>1105</v>
      </c>
      <c r="D42" s="5"/>
      <c r="E42" s="5"/>
      <c r="F42" s="5"/>
      <c r="G42" s="6"/>
    </row>
    <row r="43" customFormat="false" ht="24" hidden="false" customHeight="true" outlineLevel="0" collapsed="false">
      <c r="B43" s="6" t="s">
        <v>1106</v>
      </c>
      <c r="C43" s="5" t="s">
        <v>1107</v>
      </c>
      <c r="D43" s="5"/>
      <c r="E43" s="5"/>
      <c r="F43" s="5"/>
      <c r="G43" s="6"/>
    </row>
    <row r="44" customFormat="false" ht="24" hidden="false" customHeight="true" outlineLevel="0" collapsed="false">
      <c r="B44" s="6" t="s">
        <v>1108</v>
      </c>
      <c r="C44" s="5" t="s">
        <v>1109</v>
      </c>
      <c r="D44" s="5"/>
      <c r="E44" s="5"/>
      <c r="F44" s="5"/>
      <c r="G44" s="6"/>
    </row>
    <row r="45" customFormat="false" ht="24" hidden="false" customHeight="true" outlineLevel="0" collapsed="false">
      <c r="B45" s="6" t="s">
        <v>454</v>
      </c>
      <c r="C45" s="5" t="s">
        <v>1110</v>
      </c>
      <c r="D45" s="5"/>
      <c r="E45" s="5"/>
      <c r="F45" s="5"/>
      <c r="G45" s="6"/>
    </row>
    <row r="46" customFormat="false" ht="24" hidden="false" customHeight="true" outlineLevel="0" collapsed="false">
      <c r="B46" s="6" t="s">
        <v>1111</v>
      </c>
      <c r="C46" s="5" t="s">
        <v>1112</v>
      </c>
      <c r="D46" s="5"/>
      <c r="E46" s="5"/>
      <c r="F46" s="5"/>
      <c r="G46" s="6"/>
    </row>
    <row r="47" customFormat="false" ht="24" hidden="false" customHeight="true" outlineLevel="0" collapsed="false">
      <c r="B47" s="6" t="s">
        <v>1113</v>
      </c>
      <c r="C47" s="5" t="s">
        <v>1114</v>
      </c>
      <c r="D47" s="5"/>
      <c r="E47" s="5"/>
      <c r="F47" s="5"/>
      <c r="G47" s="6"/>
    </row>
    <row r="48" customFormat="false" ht="24" hidden="false" customHeight="true" outlineLevel="0" collapsed="false">
      <c r="B48" s="6" t="s">
        <v>1115</v>
      </c>
      <c r="C48" s="5" t="s">
        <v>1116</v>
      </c>
      <c r="D48" s="5"/>
      <c r="E48" s="5"/>
      <c r="F48" s="5"/>
      <c r="G48" s="6"/>
    </row>
    <row r="49" customFormat="false" ht="24" hidden="false" customHeight="true" outlineLevel="0" collapsed="false">
      <c r="B49" s="6" t="s">
        <v>1117</v>
      </c>
      <c r="C49" s="5" t="s">
        <v>1118</v>
      </c>
      <c r="D49" s="5"/>
      <c r="E49" s="5"/>
      <c r="F49" s="5"/>
      <c r="G49" s="6"/>
    </row>
    <row r="50" customFormat="false" ht="24" hidden="false" customHeight="true" outlineLevel="0" collapsed="false">
      <c r="B50" s="6" t="s">
        <v>1119</v>
      </c>
      <c r="C50" s="5" t="s">
        <v>1120</v>
      </c>
      <c r="D50" s="5"/>
      <c r="E50" s="5"/>
      <c r="F50" s="5"/>
      <c r="G50" s="6"/>
    </row>
    <row r="52" customFormat="false" ht="15" hidden="false" customHeight="true" outlineLevel="0" collapsed="false">
      <c r="B52" s="20" t="s">
        <v>1121</v>
      </c>
      <c r="C52" s="20"/>
      <c r="D52" s="20"/>
      <c r="E52" s="20"/>
      <c r="F52" s="20"/>
      <c r="G52" s="20"/>
    </row>
    <row r="53" customFormat="false" ht="24" hidden="false" customHeight="true" outlineLevel="0" collapsed="false">
      <c r="B53" s="6" t="s">
        <v>1122</v>
      </c>
      <c r="C53" s="5" t="s">
        <v>1123</v>
      </c>
      <c r="D53" s="5"/>
      <c r="E53" s="5"/>
      <c r="F53" s="5"/>
      <c r="G53" s="6"/>
    </row>
    <row r="54" customFormat="false" ht="24" hidden="false" customHeight="true" outlineLevel="0" collapsed="false">
      <c r="B54" s="6" t="s">
        <v>1124</v>
      </c>
      <c r="C54" s="5" t="s">
        <v>1125</v>
      </c>
      <c r="D54" s="5"/>
      <c r="E54" s="5"/>
      <c r="F54" s="5"/>
      <c r="G54" s="6"/>
    </row>
    <row r="55" customFormat="false" ht="24" hidden="false" customHeight="true" outlineLevel="0" collapsed="false">
      <c r="B55" s="6" t="s">
        <v>1126</v>
      </c>
      <c r="C55" s="5" t="s">
        <v>1127</v>
      </c>
      <c r="D55" s="5"/>
      <c r="E55" s="5"/>
      <c r="F55" s="5"/>
      <c r="G55" s="6"/>
    </row>
    <row r="56" customFormat="false" ht="24" hidden="false" customHeight="true" outlineLevel="0" collapsed="false">
      <c r="B56" s="6" t="s">
        <v>1128</v>
      </c>
      <c r="C56" s="5" t="s">
        <v>1129</v>
      </c>
      <c r="D56" s="5"/>
      <c r="E56" s="5"/>
      <c r="F56" s="5"/>
      <c r="G56" s="6"/>
    </row>
  </sheetData>
  <mergeCells count="49">
    <mergeCell ref="B3:G3"/>
    <mergeCell ref="B5:G5"/>
    <mergeCell ref="C6:F6"/>
    <mergeCell ref="C7:F7"/>
    <mergeCell ref="C8:F8"/>
    <mergeCell ref="C9:F9"/>
    <mergeCell ref="B11:G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B26:G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B38:G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B52:G52"/>
    <mergeCell ref="C53:F53"/>
    <mergeCell ref="C54:F54"/>
    <mergeCell ref="C55:F55"/>
    <mergeCell ref="C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36"/>
    <col collapsed="false" customWidth="true" hidden="false" outlineLevel="0" max="6" min="5" style="1" width="14"/>
    <col collapsed="false" customWidth="true" hidden="false" outlineLevel="0" max="7" min="7" style="1" width="36"/>
  </cols>
  <sheetData>
    <row r="2" customFormat="false" ht="17.25" hidden="false" customHeight="true" outlineLevel="0" collapsed="false">
      <c r="B2" s="9" t="s">
        <v>1130</v>
      </c>
    </row>
    <row r="3" customFormat="false" ht="15" hidden="false" customHeight="true" outlineLevel="0" collapsed="false">
      <c r="B3" s="3" t="s">
        <v>1131</v>
      </c>
      <c r="C3" s="3"/>
      <c r="D3" s="3"/>
      <c r="E3" s="3"/>
      <c r="F3" s="3"/>
    </row>
    <row r="5" customFormat="false" ht="26.25" hidden="false" customHeight="true" outlineLevel="0" collapsed="false">
      <c r="B5" s="64" t="s">
        <v>526</v>
      </c>
      <c r="C5" s="64" t="s">
        <v>1132</v>
      </c>
      <c r="D5" s="64" t="s">
        <v>1133</v>
      </c>
      <c r="E5" s="64" t="s">
        <v>1134</v>
      </c>
      <c r="F5" s="64" t="s">
        <v>1135</v>
      </c>
      <c r="G5" s="64" t="s">
        <v>263</v>
      </c>
    </row>
    <row r="6" customFormat="false" ht="15" hidden="false" customHeight="true" outlineLevel="0" collapsed="false">
      <c r="B6" s="36" t="n">
        <v>45908</v>
      </c>
      <c r="C6" s="4" t="s">
        <v>1136</v>
      </c>
      <c r="D6" s="4" t="s">
        <v>1137</v>
      </c>
      <c r="E6" s="38" t="n">
        <v>3500</v>
      </c>
      <c r="F6" s="38"/>
      <c r="G6" s="4" t="s">
        <v>1138</v>
      </c>
    </row>
    <row r="7" customFormat="false" ht="15" hidden="false" customHeight="true" outlineLevel="0" collapsed="false">
      <c r="B7" s="36" t="n">
        <v>45965</v>
      </c>
      <c r="C7" s="4" t="s">
        <v>1136</v>
      </c>
      <c r="D7" s="4" t="s">
        <v>1137</v>
      </c>
      <c r="E7" s="38" t="n">
        <v>2000</v>
      </c>
      <c r="F7" s="38"/>
      <c r="G7" s="4" t="s">
        <v>1138</v>
      </c>
    </row>
    <row r="8" customFormat="false" ht="15" hidden="false" customHeight="true" outlineLevel="0" collapsed="false">
      <c r="B8" s="36" t="n">
        <v>46001</v>
      </c>
      <c r="C8" s="4" t="s">
        <v>1136</v>
      </c>
      <c r="D8" s="4" t="s">
        <v>1139</v>
      </c>
      <c r="E8" s="38" t="n">
        <v>450</v>
      </c>
      <c r="F8" s="38"/>
      <c r="G8" s="4" t="s">
        <v>1138</v>
      </c>
    </row>
    <row r="9" customFormat="false" ht="15" hidden="false" customHeight="true" outlineLevel="0" collapsed="false">
      <c r="B9" s="36" t="n">
        <v>46083</v>
      </c>
      <c r="C9" s="4" t="s">
        <v>1136</v>
      </c>
      <c r="D9" s="4" t="s">
        <v>1139</v>
      </c>
      <c r="E9" s="38" t="n">
        <v>200</v>
      </c>
      <c r="F9" s="38"/>
      <c r="G9" s="4" t="s">
        <v>1138</v>
      </c>
    </row>
    <row r="10" customFormat="false" ht="15" hidden="false" customHeight="true" outlineLevel="0" collapsed="false">
      <c r="B10" s="36" t="n">
        <v>46111</v>
      </c>
      <c r="C10" s="4" t="s">
        <v>1136</v>
      </c>
      <c r="D10" s="4" t="s">
        <v>1140</v>
      </c>
      <c r="E10" s="38" t="n">
        <v>700</v>
      </c>
      <c r="F10" s="38"/>
      <c r="G10" s="4" t="s">
        <v>1138</v>
      </c>
    </row>
    <row r="11" customFormat="false" ht="15" hidden="false" customHeight="true" outlineLevel="0" collapsed="false">
      <c r="B11" s="36" t="n">
        <v>45951</v>
      </c>
      <c r="C11" s="4" t="s">
        <v>1141</v>
      </c>
      <c r="D11" s="4" t="s">
        <v>878</v>
      </c>
      <c r="E11" s="38"/>
      <c r="F11" s="38" t="n">
        <v>200</v>
      </c>
      <c r="G11" s="4" t="s">
        <v>1142</v>
      </c>
    </row>
    <row r="12" customFormat="false" ht="15" hidden="false" customHeight="true" outlineLevel="0" collapsed="false">
      <c r="B12" s="36" t="n">
        <v>45984</v>
      </c>
      <c r="C12" s="4" t="s">
        <v>1141</v>
      </c>
      <c r="D12" s="4" t="s">
        <v>900</v>
      </c>
      <c r="E12" s="38"/>
      <c r="F12" s="38" t="n">
        <v>13</v>
      </c>
      <c r="G12" s="4" t="s">
        <v>1143</v>
      </c>
    </row>
    <row r="13" customFormat="false" ht="15" hidden="false" customHeight="true" outlineLevel="0" collapsed="false">
      <c r="B13" s="36" t="n">
        <v>45984</v>
      </c>
      <c r="C13" s="4" t="s">
        <v>1141</v>
      </c>
      <c r="D13" s="4" t="s">
        <v>907</v>
      </c>
      <c r="E13" s="38"/>
      <c r="F13" s="38" t="n">
        <v>82.89</v>
      </c>
      <c r="G13" s="4" t="s">
        <v>1144</v>
      </c>
    </row>
    <row r="14" customFormat="false" ht="15" hidden="false" customHeight="true" outlineLevel="0" collapsed="false">
      <c r="B14" s="36" t="n">
        <v>45984</v>
      </c>
      <c r="C14" s="4" t="s">
        <v>1141</v>
      </c>
      <c r="D14" s="4" t="s">
        <v>910</v>
      </c>
      <c r="E14" s="38"/>
      <c r="F14" s="38" t="n">
        <v>3</v>
      </c>
      <c r="G14" s="4" t="s">
        <v>1145</v>
      </c>
    </row>
    <row r="15" customFormat="false" ht="15" hidden="false" customHeight="true" outlineLevel="0" collapsed="false">
      <c r="B15" s="36" t="n">
        <v>45985</v>
      </c>
      <c r="C15" s="4" t="s">
        <v>1141</v>
      </c>
      <c r="D15" s="4" t="s">
        <v>913</v>
      </c>
      <c r="E15" s="38"/>
      <c r="F15" s="38" t="n">
        <v>4</v>
      </c>
      <c r="G15" s="4" t="s">
        <v>1146</v>
      </c>
    </row>
    <row r="16" customFormat="false" ht="15" hidden="false" customHeight="true" outlineLevel="0" collapsed="false">
      <c r="B16" s="36" t="n">
        <v>45985</v>
      </c>
      <c r="C16" s="4" t="s">
        <v>1141</v>
      </c>
      <c r="D16" s="4" t="s">
        <v>915</v>
      </c>
      <c r="E16" s="38"/>
      <c r="F16" s="38" t="n">
        <v>18.5</v>
      </c>
      <c r="G16" s="4" t="s">
        <v>1147</v>
      </c>
    </row>
    <row r="17" customFormat="false" ht="15" hidden="false" customHeight="true" outlineLevel="0" collapsed="false">
      <c r="B17" s="36" t="n">
        <v>45985</v>
      </c>
      <c r="C17" s="4" t="s">
        <v>1141</v>
      </c>
      <c r="D17" s="4" t="s">
        <v>917</v>
      </c>
      <c r="E17" s="38"/>
      <c r="F17" s="38" t="n">
        <v>3.46</v>
      </c>
      <c r="G17" s="4" t="s">
        <v>1147</v>
      </c>
    </row>
    <row r="18" customFormat="false" ht="15" hidden="false" customHeight="true" outlineLevel="0" collapsed="false">
      <c r="B18" s="36" t="n">
        <v>45986</v>
      </c>
      <c r="C18" s="4" t="s">
        <v>1141</v>
      </c>
      <c r="D18" s="4" t="s">
        <v>920</v>
      </c>
      <c r="E18" s="38"/>
      <c r="F18" s="38" t="n">
        <v>1</v>
      </c>
      <c r="G18" s="4" t="s">
        <v>1147</v>
      </c>
    </row>
    <row r="19" customFormat="false" ht="15" hidden="false" customHeight="true" outlineLevel="0" collapsed="false">
      <c r="B19" s="36" t="n">
        <v>45986</v>
      </c>
      <c r="C19" s="4" t="s">
        <v>1141</v>
      </c>
      <c r="D19" s="4" t="s">
        <v>920</v>
      </c>
      <c r="E19" s="38"/>
      <c r="F19" s="38" t="n">
        <v>2</v>
      </c>
      <c r="G19" s="4" t="s">
        <v>1147</v>
      </c>
    </row>
    <row r="20" customFormat="false" ht="15" hidden="false" customHeight="true" outlineLevel="0" collapsed="false">
      <c r="B20" s="36" t="n">
        <v>45986</v>
      </c>
      <c r="C20" s="4" t="s">
        <v>1141</v>
      </c>
      <c r="D20" s="4" t="s">
        <v>920</v>
      </c>
      <c r="E20" s="38"/>
      <c r="F20" s="38" t="n">
        <v>1</v>
      </c>
      <c r="G20" s="4" t="s">
        <v>1147</v>
      </c>
    </row>
    <row r="21" customFormat="false" ht="15" hidden="false" customHeight="true" outlineLevel="0" collapsed="false">
      <c r="B21" s="36" t="n">
        <v>45987</v>
      </c>
      <c r="C21" s="4" t="s">
        <v>1141</v>
      </c>
      <c r="D21" s="4" t="s">
        <v>923</v>
      </c>
      <c r="E21" s="38"/>
      <c r="F21" s="38" t="n">
        <v>29.5</v>
      </c>
      <c r="G21" s="4" t="s">
        <v>1148</v>
      </c>
    </row>
    <row r="22" customFormat="false" ht="15" hidden="false" customHeight="true" outlineLevel="0" collapsed="false">
      <c r="B22" s="36" t="n">
        <v>45988</v>
      </c>
      <c r="C22" s="4" t="s">
        <v>1141</v>
      </c>
      <c r="D22" s="4" t="s">
        <v>927</v>
      </c>
      <c r="E22" s="38"/>
      <c r="F22" s="38" t="n">
        <v>20.35</v>
      </c>
      <c r="G22" s="4" t="s">
        <v>1147</v>
      </c>
    </row>
    <row r="23" customFormat="false" ht="15" hidden="false" customHeight="true" outlineLevel="0" collapsed="false">
      <c r="B23" s="36" t="n">
        <v>45988</v>
      </c>
      <c r="C23" s="4" t="s">
        <v>1141</v>
      </c>
      <c r="D23" s="4" t="s">
        <v>928</v>
      </c>
      <c r="E23" s="38"/>
      <c r="F23" s="38" t="n">
        <v>4.5</v>
      </c>
      <c r="G23" s="4" t="s">
        <v>1147</v>
      </c>
    </row>
    <row r="24" customFormat="false" ht="15" hidden="false" customHeight="true" outlineLevel="0" collapsed="false">
      <c r="B24" s="36" t="n">
        <v>45988</v>
      </c>
      <c r="C24" s="4" t="s">
        <v>1141</v>
      </c>
      <c r="D24" s="4" t="s">
        <v>929</v>
      </c>
      <c r="E24" s="38"/>
      <c r="F24" s="38" t="n">
        <v>3.55</v>
      </c>
      <c r="G24" s="4" t="s">
        <v>1144</v>
      </c>
    </row>
    <row r="25" customFormat="false" ht="15" hidden="false" customHeight="true" outlineLevel="0" collapsed="false">
      <c r="B25" s="36" t="n">
        <v>46012</v>
      </c>
      <c r="C25" s="4" t="s">
        <v>1141</v>
      </c>
      <c r="D25" s="4" t="s">
        <v>938</v>
      </c>
      <c r="E25" s="38"/>
      <c r="F25" s="38" t="n">
        <v>51.95</v>
      </c>
      <c r="G25" s="4" t="s">
        <v>1142</v>
      </c>
    </row>
    <row r="26" customFormat="false" ht="15" hidden="false" customHeight="true" outlineLevel="0" collapsed="false">
      <c r="B26" s="36" t="n">
        <v>46037</v>
      </c>
      <c r="C26" s="4" t="s">
        <v>1141</v>
      </c>
      <c r="D26" s="4" t="s">
        <v>941</v>
      </c>
      <c r="E26" s="38"/>
      <c r="F26" s="38" t="n">
        <v>3.25</v>
      </c>
      <c r="G26" s="4" t="s">
        <v>1149</v>
      </c>
    </row>
    <row r="27" customFormat="false" ht="15" hidden="false" customHeight="true" outlineLevel="0" collapsed="false">
      <c r="B27" s="36" t="n">
        <v>46039</v>
      </c>
      <c r="C27" s="4" t="s">
        <v>1141</v>
      </c>
      <c r="D27" s="4" t="s">
        <v>941</v>
      </c>
      <c r="E27" s="38"/>
      <c r="F27" s="38" t="n">
        <v>3.25</v>
      </c>
      <c r="G27" s="4" t="s">
        <v>1149</v>
      </c>
    </row>
    <row r="28" customFormat="false" ht="15" hidden="false" customHeight="true" outlineLevel="0" collapsed="false">
      <c r="B28" s="36" t="n">
        <v>46045</v>
      </c>
      <c r="C28" s="4" t="s">
        <v>1141</v>
      </c>
      <c r="D28" s="4" t="s">
        <v>941</v>
      </c>
      <c r="E28" s="38"/>
      <c r="F28" s="38" t="n">
        <v>3.25</v>
      </c>
      <c r="G28" s="4" t="s">
        <v>1149</v>
      </c>
    </row>
    <row r="29" customFormat="false" ht="15" hidden="false" customHeight="true" outlineLevel="0" collapsed="false">
      <c r="B29" s="36" t="n">
        <v>46053</v>
      </c>
      <c r="C29" s="4" t="s">
        <v>1141</v>
      </c>
      <c r="D29" s="4" t="s">
        <v>946</v>
      </c>
      <c r="E29" s="38"/>
      <c r="F29" s="38" t="n">
        <v>1.95</v>
      </c>
      <c r="G29" s="4" t="s">
        <v>1150</v>
      </c>
    </row>
    <row r="30" customFormat="false" ht="15" hidden="false" customHeight="true" outlineLevel="0" collapsed="false">
      <c r="B30" s="36" t="n">
        <v>46055</v>
      </c>
      <c r="C30" s="4" t="s">
        <v>1141</v>
      </c>
      <c r="D30" s="4" t="s">
        <v>941</v>
      </c>
      <c r="E30" s="38"/>
      <c r="F30" s="38" t="n">
        <v>3.25</v>
      </c>
      <c r="G30" s="4" t="s">
        <v>1149</v>
      </c>
    </row>
    <row r="31" customFormat="false" ht="15" hidden="false" customHeight="true" outlineLevel="0" collapsed="false">
      <c r="B31" s="36" t="n">
        <v>46055</v>
      </c>
      <c r="C31" s="4" t="s">
        <v>1141</v>
      </c>
      <c r="D31" s="4" t="s">
        <v>941</v>
      </c>
      <c r="E31" s="38"/>
      <c r="F31" s="38" t="n">
        <v>3.25</v>
      </c>
      <c r="G31" s="4" t="s">
        <v>1149</v>
      </c>
    </row>
    <row r="32" customFormat="false" ht="15" hidden="false" customHeight="true" outlineLevel="0" collapsed="false">
      <c r="B32" s="36" t="n">
        <v>46056</v>
      </c>
      <c r="C32" s="4" t="s">
        <v>1141</v>
      </c>
      <c r="D32" s="4" t="s">
        <v>941</v>
      </c>
      <c r="E32" s="38"/>
      <c r="F32" s="38" t="n">
        <v>3.25</v>
      </c>
      <c r="G32" s="4" t="s">
        <v>1149</v>
      </c>
    </row>
    <row r="33" customFormat="false" ht="15" hidden="false" customHeight="true" outlineLevel="0" collapsed="false">
      <c r="B33" s="36" t="n">
        <v>46059</v>
      </c>
      <c r="C33" s="4" t="s">
        <v>1141</v>
      </c>
      <c r="D33" s="4" t="s">
        <v>941</v>
      </c>
      <c r="E33" s="38"/>
      <c r="F33" s="38" t="n">
        <v>3.25</v>
      </c>
      <c r="G33" s="4" t="s">
        <v>1149</v>
      </c>
    </row>
    <row r="34" customFormat="false" ht="15" hidden="false" customHeight="true" outlineLevel="0" collapsed="false">
      <c r="B34" s="36" t="n">
        <v>46060</v>
      </c>
      <c r="C34" s="4" t="s">
        <v>1141</v>
      </c>
      <c r="D34" s="4" t="s">
        <v>941</v>
      </c>
      <c r="E34" s="38"/>
      <c r="F34" s="38" t="n">
        <v>3.25</v>
      </c>
      <c r="G34" s="4" t="s">
        <v>1149</v>
      </c>
    </row>
    <row r="35" customFormat="false" ht="15" hidden="false" customHeight="true" outlineLevel="0" collapsed="false">
      <c r="B35" s="36" t="n">
        <v>46061</v>
      </c>
      <c r="C35" s="4" t="s">
        <v>1141</v>
      </c>
      <c r="D35" s="4" t="s">
        <v>941</v>
      </c>
      <c r="E35" s="38"/>
      <c r="F35" s="38" t="n">
        <v>3.25</v>
      </c>
      <c r="G35" s="4" t="s">
        <v>1149</v>
      </c>
    </row>
    <row r="36" customFormat="false" ht="15" hidden="false" customHeight="true" outlineLevel="0" collapsed="false">
      <c r="B36" s="36" t="n">
        <v>46061</v>
      </c>
      <c r="C36" s="4" t="s">
        <v>1141</v>
      </c>
      <c r="D36" s="4" t="s">
        <v>941</v>
      </c>
      <c r="E36" s="38"/>
      <c r="F36" s="38" t="n">
        <v>3.25</v>
      </c>
      <c r="G36" s="4" t="s">
        <v>1149</v>
      </c>
    </row>
    <row r="37" customFormat="false" ht="15" hidden="false" customHeight="true" outlineLevel="0" collapsed="false">
      <c r="B37" s="36" t="n">
        <v>46063</v>
      </c>
      <c r="C37" s="4" t="s">
        <v>1141</v>
      </c>
      <c r="D37" s="4" t="s">
        <v>941</v>
      </c>
      <c r="E37" s="38"/>
      <c r="F37" s="38" t="n">
        <v>3.25</v>
      </c>
      <c r="G37" s="4" t="s">
        <v>1149</v>
      </c>
    </row>
    <row r="38" customFormat="false" ht="15" hidden="false" customHeight="true" outlineLevel="0" collapsed="false">
      <c r="B38" s="36" t="n">
        <v>46064</v>
      </c>
      <c r="C38" s="4" t="s">
        <v>1141</v>
      </c>
      <c r="D38" s="4" t="s">
        <v>946</v>
      </c>
      <c r="E38" s="38"/>
      <c r="F38" s="38" t="n">
        <v>5.95</v>
      </c>
      <c r="G38" s="4" t="s">
        <v>1150</v>
      </c>
    </row>
    <row r="39" customFormat="false" ht="15" hidden="false" customHeight="true" outlineLevel="0" collapsed="false">
      <c r="B39" s="36" t="n">
        <v>46075</v>
      </c>
      <c r="C39" s="4" t="s">
        <v>1141</v>
      </c>
      <c r="D39" s="4" t="s">
        <v>941</v>
      </c>
      <c r="E39" s="38"/>
      <c r="F39" s="38" t="n">
        <v>3.25</v>
      </c>
      <c r="G39" s="4" t="s">
        <v>1149</v>
      </c>
    </row>
    <row r="40" customFormat="false" ht="15" hidden="false" customHeight="true" outlineLevel="0" collapsed="false">
      <c r="B40" s="36" t="n">
        <v>46085</v>
      </c>
      <c r="C40" s="4" t="s">
        <v>1141</v>
      </c>
      <c r="D40" s="4" t="s">
        <v>941</v>
      </c>
      <c r="E40" s="38"/>
      <c r="F40" s="38" t="n">
        <v>3.25</v>
      </c>
      <c r="G40" s="4" t="s">
        <v>1149</v>
      </c>
    </row>
    <row r="41" customFormat="false" ht="15" hidden="false" customHeight="true" outlineLevel="0" collapsed="false">
      <c r="B41" s="36" t="n">
        <v>46086</v>
      </c>
      <c r="C41" s="4" t="s">
        <v>1141</v>
      </c>
      <c r="D41" s="4" t="s">
        <v>946</v>
      </c>
      <c r="E41" s="38"/>
      <c r="F41" s="38" t="n">
        <v>5.95</v>
      </c>
      <c r="G41" s="4" t="s">
        <v>1150</v>
      </c>
    </row>
    <row r="42" customFormat="false" ht="15" hidden="false" customHeight="true" outlineLevel="0" collapsed="false">
      <c r="B42" s="36" t="n">
        <v>46089</v>
      </c>
      <c r="C42" s="4" t="s">
        <v>1141</v>
      </c>
      <c r="D42" s="4" t="s">
        <v>946</v>
      </c>
      <c r="E42" s="38"/>
      <c r="F42" s="38" t="n">
        <v>3.95</v>
      </c>
      <c r="G42" s="4" t="s">
        <v>1150</v>
      </c>
    </row>
    <row r="43" customFormat="false" ht="15" hidden="false" customHeight="true" outlineLevel="0" collapsed="false">
      <c r="B43" s="36" t="n">
        <v>46090</v>
      </c>
      <c r="C43" s="4" t="s">
        <v>1141</v>
      </c>
      <c r="D43" s="4" t="s">
        <v>946</v>
      </c>
      <c r="E43" s="38"/>
      <c r="F43" s="38" t="n">
        <v>3.95</v>
      </c>
      <c r="G43" s="4" t="s">
        <v>1150</v>
      </c>
    </row>
    <row r="44" customFormat="false" ht="15" hidden="false" customHeight="true" outlineLevel="0" collapsed="false">
      <c r="B44" s="36" t="n">
        <v>46094</v>
      </c>
      <c r="C44" s="4" t="s">
        <v>1141</v>
      </c>
      <c r="D44" s="4" t="s">
        <v>946</v>
      </c>
      <c r="E44" s="38"/>
      <c r="F44" s="38" t="n">
        <v>5.95</v>
      </c>
      <c r="G44" s="4" t="s">
        <v>1150</v>
      </c>
    </row>
    <row r="45" customFormat="false" ht="15" hidden="false" customHeight="true" outlineLevel="0" collapsed="false">
      <c r="B45" s="36" t="n">
        <v>46096</v>
      </c>
      <c r="C45" s="4" t="s">
        <v>1141</v>
      </c>
      <c r="D45" s="4" t="s">
        <v>941</v>
      </c>
      <c r="E45" s="38"/>
      <c r="F45" s="38" t="n">
        <v>3.25</v>
      </c>
      <c r="G45" s="4" t="s">
        <v>1149</v>
      </c>
    </row>
    <row r="46" customFormat="false" ht="15" hidden="false" customHeight="true" outlineLevel="0" collapsed="false">
      <c r="B46" s="36" t="n">
        <v>46097</v>
      </c>
      <c r="C46" s="4" t="s">
        <v>1141</v>
      </c>
      <c r="D46" s="4" t="s">
        <v>946</v>
      </c>
      <c r="E46" s="38"/>
      <c r="F46" s="38" t="n">
        <v>3.95</v>
      </c>
      <c r="G46" s="4" t="s">
        <v>1150</v>
      </c>
    </row>
    <row r="47" customFormat="false" ht="15" hidden="false" customHeight="true" outlineLevel="0" collapsed="false">
      <c r="B47" s="36" t="n">
        <v>46101</v>
      </c>
      <c r="C47" s="4" t="s">
        <v>1141</v>
      </c>
      <c r="D47" s="4" t="s">
        <v>946</v>
      </c>
      <c r="E47" s="38"/>
      <c r="F47" s="38" t="n">
        <v>3.95</v>
      </c>
      <c r="G47" s="4" t="s">
        <v>1150</v>
      </c>
    </row>
    <row r="48" customFormat="false" ht="15" hidden="false" customHeight="true" outlineLevel="0" collapsed="false">
      <c r="B48" s="36" t="n">
        <v>46102</v>
      </c>
      <c r="C48" s="4" t="s">
        <v>1141</v>
      </c>
      <c r="D48" s="4" t="s">
        <v>950</v>
      </c>
      <c r="E48" s="38"/>
      <c r="F48" s="38" t="n">
        <v>10.7</v>
      </c>
      <c r="G48" s="4" t="s">
        <v>1146</v>
      </c>
    </row>
    <row r="49" customFormat="false" ht="15" hidden="false" customHeight="true" outlineLevel="0" collapsed="false">
      <c r="B49" s="36" t="n">
        <v>46102</v>
      </c>
      <c r="C49" s="4" t="s">
        <v>1141</v>
      </c>
      <c r="D49" s="4" t="s">
        <v>951</v>
      </c>
      <c r="E49" s="38"/>
      <c r="F49" s="38" t="n">
        <v>8.99</v>
      </c>
      <c r="G49" s="4" t="s">
        <v>1144</v>
      </c>
    </row>
    <row r="50" customFormat="false" ht="15" hidden="false" customHeight="true" outlineLevel="0" collapsed="false">
      <c r="B50" s="36" t="n">
        <v>46105</v>
      </c>
      <c r="C50" s="4" t="s">
        <v>1141</v>
      </c>
      <c r="D50" s="4" t="s">
        <v>946</v>
      </c>
      <c r="E50" s="38"/>
      <c r="F50" s="38" t="n">
        <v>5.95</v>
      </c>
      <c r="G50" s="4" t="s">
        <v>1150</v>
      </c>
    </row>
    <row r="51" customFormat="false" ht="15" hidden="false" customHeight="true" outlineLevel="0" collapsed="false">
      <c r="B51" s="36" t="n">
        <v>46106</v>
      </c>
      <c r="C51" s="4" t="s">
        <v>1141</v>
      </c>
      <c r="D51" s="4" t="s">
        <v>941</v>
      </c>
      <c r="E51" s="38"/>
      <c r="F51" s="38" t="n">
        <v>3.25</v>
      </c>
      <c r="G51" s="4" t="s">
        <v>1149</v>
      </c>
    </row>
    <row r="52" customFormat="false" ht="15" hidden="false" customHeight="true" outlineLevel="0" collapsed="false">
      <c r="B52" s="36" t="n">
        <v>46108</v>
      </c>
      <c r="C52" s="4" t="s">
        <v>1141</v>
      </c>
      <c r="D52" s="4" t="s">
        <v>946</v>
      </c>
      <c r="E52" s="38"/>
      <c r="F52" s="38" t="n">
        <v>3.95</v>
      </c>
      <c r="G52" s="4" t="s">
        <v>1150</v>
      </c>
    </row>
    <row r="53" customFormat="false" ht="15" hidden="false" customHeight="true" outlineLevel="0" collapsed="false">
      <c r="B53" s="36" t="n">
        <v>46109</v>
      </c>
      <c r="C53" s="4" t="s">
        <v>1141</v>
      </c>
      <c r="D53" s="4" t="s">
        <v>946</v>
      </c>
      <c r="E53" s="38"/>
      <c r="F53" s="38" t="n">
        <v>5.95</v>
      </c>
      <c r="G53" s="4" t="s">
        <v>1150</v>
      </c>
    </row>
    <row r="54" customFormat="false" ht="15" hidden="false" customHeight="true" outlineLevel="0" collapsed="false">
      <c r="B54" s="36" t="n">
        <v>46112</v>
      </c>
      <c r="C54" s="4" t="s">
        <v>1141</v>
      </c>
      <c r="D54" s="4" t="s">
        <v>946</v>
      </c>
      <c r="E54" s="38"/>
      <c r="F54" s="38" t="n">
        <v>4.95</v>
      </c>
      <c r="G54" s="4" t="s">
        <v>1150</v>
      </c>
    </row>
    <row r="56" customFormat="false" ht="15" hidden="false" customHeight="true" outlineLevel="0" collapsed="false">
      <c r="D56" s="65" t="s">
        <v>1151</v>
      </c>
      <c r="E56" s="66" t="n">
        <f aca="false">SUM(E6:E54)</f>
        <v>6850</v>
      </c>
      <c r="F56" s="66" t="n">
        <f aca="false">SUM(F6:F54)</f>
        <v>563.54</v>
      </c>
    </row>
    <row r="58" customFormat="false" ht="15" hidden="false" customHeight="true" outlineLevel="0" collapsed="false">
      <c r="C58" s="65" t="s">
        <v>1152</v>
      </c>
      <c r="E58" s="67" t="n">
        <f aca="false">E56-F56</f>
        <v>6286.46</v>
      </c>
    </row>
    <row r="59" customFormat="false" ht="15" hidden="false" customHeight="true" outlineLevel="0" collapsed="false">
      <c r="C59" s="40" t="s">
        <v>1153</v>
      </c>
    </row>
  </sheetData>
  <mergeCells count="1"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2026-04-21T20:10:29Z</dcterms:created>
  <dc:creator>openpyxl</dc:creator>
  <dc:description/>
  <dc:language>en-US</dc:language>
  <cp:lastModifiedBy/>
  <dcterms:modified xsi:type="dcterms:W3CDTF">2026-05-29T20:19:32Z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